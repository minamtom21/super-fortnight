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設定" sheetId="2" state="visible" r:id="rId4"/>
    <sheet name="工程マスタ" sheetId="3" state="visible" r:id="rId5"/>
    <sheet name="全体工程表" sheetId="4" state="visible" r:id="rId6"/>
    <sheet name="月間工程表" sheetId="5" state="visible" r:id="rId7"/>
    <sheet name="日割り工程表" sheetId="6" state="visible" r:id="rId8"/>
    <sheet name="ネットワーク工程表" sheetId="7" state="visible" r:id="rId9"/>
  </sheets>
  <definedNames>
    <definedName function="false" hidden="false" localSheetId="6" name="_xlnm.Print_Area" vbProcedure="false">ネットワーク工程表!$A$1:$BJ$106</definedName>
    <definedName function="false" hidden="false" localSheetId="0" name="_xlnm.Print_Area" vbProcedure="false">使い方!$A$1:$C$25</definedName>
    <definedName function="false" hidden="false" localSheetId="3" name="_xlnm.Print_Area" vbProcedure="false">全体工程表!$A$1:$AE$108</definedName>
    <definedName function="false" hidden="false" localSheetId="2" name="_xlnm.Print_Area" vbProcedure="false">工程マスタ!$A$1:$P$154</definedName>
    <definedName function="false" hidden="false" localSheetId="5" name="_xlnm.Print_Area" vbProcedure="false">日割り工程表!$A$1:$V$57</definedName>
    <definedName function="false" hidden="false" localSheetId="4" name="_xlnm.Print_Area" vbProcedure="false">月間工程表!$A$1:$AL$57</definedName>
    <definedName function="false" hidden="false" localSheetId="1" name="_xlnm.Print_Area" vbProcedure="false">設定!$A$1:$J$60</definedName>
    <definedName function="false" hidden="false" name="工種リスト" vbProcedure="false">設定!$H$5:$H$14</definedName>
    <definedName function="false" hidden="false" name="祝日リスト" vbProcedure="false">設定!$D$5:$D$60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<sst xmlns="http://schemas.openxmlformats.org/spreadsheetml/2006/main" count="309" uniqueCount="184">
  <si>
    <r>
      <rPr>
        <b val="true"/>
        <sz val="14"/>
        <color rgb="FF1F3864"/>
        <rFont val="WenQuanYi Zen Hei"/>
        <family val="2"/>
      </rPr>
      <t xml:space="preserve">工事工程表アプリ</t>
    </r>
    <r>
      <rPr>
        <b val="true"/>
        <sz val="14"/>
        <color rgb="FF1F3864"/>
        <rFont val="Yu Gothic"/>
        <family val="0"/>
        <charset val="1"/>
      </rPr>
      <t xml:space="preserve">(Excel</t>
    </r>
    <r>
      <rPr>
        <b val="true"/>
        <sz val="14"/>
        <color rgb="FF1F3864"/>
        <rFont val="WenQuanYi Zen Hei"/>
        <family val="2"/>
      </rPr>
      <t xml:space="preserve">版</t>
    </r>
    <r>
      <rPr>
        <b val="true"/>
        <sz val="14"/>
        <color rgb="FF1F3864"/>
        <rFont val="Yu Gothic"/>
        <family val="0"/>
        <charset val="1"/>
      </rPr>
      <t xml:space="preserve">) </t>
    </r>
    <r>
      <rPr>
        <b val="true"/>
        <sz val="14"/>
        <color rgb="FF1F3864"/>
        <rFont val="WenQuanYi Zen Hei"/>
        <family val="2"/>
      </rPr>
      <t xml:space="preserve">の使い方</t>
    </r>
  </si>
  <si>
    <t xml:space="preserve">■ 仕組み</t>
  </si>
  <si>
    <r>
      <rPr>
        <sz val="9"/>
        <rFont val="WenQuanYi Zen Hei"/>
        <family val="2"/>
      </rPr>
      <t xml:space="preserve">作業の入力は「工程マスタ」シート</t>
    </r>
    <r>
      <rPr>
        <sz val="9"/>
        <rFont val="Yu Gothic"/>
        <family val="0"/>
        <charset val="1"/>
      </rPr>
      <t xml:space="preserve">1</t>
    </r>
    <r>
      <rPr>
        <sz val="9"/>
        <rFont val="WenQuanYi Zen Hei"/>
        <family val="2"/>
      </rPr>
      <t xml:space="preserve">か所だけ。全体工程表</t>
    </r>
    <r>
      <rPr>
        <sz val="9"/>
        <rFont val="Yu Gothic"/>
        <family val="0"/>
        <charset val="1"/>
      </rPr>
      <t xml:space="preserve">(</t>
    </r>
    <r>
      <rPr>
        <sz val="9"/>
        <rFont val="WenQuanYi Zen Hei"/>
        <family val="2"/>
      </rPr>
      <t xml:space="preserve">月単位</t>
    </r>
    <r>
      <rPr>
        <sz val="9"/>
        <rFont val="Yu Gothic"/>
        <family val="0"/>
        <charset val="1"/>
      </rPr>
      <t xml:space="preserve">)</t>
    </r>
    <r>
      <rPr>
        <sz val="9"/>
        <rFont val="WenQuanYi Zen Hei"/>
        <family val="2"/>
      </rPr>
      <t xml:space="preserve">・月間工程表</t>
    </r>
    <r>
      <rPr>
        <sz val="9"/>
        <rFont val="Yu Gothic"/>
        <family val="0"/>
        <charset val="1"/>
      </rPr>
      <t xml:space="preserve">(</t>
    </r>
    <r>
      <rPr>
        <sz val="9"/>
        <rFont val="WenQuanYi Zen Hei"/>
        <family val="2"/>
      </rPr>
      <t xml:space="preserve">日単位</t>
    </r>
    <r>
      <rPr>
        <sz val="9"/>
        <rFont val="Yu Gothic"/>
        <family val="0"/>
        <charset val="1"/>
      </rPr>
      <t xml:space="preserve">)</t>
    </r>
    <r>
      <rPr>
        <sz val="9"/>
        <rFont val="WenQuanYi Zen Hei"/>
        <family val="2"/>
      </rPr>
      <t xml:space="preserve">・日割り工程表</t>
    </r>
    <r>
      <rPr>
        <sz val="9"/>
        <rFont val="Yu Gothic"/>
        <family val="0"/>
        <charset val="1"/>
      </rPr>
      <t xml:space="preserve">(</t>
    </r>
    <r>
      <rPr>
        <sz val="9"/>
        <rFont val="WenQuanYi Zen Hei"/>
        <family val="2"/>
      </rPr>
      <t xml:space="preserve">日単位詳細</t>
    </r>
    <r>
      <rPr>
        <sz val="9"/>
        <rFont val="Yu Gothic"/>
        <family val="0"/>
        <charset val="1"/>
      </rPr>
      <t xml:space="preserve">)</t>
    </r>
    <r>
      <rPr>
        <sz val="9"/>
        <rFont val="WenQuanYi Zen Hei"/>
        <family val="2"/>
      </rPr>
      <t xml:space="preserve">は、すべて工程マスタから数式で自動生成されます。</t>
    </r>
  </si>
  <si>
    <t xml:space="preserve">① 設定</t>
  </si>
  <si>
    <t xml:space="preserve">工事名・工期・全体工程表の表示開始月・祝日リスト・工種リストを入力します。</t>
  </si>
  <si>
    <t xml:space="preserve">② 工程マスタ</t>
  </si>
  <si>
    <r>
      <rPr>
        <sz val="9"/>
        <rFont val="WenQuanYi Zen Hei"/>
        <family val="2"/>
      </rPr>
      <t xml:space="preserve">作業ごとに 工種</t>
    </r>
    <r>
      <rPr>
        <sz val="9"/>
        <rFont val="Yu Gothic"/>
        <family val="0"/>
        <charset val="1"/>
      </rPr>
      <t xml:space="preserve">/</t>
    </r>
    <r>
      <rPr>
        <sz val="9"/>
        <rFont val="WenQuanYi Zen Hei"/>
        <family val="2"/>
      </rPr>
      <t xml:space="preserve">作業名</t>
    </r>
    <r>
      <rPr>
        <sz val="9"/>
        <rFont val="Yu Gothic"/>
        <family val="0"/>
        <charset val="1"/>
      </rPr>
      <t xml:space="preserve">/</t>
    </r>
    <r>
      <rPr>
        <sz val="9"/>
        <rFont val="WenQuanYi Zen Hei"/>
        <family val="2"/>
      </rPr>
      <t xml:space="preserve">担当業者</t>
    </r>
    <r>
      <rPr>
        <sz val="9"/>
        <rFont val="Yu Gothic"/>
        <family val="0"/>
        <charset val="1"/>
      </rPr>
      <t xml:space="preserve">/</t>
    </r>
    <r>
      <rPr>
        <sz val="9"/>
        <rFont val="WenQuanYi Zen Hei"/>
        <family val="2"/>
      </rPr>
      <t xml:space="preserve">開始日</t>
    </r>
    <r>
      <rPr>
        <sz val="9"/>
        <rFont val="Yu Gothic"/>
        <family val="0"/>
        <charset val="1"/>
      </rPr>
      <t xml:space="preserve">/</t>
    </r>
    <r>
      <rPr>
        <sz val="9"/>
        <rFont val="WenQuanYi Zen Hei"/>
        <family val="2"/>
      </rPr>
      <t xml:space="preserve">終了日</t>
    </r>
    <r>
      <rPr>
        <sz val="9"/>
        <rFont val="Yu Gothic"/>
        <family val="0"/>
        <charset val="1"/>
      </rPr>
      <t xml:space="preserve">/</t>
    </r>
    <r>
      <rPr>
        <sz val="9"/>
        <rFont val="WenQuanYi Zen Hei"/>
        <family val="2"/>
      </rPr>
      <t xml:space="preserve">進捗率 を入力します</t>
    </r>
    <r>
      <rPr>
        <sz val="9"/>
        <rFont val="Yu Gothic"/>
        <family val="0"/>
        <charset val="1"/>
      </rPr>
      <t xml:space="preserve">(</t>
    </r>
    <r>
      <rPr>
        <sz val="9"/>
        <rFont val="WenQuanYi Zen Hei"/>
        <family val="2"/>
      </rPr>
      <t xml:space="preserve">最大</t>
    </r>
    <r>
      <rPr>
        <sz val="9"/>
        <rFont val="Yu Gothic"/>
        <family val="0"/>
        <charset val="1"/>
      </rPr>
      <t xml:space="preserve">150</t>
    </r>
    <r>
      <rPr>
        <sz val="9"/>
        <rFont val="WenQuanYi Zen Hei"/>
        <family val="2"/>
      </rPr>
      <t xml:space="preserve">行</t>
    </r>
    <r>
      <rPr>
        <sz val="9"/>
        <rFont val="Yu Gothic"/>
        <family val="0"/>
        <charset val="1"/>
      </rPr>
      <t xml:space="preserve">)</t>
    </r>
    <r>
      <rPr>
        <sz val="9"/>
        <rFont val="WenQuanYi Zen Hei"/>
        <family val="2"/>
      </rPr>
      <t xml:space="preserve">。マイルストーン</t>
    </r>
    <r>
      <rPr>
        <sz val="9"/>
        <rFont val="Yu Gothic"/>
        <family val="0"/>
        <charset val="1"/>
      </rPr>
      <t xml:space="preserve">(</t>
    </r>
    <r>
      <rPr>
        <sz val="9"/>
        <rFont val="WenQuanYi Zen Hei"/>
        <family val="2"/>
      </rPr>
      <t xml:space="preserve">着工・上棟・検査・竣工など</t>
    </r>
    <r>
      <rPr>
        <sz val="9"/>
        <rFont val="Yu Gothic"/>
        <family val="0"/>
        <charset val="1"/>
      </rPr>
      <t xml:space="preserve">)</t>
    </r>
    <r>
      <rPr>
        <sz val="9"/>
        <rFont val="WenQuanYi Zen Hei"/>
        <family val="2"/>
      </rPr>
      <t xml:space="preserve">は開始日</t>
    </r>
    <r>
      <rPr>
        <sz val="9"/>
        <rFont val="Yu Gothic"/>
        <family val="0"/>
        <charset val="1"/>
      </rPr>
      <t xml:space="preserve">=</t>
    </r>
    <r>
      <rPr>
        <sz val="9"/>
        <rFont val="WenQuanYi Zen Hei"/>
        <family val="2"/>
      </rPr>
      <t xml:space="preserve">終了日にして「</t>
    </r>
    <r>
      <rPr>
        <sz val="9"/>
        <rFont val="Yu Gothic"/>
        <family val="0"/>
        <charset val="1"/>
      </rPr>
      <t xml:space="preserve">MS</t>
    </r>
    <r>
      <rPr>
        <sz val="9"/>
        <rFont val="WenQuanYi Zen Hei"/>
        <family val="2"/>
      </rPr>
      <t xml:space="preserve">」列に○を入れると、工程表上に赤い▼で表示されます。</t>
    </r>
  </si>
  <si>
    <t xml:space="preserve">③ 全体工程表</t>
  </si>
  <si>
    <r>
      <rPr>
        <sz val="9"/>
        <rFont val="WenQuanYi Zen Hei"/>
        <family val="2"/>
      </rPr>
      <t xml:space="preserve">自動生成。表示開始月は「設定」シートで変更できます</t>
    </r>
    <r>
      <rPr>
        <sz val="9"/>
        <rFont val="Yu Gothic"/>
        <family val="0"/>
        <charset val="1"/>
      </rPr>
      <t xml:space="preserve">(24</t>
    </r>
    <r>
      <rPr>
        <sz val="9"/>
        <rFont val="WenQuanYi Zen Hei"/>
        <family val="2"/>
      </rPr>
      <t xml:space="preserve">か月表示</t>
    </r>
    <r>
      <rPr>
        <sz val="9"/>
        <rFont val="Yu Gothic"/>
        <family val="0"/>
        <charset val="1"/>
      </rPr>
      <t xml:space="preserve">)</t>
    </r>
    <r>
      <rPr>
        <sz val="9"/>
        <rFont val="WenQuanYi Zen Hei"/>
        <family val="2"/>
      </rPr>
      <t xml:space="preserve">。最下部に予定出来高曲線</t>
    </r>
    <r>
      <rPr>
        <sz val="9"/>
        <rFont val="Yu Gothic"/>
        <family val="0"/>
        <charset val="1"/>
      </rPr>
      <t xml:space="preserve">(</t>
    </r>
    <r>
      <rPr>
        <sz val="9"/>
        <rFont val="WenQuanYi Zen Hei"/>
        <family val="2"/>
      </rPr>
      <t xml:space="preserve">自動計算</t>
    </r>
    <r>
      <rPr>
        <sz val="9"/>
        <rFont val="Yu Gothic"/>
        <family val="0"/>
        <charset val="1"/>
      </rPr>
      <t xml:space="preserve">)</t>
    </r>
    <r>
      <rPr>
        <sz val="9"/>
        <rFont val="WenQuanYi Zen Hei"/>
        <family val="2"/>
      </rPr>
      <t xml:space="preserve">と実績出来高の入力行</t>
    </r>
    <r>
      <rPr>
        <sz val="9"/>
        <rFont val="Yu Gothic"/>
        <family val="0"/>
        <charset val="1"/>
      </rPr>
      <t xml:space="preserve">(</t>
    </r>
    <r>
      <rPr>
        <sz val="9"/>
        <rFont val="WenQuanYi Zen Hei"/>
        <family val="2"/>
      </rPr>
      <t xml:space="preserve">黄色</t>
    </r>
    <r>
      <rPr>
        <sz val="9"/>
        <rFont val="Yu Gothic"/>
        <family val="0"/>
        <charset val="1"/>
      </rPr>
      <t xml:space="preserve">)</t>
    </r>
    <r>
      <rPr>
        <sz val="9"/>
        <rFont val="WenQuanYi Zen Hei"/>
        <family val="2"/>
      </rPr>
      <t xml:space="preserve">があり、グラフに赤</t>
    </r>
    <r>
      <rPr>
        <sz val="9"/>
        <rFont val="Yu Gothic"/>
        <family val="0"/>
        <charset val="1"/>
      </rPr>
      <t xml:space="preserve">=</t>
    </r>
    <r>
      <rPr>
        <sz val="9"/>
        <rFont val="WenQuanYi Zen Hei"/>
        <family val="2"/>
      </rPr>
      <t xml:space="preserve">予定</t>
    </r>
    <r>
      <rPr>
        <sz val="9"/>
        <rFont val="Yu Gothic"/>
        <family val="0"/>
        <charset val="1"/>
      </rPr>
      <t xml:space="preserve">/</t>
    </r>
    <r>
      <rPr>
        <sz val="9"/>
        <rFont val="WenQuanYi Zen Hei"/>
        <family val="2"/>
      </rPr>
      <t xml:space="preserve">青</t>
    </r>
    <r>
      <rPr>
        <sz val="9"/>
        <rFont val="Yu Gothic"/>
        <family val="0"/>
        <charset val="1"/>
      </rPr>
      <t xml:space="preserve">=</t>
    </r>
    <r>
      <rPr>
        <sz val="9"/>
        <rFont val="WenQuanYi Zen Hei"/>
        <family val="2"/>
      </rPr>
      <t xml:space="preserve">実績の</t>
    </r>
    <r>
      <rPr>
        <sz val="9"/>
        <rFont val="Yu Gothic"/>
        <family val="0"/>
        <charset val="1"/>
      </rPr>
      <t xml:space="preserve">2</t>
    </r>
    <r>
      <rPr>
        <sz val="9"/>
        <rFont val="WenQuanYi Zen Hei"/>
        <family val="2"/>
      </rPr>
      <t xml:space="preserve">本の</t>
    </r>
    <r>
      <rPr>
        <sz val="9"/>
        <rFont val="Yu Gothic"/>
        <family val="0"/>
        <charset val="1"/>
      </rPr>
      <t xml:space="preserve">S</t>
    </r>
    <r>
      <rPr>
        <sz val="9"/>
        <rFont val="WenQuanYi Zen Hei"/>
        <family val="2"/>
      </rPr>
      <t xml:space="preserve">字カーブを表示します。実績は毎月末に累計</t>
    </r>
    <r>
      <rPr>
        <sz val="9"/>
        <rFont val="Yu Gothic"/>
        <family val="0"/>
        <charset val="1"/>
      </rPr>
      <t xml:space="preserve">%</t>
    </r>
    <r>
      <rPr>
        <sz val="9"/>
        <rFont val="WenQuanYi Zen Hei"/>
        <family val="2"/>
      </rPr>
      <t xml:space="preserve">を入力してください。</t>
    </r>
  </si>
  <si>
    <t xml:space="preserve">④ 月間工程表</t>
  </si>
  <si>
    <t xml:space="preserve">黄色セルで対象の年・月を選ぶと、その月に掛かる作業だけを自動抽出して日単位のガントを表示します。</t>
  </si>
  <si>
    <t xml:space="preserve">⑤ 日割り工程表</t>
  </si>
  <si>
    <r>
      <rPr>
        <sz val="9"/>
        <rFont val="WenQuanYi Zen Hei"/>
        <family val="2"/>
      </rPr>
      <t xml:space="preserve">黄色セルに基準日を入力すると、その日から</t>
    </r>
    <r>
      <rPr>
        <sz val="9"/>
        <rFont val="Yu Gothic"/>
        <family val="0"/>
        <charset val="1"/>
      </rPr>
      <t xml:space="preserve">14</t>
    </r>
    <r>
      <rPr>
        <sz val="9"/>
        <rFont val="WenQuanYi Zen Hei"/>
        <family val="2"/>
      </rPr>
      <t xml:space="preserve">日間の日別工程と日ごとの稼働作業数を表示します。</t>
    </r>
  </si>
  <si>
    <t xml:space="preserve">⑥ ネットワーク工程表</t>
  </si>
  <si>
    <r>
      <rPr>
        <sz val="9"/>
        <rFont val="WenQuanYi Zen Hei"/>
        <family val="2"/>
      </rPr>
      <t xml:space="preserve">工程マスタの「先行</t>
    </r>
    <r>
      <rPr>
        <sz val="9"/>
        <rFont val="Yu Gothic"/>
        <family val="0"/>
        <charset val="1"/>
      </rPr>
      <t xml:space="preserve">1</t>
    </r>
    <r>
      <rPr>
        <sz val="9"/>
        <rFont val="WenQuanYi Zen Hei"/>
        <family val="2"/>
      </rPr>
      <t xml:space="preserve">〜</t>
    </r>
    <r>
      <rPr>
        <sz val="9"/>
        <rFont val="Yu Gothic"/>
        <family val="0"/>
        <charset val="1"/>
      </rPr>
      <t xml:space="preserve">3</t>
    </r>
    <r>
      <rPr>
        <sz val="9"/>
        <rFont val="WenQuanYi Zen Hei"/>
        <family val="2"/>
      </rPr>
      <t xml:space="preserve">」列に先行作業の</t>
    </r>
    <r>
      <rPr>
        <sz val="9"/>
        <rFont val="Yu Gothic"/>
        <family val="0"/>
        <charset val="1"/>
      </rPr>
      <t xml:space="preserve">No(</t>
    </r>
    <r>
      <rPr>
        <sz val="9"/>
        <rFont val="WenQuanYi Zen Hei"/>
        <family val="2"/>
      </rPr>
      <t xml:space="preserve">自分より小さい</t>
    </r>
    <r>
      <rPr>
        <sz val="9"/>
        <rFont val="Yu Gothic"/>
        <family val="0"/>
        <charset val="1"/>
      </rPr>
      <t xml:space="preserve">No</t>
    </r>
    <r>
      <rPr>
        <sz val="9"/>
        <rFont val="WenQuanYi Zen Hei"/>
        <family val="2"/>
      </rPr>
      <t xml:space="preserve">のみ</t>
    </r>
    <r>
      <rPr>
        <sz val="9"/>
        <rFont val="Yu Gothic"/>
        <family val="0"/>
        <charset val="1"/>
      </rPr>
      <t xml:space="preserve">)</t>
    </r>
    <r>
      <rPr>
        <sz val="9"/>
        <rFont val="WenQuanYi Zen Hei"/>
        <family val="2"/>
      </rPr>
      <t xml:space="preserve">を入力すると、</t>
    </r>
    <r>
      <rPr>
        <sz val="9"/>
        <rFont val="Yu Gothic"/>
        <family val="0"/>
        <charset val="1"/>
      </rPr>
      <t xml:space="preserve">CPM(</t>
    </r>
    <r>
      <rPr>
        <sz val="9"/>
        <rFont val="WenQuanYi Zen Hei"/>
        <family val="2"/>
      </rPr>
      <t xml:space="preserve">クリティカルパス法</t>
    </r>
    <r>
      <rPr>
        <sz val="9"/>
        <rFont val="Yu Gothic"/>
        <family val="0"/>
        <charset val="1"/>
      </rPr>
      <t xml:space="preserve">)</t>
    </r>
    <r>
      <rPr>
        <sz val="9"/>
        <rFont val="WenQuanYi Zen Hei"/>
        <family val="2"/>
      </rPr>
      <t xml:space="preserve">で最早開始</t>
    </r>
    <r>
      <rPr>
        <sz val="9"/>
        <rFont val="Yu Gothic"/>
        <family val="0"/>
        <charset val="1"/>
      </rPr>
      <t xml:space="preserve">/</t>
    </r>
    <r>
      <rPr>
        <sz val="9"/>
        <rFont val="WenQuanYi Zen Hei"/>
        <family val="2"/>
      </rPr>
      <t xml:space="preserve">完了・最遅開始</t>
    </r>
    <r>
      <rPr>
        <sz val="9"/>
        <rFont val="Yu Gothic"/>
        <family val="0"/>
        <charset val="1"/>
      </rPr>
      <t xml:space="preserve">/</t>
    </r>
    <r>
      <rPr>
        <sz val="9"/>
        <rFont val="WenQuanYi Zen Hei"/>
        <family val="2"/>
      </rPr>
      <t xml:space="preserve">完了・余裕日数を自動計算し、週単位のタイムラインに自動配置します。赤</t>
    </r>
    <r>
      <rPr>
        <sz val="9"/>
        <rFont val="Yu Gothic"/>
        <family val="0"/>
        <charset val="1"/>
      </rPr>
      <t xml:space="preserve">=</t>
    </r>
    <r>
      <rPr>
        <sz val="9"/>
        <rFont val="WenQuanYi Zen Hei"/>
        <family val="2"/>
      </rPr>
      <t xml:space="preserve">クリティカルパス</t>
    </r>
    <r>
      <rPr>
        <sz val="9"/>
        <rFont val="Yu Gothic"/>
        <family val="0"/>
        <charset val="1"/>
      </rPr>
      <t xml:space="preserve">(</t>
    </r>
    <r>
      <rPr>
        <sz val="9"/>
        <rFont val="WenQuanYi Zen Hei"/>
        <family val="2"/>
      </rPr>
      <t xml:space="preserve">遅らせると竣工が遅れる作業</t>
    </r>
    <r>
      <rPr>
        <sz val="9"/>
        <rFont val="Yu Gothic"/>
        <family val="0"/>
        <charset val="1"/>
      </rPr>
      <t xml:space="preserve">)</t>
    </r>
    <r>
      <rPr>
        <sz val="9"/>
        <rFont val="WenQuanYi Zen Hei"/>
        <family val="2"/>
      </rPr>
      <t xml:space="preserve">、青</t>
    </r>
    <r>
      <rPr>
        <sz val="9"/>
        <rFont val="Yu Gothic"/>
        <family val="0"/>
        <charset val="1"/>
      </rPr>
      <t xml:space="preserve">=</t>
    </r>
    <r>
      <rPr>
        <sz val="9"/>
        <rFont val="WenQuanYi Zen Hei"/>
        <family val="2"/>
      </rPr>
      <t xml:space="preserve">余裕のある作業、黄</t>
    </r>
    <r>
      <rPr>
        <sz val="9"/>
        <rFont val="Yu Gothic"/>
        <family val="0"/>
        <charset val="1"/>
      </rPr>
      <t xml:space="preserve">=</t>
    </r>
    <r>
      <rPr>
        <sz val="9"/>
        <rFont val="WenQuanYi Zen Hei"/>
        <family val="2"/>
      </rPr>
      <t xml:space="preserve">フロート</t>
    </r>
    <r>
      <rPr>
        <sz val="9"/>
        <rFont val="Yu Gothic"/>
        <family val="0"/>
        <charset val="1"/>
      </rPr>
      <t xml:space="preserve">(</t>
    </r>
    <r>
      <rPr>
        <sz val="9"/>
        <rFont val="WenQuanYi Zen Hei"/>
        <family val="2"/>
      </rPr>
      <t xml:space="preserve">遅らせられる幅</t>
    </r>
    <r>
      <rPr>
        <sz val="9"/>
        <rFont val="Yu Gothic"/>
        <family val="0"/>
        <charset val="1"/>
      </rPr>
      <t xml:space="preserve">)</t>
    </r>
    <r>
      <rPr>
        <sz val="9"/>
        <rFont val="WenQuanYi Zen Hei"/>
        <family val="2"/>
      </rPr>
      <t xml:space="preserve">、数字</t>
    </r>
    <r>
      <rPr>
        <sz val="9"/>
        <rFont val="Yu Gothic"/>
        <family val="0"/>
        <charset val="1"/>
      </rPr>
      <t xml:space="preserve">=</t>
    </r>
    <r>
      <rPr>
        <sz val="9"/>
        <rFont val="WenQuanYi Zen Hei"/>
        <family val="2"/>
      </rPr>
      <t xml:space="preserve">作業</t>
    </r>
    <r>
      <rPr>
        <sz val="9"/>
        <rFont val="Yu Gothic"/>
        <family val="0"/>
        <charset val="1"/>
      </rPr>
      <t xml:space="preserve">No</t>
    </r>
    <r>
      <rPr>
        <sz val="9"/>
        <rFont val="WenQuanYi Zen Hei"/>
        <family val="2"/>
      </rPr>
      <t xml:space="preserve">。先行のない作業は工期</t>
    </r>
    <r>
      <rPr>
        <sz val="9"/>
        <rFont val="Yu Gothic"/>
        <family val="0"/>
        <charset val="1"/>
      </rPr>
      <t xml:space="preserve">(</t>
    </r>
    <r>
      <rPr>
        <sz val="9"/>
        <rFont val="WenQuanYi Zen Hei"/>
        <family val="2"/>
      </rPr>
      <t xml:space="preserve">自</t>
    </r>
    <r>
      <rPr>
        <sz val="9"/>
        <rFont val="Yu Gothic"/>
        <family val="0"/>
        <charset val="1"/>
      </rPr>
      <t xml:space="preserve">)</t>
    </r>
    <r>
      <rPr>
        <sz val="9"/>
        <rFont val="WenQuanYi Zen Hei"/>
        <family val="2"/>
      </rPr>
      <t xml:space="preserve">を開始日として計算します。不正な先行</t>
    </r>
    <r>
      <rPr>
        <sz val="9"/>
        <rFont val="Yu Gothic"/>
        <family val="0"/>
        <charset val="1"/>
      </rPr>
      <t xml:space="preserve">No</t>
    </r>
    <r>
      <rPr>
        <sz val="9"/>
        <rFont val="WenQuanYi Zen Hei"/>
        <family val="2"/>
      </rPr>
      <t xml:space="preserve">は工程マスタ上で赤く警告されます。</t>
    </r>
  </si>
  <si>
    <t xml:space="preserve">■ バーの見方</t>
  </si>
  <si>
    <r>
      <rPr>
        <sz val="9"/>
        <rFont val="WenQuanYi Zen Hei"/>
        <family val="2"/>
      </rPr>
      <t xml:space="preserve">水色</t>
    </r>
    <r>
      <rPr>
        <sz val="9"/>
        <rFont val="Yu Gothic"/>
        <family val="0"/>
        <charset val="1"/>
      </rPr>
      <t xml:space="preserve">=</t>
    </r>
    <r>
      <rPr>
        <sz val="9"/>
        <rFont val="WenQuanYi Zen Hei"/>
        <family val="2"/>
      </rPr>
      <t xml:space="preserve">予定 </t>
    </r>
    <r>
      <rPr>
        <sz val="9"/>
        <rFont val="Yu Gothic"/>
        <family val="0"/>
        <charset val="1"/>
      </rPr>
      <t xml:space="preserve">/ </t>
    </r>
    <r>
      <rPr>
        <sz val="9"/>
        <rFont val="WenQuanYi Zen Hei"/>
        <family val="2"/>
      </rPr>
      <t xml:space="preserve">濃青</t>
    </r>
    <r>
      <rPr>
        <sz val="9"/>
        <rFont val="Yu Gothic"/>
        <family val="0"/>
        <charset val="1"/>
      </rPr>
      <t xml:space="preserve">=</t>
    </r>
    <r>
      <rPr>
        <sz val="9"/>
        <rFont val="WenQuanYi Zen Hei"/>
        <family val="2"/>
      </rPr>
      <t xml:space="preserve">進捗率に応じた実績</t>
    </r>
    <r>
      <rPr>
        <sz val="9"/>
        <rFont val="Yu Gothic"/>
        <family val="0"/>
        <charset val="1"/>
      </rPr>
      <t xml:space="preserve">(</t>
    </r>
    <r>
      <rPr>
        <sz val="9"/>
        <rFont val="WenQuanYi Zen Hei"/>
        <family val="2"/>
      </rPr>
      <t xml:space="preserve">完了分</t>
    </r>
    <r>
      <rPr>
        <sz val="9"/>
        <rFont val="Yu Gothic"/>
        <family val="0"/>
        <charset val="1"/>
      </rPr>
      <t xml:space="preserve">) / </t>
    </r>
    <r>
      <rPr>
        <sz val="9"/>
        <rFont val="WenQuanYi Zen Hei"/>
        <family val="2"/>
      </rPr>
      <t xml:space="preserve">赤▼</t>
    </r>
    <r>
      <rPr>
        <sz val="9"/>
        <rFont val="Yu Gothic"/>
        <family val="0"/>
        <charset val="1"/>
      </rPr>
      <t xml:space="preserve">=</t>
    </r>
    <r>
      <rPr>
        <sz val="9"/>
        <rFont val="WenQuanYi Zen Hei"/>
        <family val="2"/>
      </rPr>
      <t xml:space="preserve">マイルストーン </t>
    </r>
    <r>
      <rPr>
        <sz val="9"/>
        <rFont val="Yu Gothic"/>
        <family val="0"/>
        <charset val="1"/>
      </rPr>
      <t xml:space="preserve">/ </t>
    </r>
    <r>
      <rPr>
        <sz val="9"/>
        <rFont val="WenQuanYi Zen Hei"/>
        <family val="2"/>
      </rPr>
      <t xml:space="preserve">黄色列</t>
    </r>
    <r>
      <rPr>
        <sz val="9"/>
        <rFont val="Yu Gothic"/>
        <family val="0"/>
        <charset val="1"/>
      </rPr>
      <t xml:space="preserve">=</t>
    </r>
    <r>
      <rPr>
        <sz val="9"/>
        <rFont val="WenQuanYi Zen Hei"/>
        <family val="2"/>
      </rPr>
      <t xml:space="preserve">本日</t>
    </r>
  </si>
  <si>
    <t xml:space="preserve">■ 土日祝</t>
  </si>
  <si>
    <r>
      <rPr>
        <sz val="9"/>
        <rFont val="WenQuanYi Zen Hei"/>
        <family val="2"/>
      </rPr>
      <t xml:space="preserve">月間・日割り工程表では 土曜</t>
    </r>
    <r>
      <rPr>
        <sz val="9"/>
        <rFont val="Yu Gothic"/>
        <family val="0"/>
        <charset val="1"/>
      </rPr>
      <t xml:space="preserve">=</t>
    </r>
    <r>
      <rPr>
        <sz val="9"/>
        <rFont val="WenQuanYi Zen Hei"/>
        <family val="2"/>
      </rPr>
      <t xml:space="preserve">青系、日曜・祝日</t>
    </r>
    <r>
      <rPr>
        <sz val="9"/>
        <rFont val="Yu Gothic"/>
        <family val="0"/>
        <charset val="1"/>
      </rPr>
      <t xml:space="preserve">=</t>
    </r>
    <r>
      <rPr>
        <sz val="9"/>
        <rFont val="WenQuanYi Zen Hei"/>
        <family val="2"/>
      </rPr>
      <t xml:space="preserve">赤系 に自動で色分けされます。祝日は「設定」シートのリストを編集してください。</t>
    </r>
  </si>
  <si>
    <t xml:space="preserve">■ セルの色</t>
  </si>
  <si>
    <r>
      <rPr>
        <sz val="9"/>
        <rFont val="WenQuanYi Zen Hei"/>
        <family val="2"/>
      </rPr>
      <t xml:space="preserve">黄色セル</t>
    </r>
    <r>
      <rPr>
        <sz val="9"/>
        <rFont val="Yu Gothic"/>
        <family val="0"/>
        <charset val="1"/>
      </rPr>
      <t xml:space="preserve">=</t>
    </r>
    <r>
      <rPr>
        <sz val="9"/>
        <rFont val="WenQuanYi Zen Hei"/>
        <family val="2"/>
      </rPr>
      <t xml:space="preserve">入力する場所 </t>
    </r>
    <r>
      <rPr>
        <sz val="9"/>
        <rFont val="Yu Gothic"/>
        <family val="0"/>
        <charset val="1"/>
      </rPr>
      <t xml:space="preserve">/ </t>
    </r>
    <r>
      <rPr>
        <sz val="9"/>
        <rFont val="WenQuanYi Zen Hei"/>
        <family val="2"/>
      </rPr>
      <t xml:space="preserve">灰色セル</t>
    </r>
    <r>
      <rPr>
        <sz val="9"/>
        <rFont val="Yu Gothic"/>
        <family val="0"/>
        <charset val="1"/>
      </rPr>
      <t xml:space="preserve">=</t>
    </r>
    <r>
      <rPr>
        <sz val="9"/>
        <rFont val="WenQuanYi Zen Hei"/>
        <family val="2"/>
      </rPr>
      <t xml:space="preserve">自動計算</t>
    </r>
    <r>
      <rPr>
        <sz val="9"/>
        <rFont val="Yu Gothic"/>
        <family val="0"/>
        <charset val="1"/>
      </rPr>
      <t xml:space="preserve">(</t>
    </r>
    <r>
      <rPr>
        <sz val="9"/>
        <rFont val="WenQuanYi Zen Hei"/>
        <family val="2"/>
      </rPr>
      <t xml:space="preserve">触らない</t>
    </r>
    <r>
      <rPr>
        <sz val="9"/>
        <rFont val="Yu Gothic"/>
        <family val="0"/>
        <charset val="1"/>
      </rPr>
      <t xml:space="preserve">) / </t>
    </r>
    <r>
      <rPr>
        <sz val="9"/>
        <rFont val="WenQuanYi Zen Hei"/>
        <family val="2"/>
      </rPr>
      <t xml:space="preserve">白セルの表部分</t>
    </r>
    <r>
      <rPr>
        <sz val="9"/>
        <rFont val="Yu Gothic"/>
        <family val="0"/>
        <charset val="1"/>
      </rPr>
      <t xml:space="preserve">=</t>
    </r>
    <r>
      <rPr>
        <sz val="9"/>
        <rFont val="WenQuanYi Zen Hei"/>
        <family val="2"/>
      </rPr>
      <t xml:space="preserve">自動生成</t>
    </r>
  </si>
  <si>
    <t xml:space="preserve">■ 注意</t>
  </si>
  <si>
    <r>
      <rPr>
        <sz val="9"/>
        <rFont val="WenQuanYi Zen Hei"/>
        <family val="2"/>
      </rPr>
      <t xml:space="preserve">全体工程表の表示は</t>
    </r>
    <r>
      <rPr>
        <sz val="9"/>
        <rFont val="Yu Gothic"/>
        <family val="0"/>
        <charset val="1"/>
      </rPr>
      <t xml:space="preserve">100</t>
    </r>
    <r>
      <rPr>
        <sz val="9"/>
        <rFont val="WenQuanYi Zen Hei"/>
        <family val="2"/>
      </rPr>
      <t xml:space="preserve">行、月間・日割り工程表は各</t>
    </r>
    <r>
      <rPr>
        <sz val="9"/>
        <rFont val="Yu Gothic"/>
        <family val="0"/>
        <charset val="1"/>
      </rPr>
      <t xml:space="preserve">50</t>
    </r>
    <r>
      <rPr>
        <sz val="9"/>
        <rFont val="WenQuanYi Zen Hei"/>
        <family val="2"/>
      </rPr>
      <t xml:space="preserve">行までです。行の挿入・削除はせず、工程マスタの空き行に追記してください。</t>
    </r>
  </si>
  <si>
    <r>
      <rPr>
        <b val="true"/>
        <sz val="9"/>
        <rFont val="WenQuanYi Zen Hei"/>
        <family val="2"/>
      </rPr>
      <t xml:space="preserve">凡例</t>
    </r>
    <r>
      <rPr>
        <b val="true"/>
        <sz val="9"/>
        <rFont val="Yu Gothic"/>
        <family val="0"/>
        <charset val="1"/>
      </rPr>
      <t xml:space="preserve">:</t>
    </r>
  </si>
  <si>
    <t xml:space="preserve">  予定バー </t>
  </si>
  <si>
    <t xml:space="preserve">  実績バー </t>
  </si>
  <si>
    <t xml:space="preserve">設定</t>
  </si>
  <si>
    <t xml:space="preserve">工事名</t>
  </si>
  <si>
    <r>
      <rPr>
        <sz val="9"/>
        <rFont val="Yu Gothic"/>
        <family val="0"/>
        <charset val="1"/>
      </rPr>
      <t xml:space="preserve">(</t>
    </r>
    <r>
      <rPr>
        <sz val="9"/>
        <rFont val="WenQuanYi Zen Hei"/>
        <family val="2"/>
      </rPr>
      <t xml:space="preserve">仮称</t>
    </r>
    <r>
      <rPr>
        <sz val="9"/>
        <rFont val="Yu Gothic"/>
        <family val="0"/>
        <charset val="1"/>
      </rPr>
      <t xml:space="preserve">)○○</t>
    </r>
    <r>
      <rPr>
        <sz val="9"/>
        <rFont val="WenQuanYi Zen Hei"/>
        <family val="2"/>
      </rPr>
      <t xml:space="preserve">ビル新築工事</t>
    </r>
  </si>
  <si>
    <r>
      <rPr>
        <b val="true"/>
        <sz val="9"/>
        <rFont val="WenQuanYi Zen Hei"/>
        <family val="2"/>
      </rPr>
      <t xml:space="preserve">祝日リスト</t>
    </r>
    <r>
      <rPr>
        <b val="true"/>
        <sz val="9"/>
        <rFont val="Yu Gothic"/>
        <family val="0"/>
        <charset val="1"/>
      </rPr>
      <t xml:space="preserve">(</t>
    </r>
    <r>
      <rPr>
        <b val="true"/>
        <sz val="9"/>
        <rFont val="WenQuanYi Zen Hei"/>
        <family val="2"/>
      </rPr>
      <t xml:space="preserve">編集可</t>
    </r>
    <r>
      <rPr>
        <b val="true"/>
        <sz val="9"/>
        <rFont val="Yu Gothic"/>
        <family val="0"/>
        <charset val="1"/>
      </rPr>
      <t xml:space="preserve">)</t>
    </r>
  </si>
  <si>
    <r>
      <rPr>
        <b val="true"/>
        <sz val="9"/>
        <rFont val="WenQuanYi Zen Hei"/>
        <family val="2"/>
      </rPr>
      <t xml:space="preserve">工種リスト</t>
    </r>
    <r>
      <rPr>
        <b val="true"/>
        <sz val="9"/>
        <rFont val="Yu Gothic"/>
        <family val="0"/>
        <charset val="1"/>
      </rPr>
      <t xml:space="preserve">(</t>
    </r>
    <r>
      <rPr>
        <b val="true"/>
        <sz val="9"/>
        <rFont val="WenQuanYi Zen Hei"/>
        <family val="2"/>
      </rPr>
      <t xml:space="preserve">編集可</t>
    </r>
    <r>
      <rPr>
        <b val="true"/>
        <sz val="9"/>
        <rFont val="Yu Gothic"/>
        <family val="0"/>
        <charset val="1"/>
      </rPr>
      <t xml:space="preserve">)</t>
    </r>
  </si>
  <si>
    <t xml:space="preserve">発注者</t>
  </si>
  <si>
    <t xml:space="preserve">○○株式会社</t>
  </si>
  <si>
    <t xml:space="preserve">日付</t>
  </si>
  <si>
    <t xml:space="preserve">名称</t>
  </si>
  <si>
    <t xml:space="preserve">元請</t>
  </si>
  <si>
    <t xml:space="preserve">△△建設株式会社</t>
  </si>
  <si>
    <t xml:space="preserve">元日</t>
  </si>
  <si>
    <t xml:space="preserve">仮設工事</t>
  </si>
  <si>
    <t xml:space="preserve">現場代理人</t>
  </si>
  <si>
    <t xml:space="preserve">山田 太郎</t>
  </si>
  <si>
    <t xml:space="preserve">成人の日</t>
  </si>
  <si>
    <t xml:space="preserve">土工事・山留</t>
  </si>
  <si>
    <t xml:space="preserve">建国記念の日</t>
  </si>
  <si>
    <t xml:space="preserve">地業基礎工事</t>
  </si>
  <si>
    <r>
      <rPr>
        <b val="true"/>
        <sz val="9"/>
        <rFont val="WenQuanYi Zen Hei"/>
        <family val="2"/>
      </rPr>
      <t xml:space="preserve">工期</t>
    </r>
    <r>
      <rPr>
        <b val="true"/>
        <sz val="9"/>
        <rFont val="Yu Gothic"/>
        <family val="0"/>
        <charset val="1"/>
      </rPr>
      <t xml:space="preserve">(</t>
    </r>
    <r>
      <rPr>
        <b val="true"/>
        <sz val="9"/>
        <rFont val="WenQuanYi Zen Hei"/>
        <family val="2"/>
      </rPr>
      <t xml:space="preserve">自</t>
    </r>
    <r>
      <rPr>
        <b val="true"/>
        <sz val="9"/>
        <rFont val="Yu Gothic"/>
        <family val="0"/>
        <charset val="1"/>
      </rPr>
      <t xml:space="preserve">)</t>
    </r>
  </si>
  <si>
    <t xml:space="preserve">天皇誕生日</t>
  </si>
  <si>
    <t xml:space="preserve">躯体工事</t>
  </si>
  <si>
    <r>
      <rPr>
        <b val="true"/>
        <sz val="9"/>
        <rFont val="WenQuanYi Zen Hei"/>
        <family val="2"/>
      </rPr>
      <t xml:space="preserve">工期</t>
    </r>
    <r>
      <rPr>
        <b val="true"/>
        <sz val="9"/>
        <rFont val="Yu Gothic"/>
        <family val="0"/>
        <charset val="1"/>
      </rPr>
      <t xml:space="preserve">(</t>
    </r>
    <r>
      <rPr>
        <b val="true"/>
        <sz val="9"/>
        <rFont val="WenQuanYi Zen Hei"/>
        <family val="2"/>
      </rPr>
      <t xml:space="preserve">至</t>
    </r>
    <r>
      <rPr>
        <b val="true"/>
        <sz val="9"/>
        <rFont val="Yu Gothic"/>
        <family val="0"/>
        <charset val="1"/>
      </rPr>
      <t xml:space="preserve">)</t>
    </r>
  </si>
  <si>
    <t xml:space="preserve">春分の日</t>
  </si>
  <si>
    <t xml:space="preserve">外装工事</t>
  </si>
  <si>
    <t xml:space="preserve">昭和の日</t>
  </si>
  <si>
    <t xml:space="preserve">内装・設備工事</t>
  </si>
  <si>
    <t xml:space="preserve">全体工程表</t>
  </si>
  <si>
    <t xml:space="preserve">憲法記念日</t>
  </si>
  <si>
    <t xml:space="preserve">外構工事</t>
  </si>
  <si>
    <t xml:space="preserve">表示開始月</t>
  </si>
  <si>
    <t xml:space="preserve">みどりの日</t>
  </si>
  <si>
    <t xml:space="preserve">検査・引渡</t>
  </si>
  <si>
    <r>
      <rPr>
        <sz val="8"/>
        <rFont val="Yu Gothic"/>
        <family val="0"/>
        <charset val="1"/>
      </rPr>
      <t xml:space="preserve">(24</t>
    </r>
    <r>
      <rPr>
        <sz val="8"/>
        <rFont val="WenQuanYi Zen Hei"/>
        <family val="2"/>
      </rPr>
      <t xml:space="preserve">か月表示</t>
    </r>
    <r>
      <rPr>
        <sz val="8"/>
        <rFont val="Yu Gothic"/>
        <family val="0"/>
        <charset val="1"/>
      </rPr>
      <t xml:space="preserve">)</t>
    </r>
  </si>
  <si>
    <t xml:space="preserve">こどもの日</t>
  </si>
  <si>
    <t xml:space="preserve">マイルストーン</t>
  </si>
  <si>
    <t xml:space="preserve">振替休日</t>
  </si>
  <si>
    <t xml:space="preserve">その他</t>
  </si>
  <si>
    <t xml:space="preserve">海の日</t>
  </si>
  <si>
    <t xml:space="preserve">山の日</t>
  </si>
  <si>
    <t xml:space="preserve">敬老の日</t>
  </si>
  <si>
    <t xml:space="preserve">国民の休日</t>
  </si>
  <si>
    <t xml:space="preserve">秋分の日</t>
  </si>
  <si>
    <t xml:space="preserve">スポーツの日</t>
  </si>
  <si>
    <t xml:space="preserve">文化の日</t>
  </si>
  <si>
    <t xml:space="preserve">勤労感謝の日</t>
  </si>
  <si>
    <t xml:space="preserve">春分の日 振替</t>
  </si>
  <si>
    <r>
      <rPr>
        <sz val="8"/>
        <rFont val="WenQuanYi Zen Hei"/>
        <family val="2"/>
      </rPr>
      <t xml:space="preserve">※行 </t>
    </r>
    <r>
      <rPr>
        <sz val="8"/>
        <rFont val="Yu Gothic"/>
        <family val="0"/>
        <charset val="1"/>
      </rPr>
      <t xml:space="preserve">D5:D60 </t>
    </r>
    <r>
      <rPr>
        <sz val="8"/>
        <rFont val="WenQuanYi Zen Hei"/>
        <family val="2"/>
      </rPr>
      <t xml:space="preserve">が判定対象</t>
    </r>
  </si>
  <si>
    <r>
      <rPr>
        <b val="true"/>
        <sz val="14"/>
        <color rgb="FF1F3864"/>
        <rFont val="WenQuanYi Zen Hei"/>
        <family val="2"/>
      </rPr>
      <t xml:space="preserve">工程マスタ</t>
    </r>
    <r>
      <rPr>
        <b val="true"/>
        <sz val="14"/>
        <color rgb="FF1F3864"/>
        <rFont val="Yu Gothic"/>
        <family val="0"/>
        <charset val="1"/>
      </rPr>
      <t xml:space="preserve">(</t>
    </r>
    <r>
      <rPr>
        <b val="true"/>
        <sz val="14"/>
        <color rgb="FF1F3864"/>
        <rFont val="WenQuanYi Zen Hei"/>
        <family val="2"/>
      </rPr>
      <t xml:space="preserve">作業の入力はこのシートだけ</t>
    </r>
    <r>
      <rPr>
        <b val="true"/>
        <sz val="14"/>
        <color rgb="FF1F3864"/>
        <rFont val="Yu Gothic"/>
        <family val="0"/>
        <charset val="1"/>
      </rPr>
      <t xml:space="preserve">)</t>
    </r>
  </si>
  <si>
    <r>
      <rPr>
        <sz val="8"/>
        <rFont val="WenQuanYi Zen Hei"/>
        <family val="2"/>
      </rPr>
      <t xml:space="preserve">黄色列に入力 → 全体</t>
    </r>
    <r>
      <rPr>
        <sz val="8"/>
        <rFont val="Yu Gothic"/>
        <family val="0"/>
        <charset val="1"/>
      </rPr>
      <t xml:space="preserve">/</t>
    </r>
    <r>
      <rPr>
        <sz val="8"/>
        <rFont val="WenQuanYi Zen Hei"/>
        <family val="2"/>
      </rPr>
      <t xml:space="preserve">月間</t>
    </r>
    <r>
      <rPr>
        <sz val="8"/>
        <rFont val="Yu Gothic"/>
        <family val="0"/>
        <charset val="1"/>
      </rPr>
      <t xml:space="preserve">/</t>
    </r>
    <r>
      <rPr>
        <sz val="8"/>
        <rFont val="WenQuanYi Zen Hei"/>
        <family val="2"/>
      </rPr>
      <t xml:space="preserve">日割り</t>
    </r>
    <r>
      <rPr>
        <sz val="8"/>
        <rFont val="Yu Gothic"/>
        <family val="0"/>
        <charset val="1"/>
      </rPr>
      <t xml:space="preserve">/</t>
    </r>
    <r>
      <rPr>
        <sz val="8"/>
        <rFont val="WenQuanYi Zen Hei"/>
        <family val="2"/>
      </rPr>
      <t xml:space="preserve">ネットワーク工程表へ自動反映。マイルストーンは開始日</t>
    </r>
    <r>
      <rPr>
        <sz val="8"/>
        <rFont val="Yu Gothic"/>
        <family val="0"/>
        <charset val="1"/>
      </rPr>
      <t xml:space="preserve">=</t>
    </r>
    <r>
      <rPr>
        <sz val="8"/>
        <rFont val="WenQuanYi Zen Hei"/>
        <family val="2"/>
      </rPr>
      <t xml:space="preserve">終了日</t>
    </r>
    <r>
      <rPr>
        <sz val="8"/>
        <rFont val="Yu Gothic"/>
        <family val="0"/>
        <charset val="1"/>
      </rPr>
      <t xml:space="preserve">+MS</t>
    </r>
    <r>
      <rPr>
        <sz val="8"/>
        <rFont val="WenQuanYi Zen Hei"/>
        <family val="2"/>
      </rPr>
      <t xml:space="preserve">列○。先行</t>
    </r>
    <r>
      <rPr>
        <sz val="8"/>
        <rFont val="Yu Gothic"/>
        <family val="0"/>
        <charset val="1"/>
      </rPr>
      <t xml:space="preserve">1</t>
    </r>
    <r>
      <rPr>
        <sz val="8"/>
        <rFont val="WenQuanYi Zen Hei"/>
        <family val="2"/>
      </rPr>
      <t xml:space="preserve">〜</t>
    </r>
    <r>
      <rPr>
        <sz val="8"/>
        <rFont val="Yu Gothic"/>
        <family val="0"/>
        <charset val="1"/>
      </rPr>
      <t xml:space="preserve">3</t>
    </r>
    <r>
      <rPr>
        <sz val="8"/>
        <rFont val="WenQuanYi Zen Hei"/>
        <family val="2"/>
      </rPr>
      <t xml:space="preserve">にはその作業より前に行う作業の</t>
    </r>
    <r>
      <rPr>
        <sz val="8"/>
        <rFont val="Yu Gothic"/>
        <family val="0"/>
        <charset val="1"/>
      </rPr>
      <t xml:space="preserve">No(</t>
    </r>
    <r>
      <rPr>
        <sz val="8"/>
        <rFont val="WenQuanYi Zen Hei"/>
        <family val="2"/>
      </rPr>
      <t xml:space="preserve">自分より小さい</t>
    </r>
    <r>
      <rPr>
        <sz val="8"/>
        <rFont val="Yu Gothic"/>
        <family val="0"/>
        <charset val="1"/>
      </rPr>
      <t xml:space="preserve">No</t>
    </r>
    <r>
      <rPr>
        <sz val="8"/>
        <rFont val="WenQuanYi Zen Hei"/>
        <family val="2"/>
      </rPr>
      <t xml:space="preserve">のみ</t>
    </r>
    <r>
      <rPr>
        <sz val="8"/>
        <rFont val="Yu Gothic"/>
        <family val="0"/>
        <charset val="1"/>
      </rPr>
      <t xml:space="preserve">)</t>
    </r>
    <r>
      <rPr>
        <sz val="8"/>
        <rFont val="WenQuanYi Zen Hei"/>
        <family val="2"/>
      </rPr>
      <t xml:space="preserve">を入力。</t>
    </r>
  </si>
  <si>
    <t xml:space="preserve">No</t>
  </si>
  <si>
    <t xml:space="preserve">工種</t>
  </si>
  <si>
    <t xml:space="preserve">作業名</t>
  </si>
  <si>
    <t xml:space="preserve">担当業者</t>
  </si>
  <si>
    <t xml:space="preserve">開始日</t>
  </si>
  <si>
    <t xml:space="preserve">終了日</t>
  </si>
  <si>
    <t xml:space="preserve">日数</t>
  </si>
  <si>
    <t xml:space="preserve">進捗率</t>
  </si>
  <si>
    <t xml:space="preserve">MS</t>
  </si>
  <si>
    <t xml:space="preserve">備考</t>
  </si>
  <si>
    <r>
      <rPr>
        <b val="true"/>
        <sz val="9"/>
        <color rgb="FFFFFFFF"/>
        <rFont val="Yu Gothic"/>
        <family val="0"/>
        <charset val="1"/>
      </rPr>
      <t xml:space="preserve">(</t>
    </r>
    <r>
      <rPr>
        <b val="true"/>
        <sz val="9"/>
        <color rgb="FFFFFFFF"/>
        <rFont val="WenQuanYi Zen Hei"/>
        <family val="2"/>
      </rPr>
      <t xml:space="preserve">開始</t>
    </r>
    <r>
      <rPr>
        <b val="true"/>
        <sz val="9"/>
        <color rgb="FFFFFFFF"/>
        <rFont val="Yu Gothic"/>
        <family val="0"/>
        <charset val="1"/>
      </rPr>
      <t xml:space="preserve">)</t>
    </r>
  </si>
  <si>
    <r>
      <rPr>
        <b val="true"/>
        <sz val="9"/>
        <color rgb="FFFFFFFF"/>
        <rFont val="Yu Gothic"/>
        <family val="0"/>
        <charset val="1"/>
      </rPr>
      <t xml:space="preserve">(</t>
    </r>
    <r>
      <rPr>
        <b val="true"/>
        <sz val="9"/>
        <color rgb="FFFFFFFF"/>
        <rFont val="WenQuanYi Zen Hei"/>
        <family val="2"/>
      </rPr>
      <t xml:space="preserve">終了</t>
    </r>
    <r>
      <rPr>
        <b val="true"/>
        <sz val="9"/>
        <color rgb="FFFFFFFF"/>
        <rFont val="Yu Gothic"/>
        <family val="0"/>
        <charset val="1"/>
      </rPr>
      <t xml:space="preserve">)</t>
    </r>
  </si>
  <si>
    <r>
      <rPr>
        <b val="true"/>
        <sz val="9"/>
        <color rgb="FFFFFFFF"/>
        <rFont val="Yu Gothic"/>
        <family val="0"/>
        <charset val="1"/>
      </rPr>
      <t xml:space="preserve">(</t>
    </r>
    <r>
      <rPr>
        <b val="true"/>
        <sz val="9"/>
        <color rgb="FFFFFFFF"/>
        <rFont val="WenQuanYi Zen Hei"/>
        <family val="2"/>
      </rPr>
      <t xml:space="preserve">実績境界</t>
    </r>
    <r>
      <rPr>
        <b val="true"/>
        <sz val="9"/>
        <color rgb="FFFFFFFF"/>
        <rFont val="Yu Gothic"/>
        <family val="0"/>
        <charset val="1"/>
      </rPr>
      <t xml:space="preserve">)</t>
    </r>
  </si>
  <si>
    <r>
      <rPr>
        <b val="true"/>
        <sz val="9"/>
        <color rgb="FFFFFFFF"/>
        <rFont val="WenQuanYi Zen Hei"/>
        <family val="2"/>
      </rPr>
      <t xml:space="preserve">先行</t>
    </r>
    <r>
      <rPr>
        <b val="true"/>
        <sz val="9"/>
        <color rgb="FFFFFFFF"/>
        <rFont val="Yu Gothic"/>
        <family val="0"/>
        <charset val="1"/>
      </rPr>
      <t xml:space="preserve">1</t>
    </r>
  </si>
  <si>
    <r>
      <rPr>
        <b val="true"/>
        <sz val="9"/>
        <color rgb="FFFFFFFF"/>
        <rFont val="WenQuanYi Zen Hei"/>
        <family val="2"/>
      </rPr>
      <t xml:space="preserve">先行</t>
    </r>
    <r>
      <rPr>
        <b val="true"/>
        <sz val="9"/>
        <color rgb="FFFFFFFF"/>
        <rFont val="Yu Gothic"/>
        <family val="0"/>
        <charset val="1"/>
      </rPr>
      <t xml:space="preserve">2</t>
    </r>
  </si>
  <si>
    <r>
      <rPr>
        <b val="true"/>
        <sz val="9"/>
        <color rgb="FFFFFFFF"/>
        <rFont val="WenQuanYi Zen Hei"/>
        <family val="2"/>
      </rPr>
      <t xml:space="preserve">先行</t>
    </r>
    <r>
      <rPr>
        <b val="true"/>
        <sz val="9"/>
        <color rgb="FFFFFFFF"/>
        <rFont val="Yu Gothic"/>
        <family val="0"/>
        <charset val="1"/>
      </rPr>
      <t xml:space="preserve">3</t>
    </r>
  </si>
  <si>
    <t xml:space="preserve">着工</t>
  </si>
  <si>
    <t xml:space="preserve">○</t>
  </si>
  <si>
    <t xml:space="preserve">地鎮祭・安全祈願祭</t>
  </si>
  <si>
    <t xml:space="preserve">仮囲い・ゲート設置</t>
  </si>
  <si>
    <t xml:space="preserve">○○仮設工業</t>
  </si>
  <si>
    <t xml:space="preserve">現場事務所・休憩所設置</t>
  </si>
  <si>
    <t xml:space="preserve">仮設電気・給排水引込み</t>
  </si>
  <si>
    <t xml:space="preserve">△△電設</t>
  </si>
  <si>
    <t xml:space="preserve">杭工事</t>
  </si>
  <si>
    <t xml:space="preserve">□□基礎工業</t>
  </si>
  <si>
    <t xml:space="preserve">既製杭</t>
  </si>
  <si>
    <t xml:space="preserve">山留工事</t>
  </si>
  <si>
    <t xml:space="preserve">▲▲土木</t>
  </si>
  <si>
    <t xml:space="preserve">根切り・掘削</t>
  </si>
  <si>
    <t xml:space="preserve">床付け・捨てコンクリート</t>
  </si>
  <si>
    <t xml:space="preserve">基礎配筋・型枠</t>
  </si>
  <si>
    <t xml:space="preserve">◇◇建設</t>
  </si>
  <si>
    <r>
      <rPr>
        <sz val="9"/>
        <rFont val="WenQuanYi Zen Hei"/>
        <family val="2"/>
      </rPr>
      <t xml:space="preserve">配筋検査 </t>
    </r>
    <r>
      <rPr>
        <sz val="9"/>
        <rFont val="Yu Gothic"/>
        <family val="0"/>
        <charset val="1"/>
      </rPr>
      <t xml:space="preserve">9/9</t>
    </r>
  </si>
  <si>
    <t xml:space="preserve">基礎コンクリート打設</t>
  </si>
  <si>
    <t xml:space="preserve">養生・埋戻し</t>
  </si>
  <si>
    <r>
      <rPr>
        <sz val="9"/>
        <rFont val="WenQuanYi Zen Hei"/>
        <family val="2"/>
      </rPr>
      <t xml:space="preserve">鉄骨製作</t>
    </r>
    <r>
      <rPr>
        <sz val="9"/>
        <rFont val="Yu Gothic"/>
        <family val="0"/>
        <charset val="1"/>
      </rPr>
      <t xml:space="preserve">(</t>
    </r>
    <r>
      <rPr>
        <sz val="9"/>
        <rFont val="WenQuanYi Zen Hei"/>
        <family val="2"/>
      </rPr>
      <t xml:space="preserve">工場</t>
    </r>
    <r>
      <rPr>
        <sz val="9"/>
        <rFont val="Yu Gothic"/>
        <family val="0"/>
        <charset val="1"/>
      </rPr>
      <t xml:space="preserve">)</t>
    </r>
  </si>
  <si>
    <t xml:space="preserve">☆☆鉄工所</t>
  </si>
  <si>
    <r>
      <rPr>
        <sz val="9"/>
        <rFont val="WenQuanYi Zen Hei"/>
        <family val="2"/>
      </rPr>
      <t xml:space="preserve">製品検査 </t>
    </r>
    <r>
      <rPr>
        <sz val="9"/>
        <rFont val="Yu Gothic"/>
        <family val="0"/>
        <charset val="1"/>
      </rPr>
      <t xml:space="preserve">9/18</t>
    </r>
  </si>
  <si>
    <t xml:space="preserve">鉄骨建方開始</t>
  </si>
  <si>
    <t xml:space="preserve">外部足場組立</t>
  </si>
  <si>
    <t xml:space="preserve">鉄骨建方</t>
  </si>
  <si>
    <t xml:space="preserve">上棟</t>
  </si>
  <si>
    <t xml:space="preserve">本締め・建入れ検査</t>
  </si>
  <si>
    <t xml:space="preserve">デッキ・スタッド溶接</t>
  </si>
  <si>
    <t xml:space="preserve">床コンクリート打設</t>
  </si>
  <si>
    <t xml:space="preserve">屋根・屋上防水</t>
  </si>
  <si>
    <t xml:space="preserve">●●防水</t>
  </si>
  <si>
    <t xml:space="preserve">外壁下地・胴縁</t>
  </si>
  <si>
    <t xml:space="preserve">■■外装</t>
  </si>
  <si>
    <r>
      <rPr>
        <sz val="9"/>
        <rFont val="WenQuanYi Zen Hei"/>
        <family val="2"/>
      </rPr>
      <t xml:space="preserve">外壁パネル</t>
    </r>
    <r>
      <rPr>
        <sz val="9"/>
        <rFont val="Yu Gothic"/>
        <family val="0"/>
        <charset val="1"/>
      </rPr>
      <t xml:space="preserve">(ALC)</t>
    </r>
    <r>
      <rPr>
        <sz val="9"/>
        <rFont val="WenQuanYi Zen Hei"/>
        <family val="2"/>
      </rPr>
      <t xml:space="preserve">取付</t>
    </r>
  </si>
  <si>
    <t xml:space="preserve">サッシ・外部建具取付</t>
  </si>
  <si>
    <t xml:space="preserve">▽▽サッシ</t>
  </si>
  <si>
    <t xml:space="preserve">シール・外部防水</t>
  </si>
  <si>
    <t xml:space="preserve">外壁塗装・仕上</t>
  </si>
  <si>
    <t xml:space="preserve">外部足場解体</t>
  </si>
  <si>
    <r>
      <rPr>
        <sz val="9"/>
        <rFont val="WenQuanYi Zen Hei"/>
        <family val="2"/>
      </rPr>
      <t xml:space="preserve">設備配管・配線</t>
    </r>
    <r>
      <rPr>
        <sz val="9"/>
        <rFont val="Yu Gothic"/>
        <family val="0"/>
        <charset val="1"/>
      </rPr>
      <t xml:space="preserve">(</t>
    </r>
    <r>
      <rPr>
        <sz val="9"/>
        <rFont val="WenQuanYi Zen Hei"/>
        <family val="2"/>
      </rPr>
      <t xml:space="preserve">隠蔽部</t>
    </r>
    <r>
      <rPr>
        <sz val="9"/>
        <rFont val="Yu Gothic"/>
        <family val="0"/>
        <charset val="1"/>
      </rPr>
      <t xml:space="preserve">)</t>
    </r>
  </si>
  <si>
    <t xml:space="preserve">△△電設・◎◎設備</t>
  </si>
  <si>
    <r>
      <rPr>
        <sz val="9"/>
        <rFont val="WenQuanYi Zen Hei"/>
        <family val="2"/>
      </rPr>
      <t xml:space="preserve">天井・壁</t>
    </r>
    <r>
      <rPr>
        <sz val="9"/>
        <rFont val="Yu Gothic"/>
        <family val="0"/>
        <charset val="1"/>
      </rPr>
      <t xml:space="preserve">LGS</t>
    </r>
    <r>
      <rPr>
        <sz val="9"/>
        <rFont val="WenQuanYi Zen Hei"/>
        <family val="2"/>
      </rPr>
      <t xml:space="preserve">下地</t>
    </r>
  </si>
  <si>
    <t xml:space="preserve">☆☆内装</t>
  </si>
  <si>
    <t xml:space="preserve">ボード貼り</t>
  </si>
  <si>
    <t xml:space="preserve">受電</t>
  </si>
  <si>
    <t xml:space="preserve">塗装・クロス仕上</t>
  </si>
  <si>
    <t xml:space="preserve">床仕上げ</t>
  </si>
  <si>
    <t xml:space="preserve">照明・衛生器具取付</t>
  </si>
  <si>
    <t xml:space="preserve">空調機器設置・試運転調整</t>
  </si>
  <si>
    <t xml:space="preserve">◎◎設備</t>
  </si>
  <si>
    <t xml:space="preserve">外構土工・排水</t>
  </si>
  <si>
    <t xml:space="preserve">舗装・植栽</t>
  </si>
  <si>
    <t xml:space="preserve">社内検査・是正</t>
  </si>
  <si>
    <t xml:space="preserve">△△建設</t>
  </si>
  <si>
    <t xml:space="preserve">消防・完了検査</t>
  </si>
  <si>
    <t xml:space="preserve">美装クリーニング</t>
  </si>
  <si>
    <t xml:space="preserve">▼▼美装</t>
  </si>
  <si>
    <t xml:space="preserve">施主検査</t>
  </si>
  <si>
    <t xml:space="preserve">是正・手直し</t>
  </si>
  <si>
    <t xml:space="preserve">仮囲い・事務所撤去</t>
  </si>
  <si>
    <t xml:space="preserve">竣工・引渡し</t>
  </si>
  <si>
    <r>
      <rPr>
        <b val="true"/>
        <sz val="9"/>
        <rFont val="WenQuanYi Zen Hei"/>
        <family val="2"/>
      </rPr>
      <t xml:space="preserve">現在の全体進捗率</t>
    </r>
    <r>
      <rPr>
        <b val="true"/>
        <sz val="9"/>
        <rFont val="Yu Gothic"/>
        <family val="0"/>
        <charset val="1"/>
      </rPr>
      <t xml:space="preserve">:</t>
    </r>
  </si>
  <si>
    <t xml:space="preserve">予定</t>
  </si>
  <si>
    <t xml:space="preserve">実績</t>
  </si>
  <si>
    <t xml:space="preserve">▼ MS</t>
  </si>
  <si>
    <t xml:space="preserve">開始</t>
  </si>
  <si>
    <t xml:space="preserve">終了</t>
  </si>
  <si>
    <t xml:space="preserve">進捗</t>
  </si>
  <si>
    <r>
      <rPr>
        <b val="true"/>
        <sz val="9"/>
        <rFont val="WenQuanYi Zen Hei"/>
        <family val="2"/>
      </rPr>
      <t xml:space="preserve">予定出来高</t>
    </r>
    <r>
      <rPr>
        <b val="true"/>
        <sz val="9"/>
        <rFont val="Yu Gothic"/>
        <family val="0"/>
        <charset val="1"/>
      </rPr>
      <t xml:space="preserve">(</t>
    </r>
    <r>
      <rPr>
        <b val="true"/>
        <sz val="9"/>
        <rFont val="WenQuanYi Zen Hei"/>
        <family val="2"/>
      </rPr>
      <t xml:space="preserve">累計</t>
    </r>
    <r>
      <rPr>
        <b val="true"/>
        <sz val="9"/>
        <rFont val="Yu Gothic"/>
        <family val="0"/>
        <charset val="1"/>
      </rPr>
      <t xml:space="preserve">%)</t>
    </r>
  </si>
  <si>
    <r>
      <rPr>
        <b val="true"/>
        <sz val="9"/>
        <rFont val="WenQuanYi Zen Hei"/>
        <family val="2"/>
      </rPr>
      <t xml:space="preserve">実績出来高</t>
    </r>
    <r>
      <rPr>
        <b val="true"/>
        <sz val="9"/>
        <rFont val="Yu Gothic"/>
        <family val="0"/>
        <charset val="1"/>
      </rPr>
      <t xml:space="preserve">(</t>
    </r>
    <r>
      <rPr>
        <b val="true"/>
        <sz val="9"/>
        <rFont val="WenQuanYi Zen Hei"/>
        <family val="2"/>
      </rPr>
      <t xml:space="preserve">累計</t>
    </r>
    <r>
      <rPr>
        <b val="true"/>
        <sz val="9"/>
        <rFont val="Yu Gothic"/>
        <family val="0"/>
        <charset val="1"/>
      </rPr>
      <t xml:space="preserve">%)※</t>
    </r>
    <r>
      <rPr>
        <b val="true"/>
        <sz val="9"/>
        <rFont val="WenQuanYi Zen Hei"/>
        <family val="2"/>
      </rPr>
      <t xml:space="preserve">毎月末に入力</t>
    </r>
  </si>
  <si>
    <t xml:space="preserve">対象年</t>
  </si>
  <si>
    <t xml:space="preserve">対象月</t>
  </si>
  <si>
    <t xml:space="preserve">← 黄色セルを変更すると自動で切替</t>
  </si>
  <si>
    <t xml:space="preserve">▼MS</t>
  </si>
  <si>
    <t xml:space="preserve">本日</t>
  </si>
  <si>
    <t xml:space="preserve">稼働作業数</t>
  </si>
  <si>
    <t xml:space="preserve">基準日</t>
  </si>
  <si>
    <r>
      <rPr>
        <sz val="8"/>
        <rFont val="WenQuanYi Zen Hei"/>
        <family val="2"/>
      </rPr>
      <t xml:space="preserve">← 黄色セルに日付を入力すると</t>
    </r>
    <r>
      <rPr>
        <sz val="8"/>
        <rFont val="Yu Gothic"/>
        <family val="0"/>
        <charset val="1"/>
      </rPr>
      <t xml:space="preserve">14</t>
    </r>
    <r>
      <rPr>
        <sz val="8"/>
        <rFont val="WenQuanYi Zen Hei"/>
        <family val="2"/>
      </rPr>
      <t xml:space="preserve">日間を表示</t>
    </r>
  </si>
  <si>
    <t xml:space="preserve">表示開始日</t>
  </si>
  <si>
    <r>
      <rPr>
        <sz val="8"/>
        <rFont val="WenQuanYi Zen Hei"/>
        <family val="2"/>
      </rPr>
      <t xml:space="preserve">← 週単位で</t>
    </r>
    <r>
      <rPr>
        <sz val="8"/>
        <rFont val="Yu Gothic"/>
        <family val="0"/>
        <charset val="1"/>
      </rPr>
      <t xml:space="preserve">52</t>
    </r>
    <r>
      <rPr>
        <sz val="8"/>
        <rFont val="WenQuanYi Zen Hei"/>
        <family val="2"/>
      </rPr>
      <t xml:space="preserve">週表示。先行のない作業は工期</t>
    </r>
    <r>
      <rPr>
        <sz val="8"/>
        <rFont val="Yu Gothic"/>
        <family val="0"/>
        <charset val="1"/>
      </rPr>
      <t xml:space="preserve">(</t>
    </r>
    <r>
      <rPr>
        <sz val="8"/>
        <rFont val="WenQuanYi Zen Hei"/>
        <family val="2"/>
      </rPr>
      <t xml:space="preserve">自</t>
    </r>
    <r>
      <rPr>
        <sz val="8"/>
        <rFont val="Yu Gothic"/>
        <family val="0"/>
        <charset val="1"/>
      </rPr>
      <t xml:space="preserve">)</t>
    </r>
    <r>
      <rPr>
        <sz val="8"/>
        <rFont val="WenQuanYi Zen Hei"/>
        <family val="2"/>
      </rPr>
      <t xml:space="preserve">から開始</t>
    </r>
  </si>
  <si>
    <t xml:space="preserve">クリティカル</t>
  </si>
  <si>
    <t xml:space="preserve">余裕あり</t>
  </si>
  <si>
    <t xml:space="preserve">フロート</t>
  </si>
  <si>
    <r>
      <rPr>
        <sz val="8"/>
        <rFont val="WenQuanYi Zen Hei"/>
        <family val="2"/>
      </rPr>
      <t xml:space="preserve">数字</t>
    </r>
    <r>
      <rPr>
        <sz val="8"/>
        <rFont val="Yu Gothic"/>
        <family val="0"/>
        <charset val="1"/>
      </rPr>
      <t xml:space="preserve">=</t>
    </r>
    <r>
      <rPr>
        <sz val="8"/>
        <rFont val="WenQuanYi Zen Hei"/>
        <family val="2"/>
      </rPr>
      <t xml:space="preserve">作業</t>
    </r>
    <r>
      <rPr>
        <sz val="8"/>
        <rFont val="Yu Gothic"/>
        <family val="0"/>
        <charset val="1"/>
      </rPr>
      <t xml:space="preserve">No</t>
    </r>
  </si>
  <si>
    <t xml:space="preserve">先行</t>
  </si>
  <si>
    <t xml:space="preserve">最早開始</t>
  </si>
  <si>
    <t xml:space="preserve">最早完了</t>
  </si>
  <si>
    <t xml:space="preserve">最遅開始</t>
  </si>
  <si>
    <t xml:space="preserve">最遅完了</t>
  </si>
  <si>
    <t xml:space="preserve">余裕</t>
  </si>
  <si>
    <t xml:space="preserve">CP</t>
  </si>
</sst>
</file>

<file path=xl/styles.xml><?xml version="1.0" encoding="utf-8"?>
<styleSheet xmlns="http://schemas.openxmlformats.org/spreadsheetml/2006/main">
  <numFmts count="9">
    <numFmt numFmtId="164" formatCode="General"/>
    <numFmt numFmtId="165" formatCode="yyyy/m/d"/>
    <numFmt numFmtId="166" formatCode="yyyy\年m\月"/>
    <numFmt numFmtId="167" formatCode="General"/>
    <numFmt numFmtId="168" formatCode="0;\-0;;@"/>
    <numFmt numFmtId="169" formatCode="0%"/>
    <numFmt numFmtId="170" formatCode="0.0%"/>
    <numFmt numFmtId="171" formatCode="m/d"/>
    <numFmt numFmtId="172" formatCode="mm/dd/yy"/>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WenQuanYi Zen Hei"/>
      <family val="2"/>
    </font>
    <font>
      <b val="true"/>
      <sz val="14"/>
      <color rgb="FF1F3864"/>
      <name val="Yu Gothic"/>
      <family val="0"/>
      <charset val="1"/>
    </font>
    <font>
      <b val="true"/>
      <sz val="9"/>
      <name val="WenQuanYi Zen Hei"/>
      <family val="2"/>
    </font>
    <font>
      <sz val="9"/>
      <name val="WenQuanYi Zen Hei"/>
      <family val="2"/>
    </font>
    <font>
      <sz val="9"/>
      <name val="Yu Gothic"/>
      <family val="0"/>
      <charset val="1"/>
    </font>
    <font>
      <b val="true"/>
      <sz val="9"/>
      <name val="Yu Gothic"/>
      <family val="0"/>
      <charset val="1"/>
    </font>
    <font>
      <sz val="11"/>
      <color theme="1"/>
      <name val="WenQuanYi Zen Hei"/>
      <family val="2"/>
    </font>
    <font>
      <sz val="9"/>
      <color rgb="FFFFFFFF"/>
      <name val="WenQuanYi Zen Hei"/>
      <family val="2"/>
    </font>
    <font>
      <b val="true"/>
      <sz val="9"/>
      <color rgb="FFFFFFFF"/>
      <name val="WenQuanYi Zen Hei"/>
      <family val="2"/>
    </font>
    <font>
      <sz val="8"/>
      <name val="Yu Gothic"/>
      <family val="0"/>
      <charset val="1"/>
    </font>
    <font>
      <sz val="8"/>
      <name val="WenQuanYi Zen Hei"/>
      <family val="2"/>
    </font>
    <font>
      <b val="true"/>
      <sz val="9"/>
      <color rgb="FFFFFFFF"/>
      <name val="Yu Gothic"/>
      <family val="0"/>
      <charset val="1"/>
    </font>
    <font>
      <b val="true"/>
      <sz val="11"/>
      <color rgb="FFC00000"/>
      <name val="Yu Gothic"/>
      <family val="0"/>
      <charset val="1"/>
    </font>
    <font>
      <b val="true"/>
      <sz val="9"/>
      <color rgb="FFC00000"/>
      <name val="Yu Gothic"/>
      <family val="0"/>
      <charset val="1"/>
    </font>
    <font>
      <b val="true"/>
      <sz val="18"/>
      <color rgb="FF000000"/>
      <name val="WenQuanYi Zen Hei"/>
      <family val="2"/>
    </font>
    <font>
      <b val="true"/>
      <sz val="18"/>
      <color rgb="FF000000"/>
      <name val="Calibri"/>
      <family val="2"/>
    </font>
    <font>
      <sz val="10"/>
      <color rgb="FF000000"/>
      <name val="Calibri"/>
      <family val="2"/>
    </font>
    <font>
      <sz val="7"/>
      <color rgb="FF44546A"/>
      <name val="Yu Gothic"/>
      <family val="0"/>
      <charset val="1"/>
    </font>
  </fonts>
  <fills count="10">
    <fill>
      <patternFill patternType="none"/>
    </fill>
    <fill>
      <patternFill patternType="gray125"/>
    </fill>
    <fill>
      <patternFill patternType="solid">
        <fgColor rgb="FF9DC3E6"/>
        <bgColor rgb="FFBFBFBF"/>
      </patternFill>
    </fill>
    <fill>
      <patternFill patternType="solid">
        <fgColor rgb="FF2F5597"/>
        <bgColor rgb="FF1F4E79"/>
      </patternFill>
    </fill>
    <fill>
      <patternFill patternType="solid">
        <fgColor rgb="FFFFF2CC"/>
        <bgColor rgb="FFFFE7E7"/>
      </patternFill>
    </fill>
    <fill>
      <patternFill patternType="solid">
        <fgColor rgb="FF44546A"/>
        <bgColor rgb="FF2F5597"/>
      </patternFill>
    </fill>
    <fill>
      <patternFill patternType="solid">
        <fgColor rgb="FFF2F2F2"/>
        <bgColor rgb="FFFFE7E7"/>
      </patternFill>
    </fill>
    <fill>
      <patternFill patternType="solid">
        <fgColor rgb="FFFFD966"/>
        <bgColor rgb="FFFFE599"/>
      </patternFill>
    </fill>
    <fill>
      <patternFill patternType="solid">
        <fgColor rgb="FFE06666"/>
        <bgColor rgb="FFED7D31"/>
      </patternFill>
    </fill>
    <fill>
      <patternFill patternType="solid">
        <fgColor rgb="FFFFE599"/>
        <bgColor rgb="FFFFD96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44546A"/>
      </top>
      <bottom style="medium">
        <color rgb="FF44546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5" borderId="2" xfId="0" applyFont="true" applyBorder="true" applyAlignment="true" applyProtection="false">
      <alignment horizontal="center" vertical="center" textRotation="0" wrapText="false" indent="0" shrinkToFit="false"/>
      <protection locked="true" hidden="false"/>
    </xf>
    <xf numFmtId="167" fontId="8" fillId="6"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8" fontId="8" fillId="6" borderId="1" xfId="0" applyFont="true" applyBorder="tru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71" fontId="8"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9" fontId="13" fillId="4" borderId="1" xfId="0" applyFont="true" applyBorder="true" applyAlignment="true" applyProtection="false">
      <alignment horizontal="center" vertical="center"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center" vertical="center" textRotation="0" wrapText="false" indent="0" shrinkToFit="false"/>
      <protection locked="true" hidden="false"/>
    </xf>
    <xf numFmtId="167" fontId="15" fillId="5" borderId="2"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8" borderId="0" xfId="0" applyFont="true" applyBorder="true" applyAlignment="true" applyProtection="false">
      <alignment horizontal="center" vertical="center"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4" fillId="9"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Yu Gothic"/>
        <charset val="1"/>
        <family val="0"/>
        <b val="1"/>
        <color rgb="FFFFFFFF"/>
        <sz val="9"/>
      </font>
      <fill>
        <patternFill>
          <bgColor rgb="FFC00000"/>
        </patternFill>
      </fill>
    </dxf>
    <dxf>
      <fill>
        <patternFill>
          <bgColor rgb="FF2F5597"/>
        </patternFill>
      </fill>
    </dxf>
    <dxf>
      <fill>
        <patternFill>
          <bgColor rgb="FF9DC3E6"/>
        </patternFill>
      </fill>
    </dxf>
    <dxf>
      <fill>
        <patternFill>
          <bgColor rgb="FFFFE7E7"/>
        </patternFill>
      </fill>
    </dxf>
    <dxf>
      <font>
        <name val="Yu Gothic"/>
        <charset val="1"/>
        <family val="0"/>
        <b val="1"/>
        <color rgb="FF000000"/>
        <sz val="9"/>
      </font>
      <fill>
        <patternFill>
          <bgColor rgb="FFFFD966"/>
        </patternFill>
      </fill>
    </dxf>
    <dxf>
      <font>
        <name val="Yu Gothic"/>
        <charset val="1"/>
        <family val="0"/>
        <b val="1"/>
        <color rgb="FF000000"/>
        <sz val="9"/>
      </font>
      <fill>
        <patternFill>
          <bgColor rgb="FFFCE4E4"/>
        </patternFill>
      </fill>
    </dxf>
    <dxf>
      <font>
        <name val="Yu Gothic"/>
        <charset val="1"/>
        <family val="0"/>
        <b val="1"/>
        <color rgb="FF000000"/>
        <sz val="9"/>
      </font>
      <fill>
        <patternFill>
          <bgColor rgb="FFDDEBF7"/>
        </patternFill>
      </fill>
    </dxf>
    <dxf>
      <fill>
        <patternFill>
          <bgColor rgb="FFFFD966"/>
        </patternFill>
      </fill>
    </dxf>
    <dxf>
      <fill>
        <patternFill>
          <bgColor rgb="FFFCE4E4"/>
        </patternFill>
      </fill>
    </dxf>
    <dxf>
      <fill>
        <patternFill>
          <bgColor rgb="FFDDEBF7"/>
        </patternFill>
      </fill>
    </dxf>
    <dxf>
      <font>
        <name val="Yu Gothic"/>
        <charset val="1"/>
        <family val="0"/>
        <b val="1"/>
        <color rgb="FFC00000"/>
        <sz val="7"/>
      </font>
    </dxf>
    <dxf>
      <fill>
        <patternFill>
          <bgColor rgb="FFE06666"/>
        </patternFill>
      </fill>
    </dxf>
    <dxf>
      <fill>
        <patternFill>
          <bgColor rgb="FFFFE5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38F"/>
      <rgbColor rgb="FFBFBFBF"/>
      <rgbColor rgb="FF808080"/>
      <rgbColor rgb="FFA6A6A6"/>
      <rgbColor rgb="FF7030A0"/>
      <rgbColor rgb="FFFFF2CC"/>
      <rgbColor rgb="FFDDEBF7"/>
      <rgbColor rgb="FF660066"/>
      <rgbColor rgb="FFE06666"/>
      <rgbColor rgb="FF2F5597"/>
      <rgbColor rgb="FFD9D9D9"/>
      <rgbColor rgb="FF000080"/>
      <rgbColor rgb="FFFF00FF"/>
      <rgbColor rgb="FFFFFF00"/>
      <rgbColor rgb="FF00FFFF"/>
      <rgbColor rgb="FF800080"/>
      <rgbColor rgb="FF800000"/>
      <rgbColor rgb="FF008080"/>
      <rgbColor rgb="FF0000FF"/>
      <rgbColor rgb="FF00CCFF"/>
      <rgbColor rgb="FFF2F2F2"/>
      <rgbColor rgb="FFFCE4E4"/>
      <rgbColor rgb="FFFFE7E7"/>
      <rgbColor rgb="FF9DC3E6"/>
      <rgbColor rgb="FFFF99CC"/>
      <rgbColor rgb="FFCC99FF"/>
      <rgbColor rgb="FFFFE599"/>
      <rgbColor rgb="FF3366FF"/>
      <rgbColor rgb="FF33CCCC"/>
      <rgbColor rgb="FF99CC00"/>
      <rgbColor rgb="FFFFD966"/>
      <rgbColor rgb="FFFF9900"/>
      <rgbColor rgb="FFED7D31"/>
      <rgbColor rgb="FF44546A"/>
      <rgbColor rgb="FF878787"/>
      <rgbColor rgb="FF1F3864"/>
      <rgbColor rgb="FF2E7D32"/>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出来高曲線(赤=予定 / 青=実績)</a:t>
            </a:r>
          </a:p>
        </c:rich>
      </c:tx>
      <c:overlay val="0"/>
      <c:spPr>
        <a:noFill/>
        <a:ln w="0">
          <a:noFill/>
        </a:ln>
      </c:spPr>
    </c:title>
    <c:autoTitleDeleted val="0"/>
    <c:plotArea>
      <c:lineChart>
        <c:grouping val="standard"/>
        <c:varyColors val="0"/>
        <c:ser>
          <c:idx val="0"/>
          <c:order val="0"/>
          <c:tx>
            <c:strRef>
              <c:f>"予定"</c:f>
              <c:strCache>
                <c:ptCount val="1"/>
                <c:pt idx="0">
                  <c:v>予定</c:v>
                </c:pt>
              </c:strCache>
            </c:strRef>
          </c:tx>
          <c:spPr>
            <a:solidFill>
              <a:srgbClr val="c00000"/>
            </a:solidFill>
            <a:ln w="2196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全体工程表!$H$5:$AE$5</c:f>
              <c:multiLvlStrCache>
                <c:ptCount val="1"/>
                <c:lvl>
                  <c:pt idx="0">
                    <c:v>6月</c:v>
                  </c:pt>
                </c:lvl>
                <c:lvl>
                  <c:pt idx="0">
                    <c:v>5月</c:v>
                  </c:pt>
                </c:lvl>
                <c:lvl>
                  <c:pt idx="0">
                    <c:v>4月</c:v>
                  </c:pt>
                </c:lvl>
                <c:lvl>
                  <c:pt idx="0">
                    <c:v>3月</c:v>
                  </c:pt>
                </c:lvl>
                <c:lvl>
                  <c:pt idx="0">
                    <c:v>2月</c:v>
                  </c:pt>
                </c:lvl>
                <c:lvl>
                  <c:pt idx="0">
                    <c:v>1月</c:v>
                  </c:pt>
                </c:lvl>
                <c:lvl>
                  <c:pt idx="0">
                    <c:v>12月</c:v>
                  </c:pt>
                </c:lvl>
                <c:lvl>
                  <c:pt idx="0">
                    <c:v>11月</c:v>
                  </c:pt>
                </c:lvl>
                <c:lvl>
                  <c:pt idx="0">
                    <c:v>10月</c:v>
                  </c:pt>
                </c:lvl>
                <c:lvl>
                  <c:pt idx="0">
                    <c:v>9月</c:v>
                  </c:pt>
                </c:lvl>
                <c:lvl>
                  <c:pt idx="0">
                    <c:v>8月</c:v>
                  </c:pt>
                </c:lvl>
                <c:lvl>
                  <c:pt idx="0">
                    <c:v>7月</c:v>
                  </c:pt>
                </c:lvl>
                <c:lvl>
                  <c:pt idx="0">
                    <c:v>6月</c:v>
                  </c:pt>
                </c:lvl>
                <c:lvl>
                  <c:pt idx="0">
                    <c:v>5月</c:v>
                  </c:pt>
                </c:lvl>
                <c:lvl>
                  <c:pt idx="0">
                    <c:v>4月</c:v>
                  </c:pt>
                </c:lvl>
                <c:lvl>
                  <c:pt idx="0">
                    <c:v>3月</c:v>
                  </c:pt>
                </c:lvl>
                <c:lvl>
                  <c:pt idx="0">
                    <c:v>2月</c:v>
                  </c:pt>
                </c:lvl>
                <c:lvl>
                  <c:pt idx="0">
                    <c:v>1月</c:v>
                  </c:pt>
                </c:lvl>
                <c:lvl>
                  <c:pt idx="0">
                    <c:v>12月</c:v>
                  </c:pt>
                </c:lvl>
                <c:lvl>
                  <c:pt idx="0">
                    <c:v>11月</c:v>
                  </c:pt>
                </c:lvl>
                <c:lvl>
                  <c:pt idx="0">
                    <c:v>10月</c:v>
                  </c:pt>
                </c:lvl>
                <c:lvl>
                  <c:pt idx="0">
                    <c:v>9月</c:v>
                  </c:pt>
                </c:lvl>
                <c:lvl>
                  <c:pt idx="0">
                    <c:v>8月</c:v>
                  </c:pt>
                </c:lvl>
                <c:lvl>
                  <c:pt idx="0">
                    <c:v>7月</c:v>
                  </c:pt>
                </c:lvl>
              </c:multiLvlStrCache>
            </c:multiLvlStrRef>
          </c:cat>
          <c:val>
            <c:numRef>
              <c:f>全体工程表!$H$107:$AE$107</c:f>
              <c:numCache>
                <c:formatCode>0%</c:formatCode>
                <c:ptCount val="24"/>
                <c:pt idx="0">
                  <c:v>0.0741758241758242</c:v>
                </c:pt>
                <c:pt idx="1">
                  <c:v>0.166208791208791</c:v>
                </c:pt>
                <c:pt idx="2">
                  <c:v>0.248626373626374</c:v>
                </c:pt>
                <c:pt idx="3">
                  <c:v>0.31456043956044</c:v>
                </c:pt>
                <c:pt idx="4">
                  <c:v>0.418956043956044</c:v>
                </c:pt>
                <c:pt idx="5">
                  <c:v>0.565934065934066</c:v>
                </c:pt>
                <c:pt idx="6">
                  <c:v>0.718406593406593</c:v>
                </c:pt>
                <c:pt idx="7">
                  <c:v>0.864010989010989</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1"/>
        </c:ser>
        <c:ser>
          <c:idx val="1"/>
          <c:order val="1"/>
          <c:tx>
            <c:strRef>
              <c:f>"実績"</c:f>
              <c:strCache>
                <c:ptCount val="1"/>
                <c:pt idx="0">
                  <c:v>実績</c:v>
                </c:pt>
              </c:strCache>
            </c:strRef>
          </c:tx>
          <c:spPr>
            <a:solidFill>
              <a:srgbClr val="2f5597"/>
            </a:solidFill>
            <a:ln w="21960">
              <a:solidFill>
                <a:srgbClr val="2f559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全体工程表!$H$5:$AE$5</c:f>
              <c:multiLvlStrCache>
                <c:ptCount val="1"/>
                <c:lvl>
                  <c:pt idx="0">
                    <c:v>6月</c:v>
                  </c:pt>
                </c:lvl>
                <c:lvl>
                  <c:pt idx="0">
                    <c:v>5月</c:v>
                  </c:pt>
                </c:lvl>
                <c:lvl>
                  <c:pt idx="0">
                    <c:v>4月</c:v>
                  </c:pt>
                </c:lvl>
                <c:lvl>
                  <c:pt idx="0">
                    <c:v>3月</c:v>
                  </c:pt>
                </c:lvl>
                <c:lvl>
                  <c:pt idx="0">
                    <c:v>2月</c:v>
                  </c:pt>
                </c:lvl>
                <c:lvl>
                  <c:pt idx="0">
                    <c:v>1月</c:v>
                  </c:pt>
                </c:lvl>
                <c:lvl>
                  <c:pt idx="0">
                    <c:v>12月</c:v>
                  </c:pt>
                </c:lvl>
                <c:lvl>
                  <c:pt idx="0">
                    <c:v>11月</c:v>
                  </c:pt>
                </c:lvl>
                <c:lvl>
                  <c:pt idx="0">
                    <c:v>10月</c:v>
                  </c:pt>
                </c:lvl>
                <c:lvl>
                  <c:pt idx="0">
                    <c:v>9月</c:v>
                  </c:pt>
                </c:lvl>
                <c:lvl>
                  <c:pt idx="0">
                    <c:v>8月</c:v>
                  </c:pt>
                </c:lvl>
                <c:lvl>
                  <c:pt idx="0">
                    <c:v>7月</c:v>
                  </c:pt>
                </c:lvl>
                <c:lvl>
                  <c:pt idx="0">
                    <c:v>6月</c:v>
                  </c:pt>
                </c:lvl>
                <c:lvl>
                  <c:pt idx="0">
                    <c:v>5月</c:v>
                  </c:pt>
                </c:lvl>
                <c:lvl>
                  <c:pt idx="0">
                    <c:v>4月</c:v>
                  </c:pt>
                </c:lvl>
                <c:lvl>
                  <c:pt idx="0">
                    <c:v>3月</c:v>
                  </c:pt>
                </c:lvl>
                <c:lvl>
                  <c:pt idx="0">
                    <c:v>2月</c:v>
                  </c:pt>
                </c:lvl>
                <c:lvl>
                  <c:pt idx="0">
                    <c:v>1月</c:v>
                  </c:pt>
                </c:lvl>
                <c:lvl>
                  <c:pt idx="0">
                    <c:v>12月</c:v>
                  </c:pt>
                </c:lvl>
                <c:lvl>
                  <c:pt idx="0">
                    <c:v>11月</c:v>
                  </c:pt>
                </c:lvl>
                <c:lvl>
                  <c:pt idx="0">
                    <c:v>10月</c:v>
                  </c:pt>
                </c:lvl>
                <c:lvl>
                  <c:pt idx="0">
                    <c:v>9月</c:v>
                  </c:pt>
                </c:lvl>
                <c:lvl>
                  <c:pt idx="0">
                    <c:v>8月</c:v>
                  </c:pt>
                </c:lvl>
                <c:lvl>
                  <c:pt idx="0">
                    <c:v>7月</c:v>
                  </c:pt>
                </c:lvl>
              </c:multiLvlStrCache>
            </c:multiLvlStrRef>
          </c:cat>
          <c:val>
            <c:numRef>
              <c:f>全体工程表!$H$108:$AE$108</c:f>
              <c:numCache>
                <c:formatCode>0%</c:formatCode>
                <c:ptCount val="24"/>
                <c:pt idx="0">
                  <c:v>0.06</c:v>
                </c:pt>
              </c:numCache>
            </c:numRef>
          </c:val>
          <c:smooth val="1"/>
        </c:ser>
        <c:hiLowLines>
          <c:spPr>
            <a:ln w="0">
              <a:noFill/>
            </a:ln>
          </c:spPr>
        </c:hiLowLines>
        <c:marker val="0"/>
        <c:axId val="7296170"/>
        <c:axId val="86073854"/>
      </c:lineChart>
      <c:catAx>
        <c:axId val="72961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73854"/>
        <c:crosses val="autoZero"/>
        <c:auto val="1"/>
        <c:lblAlgn val="ctr"/>
        <c:lblOffset val="100"/>
        <c:noMultiLvlLbl val="0"/>
      </c:catAx>
      <c:valAx>
        <c:axId val="8607385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9617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108</xdr:row>
      <xdr:rowOff>134640</xdr:rowOff>
    </xdr:from>
    <xdr:to>
      <xdr:col>16</xdr:col>
      <xdr:colOff>149400</xdr:colOff>
      <xdr:row>121</xdr:row>
      <xdr:rowOff>177840</xdr:rowOff>
    </xdr:to>
    <xdr:graphicFrame>
      <xdr:nvGraphicFramePr>
        <xdr:cNvPr id="0" name="Chart 1"/>
        <xdr:cNvGraphicFramePr/>
      </xdr:nvGraphicFramePr>
      <xdr:xfrm>
        <a:off x="355680" y="20574000"/>
        <a:ext cx="107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2: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5"/>
  </cols>
  <sheetData>
    <row r="2" customFormat="false" ht="19.4" hidden="false" customHeight="false" outlineLevel="0" collapsed="false">
      <c r="B2" s="1" t="s">
        <v>0</v>
      </c>
    </row>
    <row r="4" customFormat="false" ht="27.75" hidden="false" customHeight="true" outlineLevel="0" collapsed="false">
      <c r="B4" s="2" t="s">
        <v>1</v>
      </c>
      <c r="C4" s="3" t="s">
        <v>2</v>
      </c>
    </row>
    <row r="5" customFormat="false" ht="15" hidden="false" customHeight="false" outlineLevel="0" collapsed="false">
      <c r="B5" s="2"/>
      <c r="C5" s="3"/>
    </row>
    <row r="6" customFormat="false" ht="15" hidden="false" customHeight="false" outlineLevel="0" collapsed="false">
      <c r="B6" s="2" t="s">
        <v>3</v>
      </c>
      <c r="C6" s="3" t="s">
        <v>4</v>
      </c>
    </row>
    <row r="7" customFormat="false" ht="27.75" hidden="false" customHeight="true" outlineLevel="0" collapsed="false">
      <c r="B7" s="2" t="s">
        <v>5</v>
      </c>
      <c r="C7" s="3" t="s">
        <v>6</v>
      </c>
    </row>
    <row r="8" customFormat="false" ht="27.75" hidden="false" customHeight="true" outlineLevel="0" collapsed="false">
      <c r="B8" s="2" t="s">
        <v>7</v>
      </c>
      <c r="C8" s="3" t="s">
        <v>8</v>
      </c>
    </row>
    <row r="9" customFormat="false" ht="15" hidden="false" customHeight="false" outlineLevel="0" collapsed="false">
      <c r="B9" s="2" t="s">
        <v>9</v>
      </c>
      <c r="C9" s="3" t="s">
        <v>10</v>
      </c>
    </row>
    <row r="10" customFormat="false" ht="15" hidden="false" customHeight="false" outlineLevel="0" collapsed="false">
      <c r="B10" s="2" t="s">
        <v>11</v>
      </c>
      <c r="C10" s="3" t="s">
        <v>12</v>
      </c>
    </row>
    <row r="11" customFormat="false" ht="27.75" hidden="false" customHeight="true" outlineLevel="0" collapsed="false">
      <c r="B11" s="2" t="s">
        <v>13</v>
      </c>
      <c r="C11" s="3" t="s">
        <v>14</v>
      </c>
    </row>
    <row r="12" customFormat="false" ht="15" hidden="false" customHeight="false" outlineLevel="0" collapsed="false">
      <c r="B12" s="2"/>
      <c r="C12" s="3"/>
    </row>
    <row r="13" customFormat="false" ht="15" hidden="false" customHeight="false" outlineLevel="0" collapsed="false">
      <c r="B13" s="2" t="s">
        <v>15</v>
      </c>
      <c r="C13" s="3" t="s">
        <v>16</v>
      </c>
    </row>
    <row r="14" customFormat="false" ht="27.75" hidden="false" customHeight="true" outlineLevel="0" collapsed="false">
      <c r="B14" s="2" t="s">
        <v>17</v>
      </c>
      <c r="C14" s="3" t="s">
        <v>18</v>
      </c>
    </row>
    <row r="15" customFormat="false" ht="15" hidden="false" customHeight="false" outlineLevel="0" collapsed="false">
      <c r="B15" s="2"/>
      <c r="C15" s="3"/>
    </row>
    <row r="16" customFormat="false" ht="15" hidden="false" customHeight="false" outlineLevel="0" collapsed="false">
      <c r="B16" s="2" t="s">
        <v>19</v>
      </c>
      <c r="C16" s="3" t="s">
        <v>20</v>
      </c>
    </row>
    <row r="17" customFormat="false" ht="27.75" hidden="false" customHeight="true" outlineLevel="0" collapsed="false">
      <c r="B17" s="2" t="s">
        <v>21</v>
      </c>
      <c r="C17" s="3" t="s">
        <v>22</v>
      </c>
    </row>
    <row r="19" customFormat="false" ht="15" hidden="false" customHeight="false" outlineLevel="0" collapsed="false">
      <c r="B19" s="2" t="s">
        <v>23</v>
      </c>
      <c r="C19" s="4" t="s">
        <v>24</v>
      </c>
    </row>
    <row r="20" customFormat="false" ht="15" hidden="false" customHeight="false" outlineLevel="0" collapsed="false">
      <c r="C20" s="5"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3"/>
    <col collapsed="false" customWidth="true" hidden="false" outlineLevel="0" max="4" min="4" style="0" width="16"/>
    <col collapsed="false" customWidth="true" hidden="false" outlineLevel="0" max="5" min="5" style="0" width="14"/>
    <col collapsed="false" customWidth="true" hidden="false" outlineLevel="0" max="7" min="6" style="0" width="3"/>
    <col collapsed="false" customWidth="true" hidden="false" outlineLevel="0" max="8" min="8" style="0" width="14"/>
    <col collapsed="false" customWidth="true" hidden="false" outlineLevel="0" max="9" min="9" style="0" width="3"/>
    <col collapsed="false" customWidth="true" hidden="false" outlineLevel="0" max="10" min="10" style="0" width="16"/>
  </cols>
  <sheetData>
    <row r="1" customFormat="false" ht="17.35" hidden="false" customHeight="false" outlineLevel="0" collapsed="false">
      <c r="A1" s="1" t="s">
        <v>26</v>
      </c>
    </row>
    <row r="3" customFormat="false" ht="15" hidden="false" customHeight="false" outlineLevel="0" collapsed="false">
      <c r="A3" s="2" t="s">
        <v>27</v>
      </c>
      <c r="B3" s="6" t="s">
        <v>28</v>
      </c>
      <c r="D3" s="2" t="s">
        <v>29</v>
      </c>
      <c r="H3" s="2" t="s">
        <v>30</v>
      </c>
    </row>
    <row r="4" customFormat="false" ht="15" hidden="false" customHeight="false" outlineLevel="0" collapsed="false">
      <c r="A4" s="2" t="s">
        <v>31</v>
      </c>
      <c r="B4" s="7" t="s">
        <v>32</v>
      </c>
      <c r="D4" s="8" t="s">
        <v>33</v>
      </c>
      <c r="E4" s="8" t="s">
        <v>34</v>
      </c>
    </row>
    <row r="5" customFormat="false" ht="15" hidden="false" customHeight="false" outlineLevel="0" collapsed="false">
      <c r="A5" s="2" t="s">
        <v>35</v>
      </c>
      <c r="B5" s="7" t="s">
        <v>36</v>
      </c>
      <c r="D5" s="9" t="n">
        <v>46023</v>
      </c>
      <c r="E5" s="7" t="s">
        <v>37</v>
      </c>
      <c r="H5" s="7" t="s">
        <v>38</v>
      </c>
    </row>
    <row r="6" customFormat="false" ht="15" hidden="false" customHeight="false" outlineLevel="0" collapsed="false">
      <c r="A6" s="2" t="s">
        <v>39</v>
      </c>
      <c r="B6" s="7" t="s">
        <v>40</v>
      </c>
      <c r="D6" s="9" t="n">
        <v>46034</v>
      </c>
      <c r="E6" s="7" t="s">
        <v>41</v>
      </c>
      <c r="H6" s="7" t="s">
        <v>42</v>
      </c>
    </row>
    <row r="7" customFormat="false" ht="15" hidden="false" customHeight="false" outlineLevel="0" collapsed="false">
      <c r="D7" s="9" t="n">
        <v>46064</v>
      </c>
      <c r="E7" s="7" t="s">
        <v>43</v>
      </c>
      <c r="H7" s="7" t="s">
        <v>44</v>
      </c>
    </row>
    <row r="8" customFormat="false" ht="15" hidden="false" customHeight="false" outlineLevel="0" collapsed="false">
      <c r="A8" s="2" t="s">
        <v>45</v>
      </c>
      <c r="B8" s="9" t="n">
        <v>46204</v>
      </c>
      <c r="D8" s="9" t="n">
        <v>46076</v>
      </c>
      <c r="E8" s="7" t="s">
        <v>46</v>
      </c>
      <c r="H8" s="7" t="s">
        <v>47</v>
      </c>
    </row>
    <row r="9" customFormat="false" ht="15" hidden="false" customHeight="false" outlineLevel="0" collapsed="false">
      <c r="A9" s="2" t="s">
        <v>48</v>
      </c>
      <c r="B9" s="9" t="n">
        <v>46477</v>
      </c>
      <c r="D9" s="9" t="n">
        <v>46101</v>
      </c>
      <c r="E9" s="7" t="s">
        <v>49</v>
      </c>
      <c r="H9" s="7" t="s">
        <v>50</v>
      </c>
    </row>
    <row r="10" customFormat="false" ht="15" hidden="false" customHeight="false" outlineLevel="0" collapsed="false">
      <c r="D10" s="9" t="n">
        <v>46141</v>
      </c>
      <c r="E10" s="7" t="s">
        <v>51</v>
      </c>
      <c r="H10" s="7" t="s">
        <v>52</v>
      </c>
    </row>
    <row r="11" customFormat="false" ht="15" hidden="false" customHeight="false" outlineLevel="0" collapsed="false">
      <c r="A11" s="2" t="s">
        <v>53</v>
      </c>
      <c r="D11" s="9" t="n">
        <v>46145</v>
      </c>
      <c r="E11" s="7" t="s">
        <v>54</v>
      </c>
      <c r="H11" s="7" t="s">
        <v>55</v>
      </c>
    </row>
    <row r="12" customFormat="false" ht="15" hidden="false" customHeight="false" outlineLevel="0" collapsed="false">
      <c r="A12" s="10" t="s">
        <v>56</v>
      </c>
      <c r="B12" s="11" t="n">
        <f aca="false">DATE(YEAR($B$8),MONTH($B$8),1)</f>
        <v>46204</v>
      </c>
      <c r="D12" s="9" t="n">
        <v>46146</v>
      </c>
      <c r="E12" s="7" t="s">
        <v>57</v>
      </c>
      <c r="H12" s="7" t="s">
        <v>58</v>
      </c>
    </row>
    <row r="13" customFormat="false" ht="15" hidden="false" customHeight="false" outlineLevel="0" collapsed="false">
      <c r="A13" s="12" t="s">
        <v>59</v>
      </c>
      <c r="D13" s="9" t="n">
        <v>46147</v>
      </c>
      <c r="E13" s="7" t="s">
        <v>60</v>
      </c>
      <c r="H13" s="7" t="s">
        <v>61</v>
      </c>
    </row>
    <row r="14" customFormat="false" ht="15" hidden="false" customHeight="false" outlineLevel="0" collapsed="false">
      <c r="D14" s="9" t="n">
        <v>46148</v>
      </c>
      <c r="E14" s="7" t="s">
        <v>62</v>
      </c>
      <c r="H14" s="7" t="s">
        <v>63</v>
      </c>
    </row>
    <row r="15" customFormat="false" ht="15" hidden="false" customHeight="false" outlineLevel="0" collapsed="false">
      <c r="D15" s="9" t="n">
        <v>46223</v>
      </c>
      <c r="E15" s="7" t="s">
        <v>64</v>
      </c>
    </row>
    <row r="16" customFormat="false" ht="15" hidden="false" customHeight="false" outlineLevel="0" collapsed="false">
      <c r="D16" s="9" t="n">
        <v>46245</v>
      </c>
      <c r="E16" s="7" t="s">
        <v>65</v>
      </c>
    </row>
    <row r="17" customFormat="false" ht="15" hidden="false" customHeight="false" outlineLevel="0" collapsed="false">
      <c r="D17" s="9" t="n">
        <v>46286</v>
      </c>
      <c r="E17" s="7" t="s">
        <v>66</v>
      </c>
    </row>
    <row r="18" customFormat="false" ht="15" hidden="false" customHeight="false" outlineLevel="0" collapsed="false">
      <c r="D18" s="9" t="n">
        <v>46287</v>
      </c>
      <c r="E18" s="7" t="s">
        <v>67</v>
      </c>
    </row>
    <row r="19" customFormat="false" ht="15" hidden="false" customHeight="false" outlineLevel="0" collapsed="false">
      <c r="D19" s="9" t="n">
        <v>46288</v>
      </c>
      <c r="E19" s="7" t="s">
        <v>68</v>
      </c>
    </row>
    <row r="20" customFormat="false" ht="15" hidden="false" customHeight="false" outlineLevel="0" collapsed="false">
      <c r="D20" s="9" t="n">
        <v>46307</v>
      </c>
      <c r="E20" s="7" t="s">
        <v>69</v>
      </c>
    </row>
    <row r="21" customFormat="false" ht="15" hidden="false" customHeight="false" outlineLevel="0" collapsed="false">
      <c r="D21" s="9" t="n">
        <v>46329</v>
      </c>
      <c r="E21" s="7" t="s">
        <v>70</v>
      </c>
    </row>
    <row r="22" customFormat="false" ht="15" hidden="false" customHeight="false" outlineLevel="0" collapsed="false">
      <c r="D22" s="9" t="n">
        <v>46349</v>
      </c>
      <c r="E22" s="7" t="s">
        <v>71</v>
      </c>
    </row>
    <row r="23" customFormat="false" ht="15" hidden="false" customHeight="false" outlineLevel="0" collapsed="false">
      <c r="D23" s="9" t="n">
        <v>46388</v>
      </c>
      <c r="E23" s="7" t="s">
        <v>37</v>
      </c>
    </row>
    <row r="24" customFormat="false" ht="15" hidden="false" customHeight="false" outlineLevel="0" collapsed="false">
      <c r="D24" s="9" t="n">
        <v>46398</v>
      </c>
      <c r="E24" s="7" t="s">
        <v>41</v>
      </c>
    </row>
    <row r="25" customFormat="false" ht="15" hidden="false" customHeight="false" outlineLevel="0" collapsed="false">
      <c r="D25" s="9" t="n">
        <v>46429</v>
      </c>
      <c r="E25" s="7" t="s">
        <v>43</v>
      </c>
    </row>
    <row r="26" customFormat="false" ht="15" hidden="false" customHeight="false" outlineLevel="0" collapsed="false">
      <c r="D26" s="9" t="n">
        <v>46441</v>
      </c>
      <c r="E26" s="7" t="s">
        <v>46</v>
      </c>
    </row>
    <row r="27" customFormat="false" ht="15" hidden="false" customHeight="false" outlineLevel="0" collapsed="false">
      <c r="D27" s="9" t="n">
        <v>46468</v>
      </c>
      <c r="E27" s="7" t="s">
        <v>72</v>
      </c>
    </row>
    <row r="28" customFormat="false" ht="15" hidden="false" customHeight="false" outlineLevel="0" collapsed="false">
      <c r="D28" s="9" t="n">
        <v>46506</v>
      </c>
      <c r="E28" s="7" t="s">
        <v>51</v>
      </c>
    </row>
    <row r="29" customFormat="false" ht="15" hidden="false" customHeight="false" outlineLevel="0" collapsed="false">
      <c r="D29" s="9" t="n">
        <v>46510</v>
      </c>
      <c r="E29" s="7" t="s">
        <v>54</v>
      </c>
    </row>
    <row r="30" customFormat="false" ht="15" hidden="false" customHeight="false" outlineLevel="0" collapsed="false">
      <c r="D30" s="9" t="n">
        <v>46511</v>
      </c>
      <c r="E30" s="7" t="s">
        <v>57</v>
      </c>
    </row>
    <row r="31" customFormat="false" ht="15" hidden="false" customHeight="false" outlineLevel="0" collapsed="false">
      <c r="D31" s="9" t="n">
        <v>46512</v>
      </c>
      <c r="E31" s="7" t="s">
        <v>60</v>
      </c>
    </row>
    <row r="32" customFormat="false" ht="15" hidden="false" customHeight="false" outlineLevel="0" collapsed="false">
      <c r="D32" s="9" t="n">
        <v>46587</v>
      </c>
      <c r="E32" s="7" t="s">
        <v>64</v>
      </c>
    </row>
    <row r="33" customFormat="false" ht="15" hidden="false" customHeight="false" outlineLevel="0" collapsed="false">
      <c r="D33" s="9" t="n">
        <v>46610</v>
      </c>
      <c r="E33" s="7" t="s">
        <v>65</v>
      </c>
    </row>
    <row r="34" customFormat="false" ht="15" hidden="false" customHeight="false" outlineLevel="0" collapsed="false">
      <c r="D34" s="9" t="n">
        <v>46650</v>
      </c>
      <c r="E34" s="7" t="s">
        <v>66</v>
      </c>
    </row>
    <row r="35" customFormat="false" ht="15" hidden="false" customHeight="false" outlineLevel="0" collapsed="false">
      <c r="D35" s="9" t="n">
        <v>46653</v>
      </c>
      <c r="E35" s="7" t="s">
        <v>68</v>
      </c>
    </row>
    <row r="36" customFormat="false" ht="15" hidden="false" customHeight="false" outlineLevel="0" collapsed="false">
      <c r="D36" s="9" t="n">
        <v>46671</v>
      </c>
      <c r="E36" s="7" t="s">
        <v>69</v>
      </c>
    </row>
    <row r="37" customFormat="false" ht="15" hidden="false" customHeight="false" outlineLevel="0" collapsed="false">
      <c r="D37" s="9" t="n">
        <v>46694</v>
      </c>
      <c r="E37" s="7" t="s">
        <v>70</v>
      </c>
    </row>
    <row r="38" customFormat="false" ht="15" hidden="false" customHeight="false" outlineLevel="0" collapsed="false">
      <c r="D38" s="9" t="n">
        <v>46714</v>
      </c>
      <c r="E38" s="7" t="s">
        <v>71</v>
      </c>
    </row>
    <row r="60" customFormat="false" ht="15" hidden="false" customHeight="false" outlineLevel="0" collapsed="false">
      <c r="D60" s="13"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P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30"/>
    <col collapsed="false" customWidth="true" hidden="false" outlineLevel="0" max="4" min="4" style="0" width="16"/>
    <col collapsed="false" customWidth="true" hidden="false" outlineLevel="0" max="6" min="5" style="0" width="11"/>
    <col collapsed="false" customWidth="true" hidden="false" outlineLevel="0" max="7" min="7" style="0" width="6"/>
    <col collapsed="false" customWidth="true" hidden="false" outlineLevel="0" max="8" min="8" style="0" width="8"/>
    <col collapsed="false" customWidth="true" hidden="false" outlineLevel="0" max="9" min="9" style="0" width="5"/>
    <col collapsed="false" customWidth="true" hidden="false" outlineLevel="0" max="10" min="10" style="0" width="24"/>
    <col collapsed="false" customWidth="true" hidden="true" outlineLevel="0" max="13" min="11" style="0" width="10"/>
    <col collapsed="false" customWidth="true" hidden="false" outlineLevel="0" max="16" min="14" style="0" width="6"/>
  </cols>
  <sheetData>
    <row r="1" customFormat="false" ht="19.4" hidden="false" customHeight="false" outlineLevel="0" collapsed="false">
      <c r="A1" s="1" t="s">
        <v>74</v>
      </c>
    </row>
    <row r="2" customFormat="false" ht="15" hidden="false" customHeight="false" outlineLevel="0" collapsed="false">
      <c r="A2" s="13" t="s">
        <v>75</v>
      </c>
    </row>
    <row r="4" customFormat="false" ht="15" hidden="false" customHeight="false" outlineLevel="0" collapsed="false">
      <c r="A4" s="14" t="s">
        <v>76</v>
      </c>
      <c r="B4" s="8" t="s">
        <v>77</v>
      </c>
      <c r="C4" s="8" t="s">
        <v>78</v>
      </c>
      <c r="D4" s="8" t="s">
        <v>79</v>
      </c>
      <c r="E4" s="8" t="s">
        <v>80</v>
      </c>
      <c r="F4" s="8" t="s">
        <v>81</v>
      </c>
      <c r="G4" s="8" t="s">
        <v>82</v>
      </c>
      <c r="H4" s="8" t="s">
        <v>83</v>
      </c>
      <c r="I4" s="14" t="s">
        <v>84</v>
      </c>
      <c r="J4" s="8" t="s">
        <v>85</v>
      </c>
      <c r="K4" s="14" t="s">
        <v>86</v>
      </c>
      <c r="L4" s="14" t="s">
        <v>87</v>
      </c>
      <c r="M4" s="14" t="s">
        <v>88</v>
      </c>
      <c r="N4" s="8" t="s">
        <v>89</v>
      </c>
      <c r="O4" s="8" t="s">
        <v>90</v>
      </c>
      <c r="P4" s="8" t="s">
        <v>91</v>
      </c>
    </row>
    <row r="5" customFormat="false" ht="15" hidden="false" customHeight="false" outlineLevel="0" collapsed="false">
      <c r="A5" s="15" t="n">
        <f aca="false">IF($C5="","",ROW()-4)</f>
        <v>1</v>
      </c>
      <c r="B5" s="7" t="s">
        <v>61</v>
      </c>
      <c r="C5" s="7" t="s">
        <v>92</v>
      </c>
      <c r="D5" s="7"/>
      <c r="E5" s="16" t="n">
        <v>46204</v>
      </c>
      <c r="F5" s="16" t="n">
        <v>46204</v>
      </c>
      <c r="G5" s="17" t="n">
        <f aca="false">IF(OR($E5="",$F5=""),0,$F5-$E5+1)</f>
        <v>1</v>
      </c>
      <c r="H5" s="18"/>
      <c r="I5" s="19" t="s">
        <v>93</v>
      </c>
      <c r="J5" s="7"/>
      <c r="K5" s="20" t="n">
        <f aca="false">IF($E5="",0,$E5)</f>
        <v>46204</v>
      </c>
      <c r="L5" s="20" t="n">
        <f aca="false">IF($F5="",0,$F5)</f>
        <v>46204</v>
      </c>
      <c r="M5" s="20" t="n">
        <f aca="false">IF(OR($G5=0,$H5=""),$K5,MIN($L5+1,$K5+$G5*$H5))</f>
        <v>46204</v>
      </c>
      <c r="N5" s="19"/>
      <c r="O5" s="19"/>
      <c r="P5" s="19"/>
    </row>
    <row r="6" customFormat="false" ht="15" hidden="false" customHeight="false" outlineLevel="0" collapsed="false">
      <c r="A6" s="15" t="n">
        <f aca="false">IF($C6="","",ROW()-4)</f>
        <v>2</v>
      </c>
      <c r="B6" s="7" t="s">
        <v>61</v>
      </c>
      <c r="C6" s="7" t="s">
        <v>94</v>
      </c>
      <c r="D6" s="7"/>
      <c r="E6" s="16" t="n">
        <v>46207</v>
      </c>
      <c r="F6" s="16" t="n">
        <v>46207</v>
      </c>
      <c r="G6" s="17" t="n">
        <f aca="false">IF(OR($E6="",$F6=""),0,$F6-$E6+1)</f>
        <v>1</v>
      </c>
      <c r="H6" s="18"/>
      <c r="I6" s="19" t="s">
        <v>93</v>
      </c>
      <c r="J6" s="7"/>
      <c r="K6" s="20" t="n">
        <f aca="false">IF($E6="",0,$E6)</f>
        <v>46207</v>
      </c>
      <c r="L6" s="20" t="n">
        <f aca="false">IF($F6="",0,$F6)</f>
        <v>46207</v>
      </c>
      <c r="M6" s="20" t="n">
        <f aca="false">IF(OR($G6=0,$H6=""),$K6,MIN($L6+1,$K6+$G6*$H6))</f>
        <v>46207</v>
      </c>
      <c r="N6" s="19" t="n">
        <v>1</v>
      </c>
      <c r="O6" s="19"/>
      <c r="P6" s="19"/>
    </row>
    <row r="7" customFormat="false" ht="15" hidden="false" customHeight="false" outlineLevel="0" collapsed="false">
      <c r="A7" s="15" t="n">
        <f aca="false">IF($C7="","",ROW()-4)</f>
        <v>3</v>
      </c>
      <c r="B7" s="7" t="s">
        <v>38</v>
      </c>
      <c r="C7" s="7" t="s">
        <v>95</v>
      </c>
      <c r="D7" s="7" t="s">
        <v>96</v>
      </c>
      <c r="E7" s="16" t="n">
        <v>46204</v>
      </c>
      <c r="F7" s="16" t="n">
        <v>46213</v>
      </c>
      <c r="G7" s="17" t="n">
        <f aca="false">IF(OR($E7="",$F7=""),0,$F7-$E7+1)</f>
        <v>10</v>
      </c>
      <c r="H7" s="18" t="n">
        <v>1</v>
      </c>
      <c r="I7" s="19"/>
      <c r="J7" s="7"/>
      <c r="K7" s="20" t="n">
        <f aca="false">IF($E7="",0,$E7)</f>
        <v>46204</v>
      </c>
      <c r="L7" s="20" t="n">
        <f aca="false">IF($F7="",0,$F7)</f>
        <v>46213</v>
      </c>
      <c r="M7" s="21" t="n">
        <f aca="false">IF(OR($G7=0,$H7=""),$K7,MIN($L7+1,$K7+$G7*$H7))</f>
        <v>46214</v>
      </c>
      <c r="N7" s="19" t="n">
        <v>1</v>
      </c>
      <c r="O7" s="19"/>
      <c r="P7" s="19"/>
    </row>
    <row r="8" customFormat="false" ht="15" hidden="false" customHeight="false" outlineLevel="0" collapsed="false">
      <c r="A8" s="15" t="n">
        <f aca="false">IF($C8="","",ROW()-4)</f>
        <v>4</v>
      </c>
      <c r="B8" s="7" t="s">
        <v>38</v>
      </c>
      <c r="C8" s="7" t="s">
        <v>97</v>
      </c>
      <c r="D8" s="7" t="s">
        <v>96</v>
      </c>
      <c r="E8" s="16" t="n">
        <v>46209</v>
      </c>
      <c r="F8" s="16" t="n">
        <v>46218</v>
      </c>
      <c r="G8" s="17" t="n">
        <f aca="false">IF(OR($E8="",$F8=""),0,$F8-$E8+1)</f>
        <v>10</v>
      </c>
      <c r="H8" s="18" t="n">
        <v>1</v>
      </c>
      <c r="I8" s="19"/>
      <c r="J8" s="7"/>
      <c r="K8" s="20" t="n">
        <f aca="false">IF($E8="",0,$E8)</f>
        <v>46209</v>
      </c>
      <c r="L8" s="20" t="n">
        <f aca="false">IF($F8="",0,$F8)</f>
        <v>46218</v>
      </c>
      <c r="M8" s="21" t="n">
        <f aca="false">IF(OR($G8=0,$H8=""),$K8,MIN($L8+1,$K8+$G8*$H8))</f>
        <v>46219</v>
      </c>
      <c r="N8" s="19" t="n">
        <v>3</v>
      </c>
      <c r="O8" s="19"/>
      <c r="P8" s="19"/>
    </row>
    <row r="9" customFormat="false" ht="15" hidden="false" customHeight="false" outlineLevel="0" collapsed="false">
      <c r="A9" s="15" t="n">
        <f aca="false">IF($C9="","",ROW()-4)</f>
        <v>5</v>
      </c>
      <c r="B9" s="7" t="s">
        <v>38</v>
      </c>
      <c r="C9" s="7" t="s">
        <v>98</v>
      </c>
      <c r="D9" s="7" t="s">
        <v>99</v>
      </c>
      <c r="E9" s="16" t="n">
        <v>46216</v>
      </c>
      <c r="F9" s="16" t="n">
        <v>46225</v>
      </c>
      <c r="G9" s="17" t="n">
        <f aca="false">IF(OR($E9="",$F9=""),0,$F9-$E9+1)</f>
        <v>10</v>
      </c>
      <c r="H9" s="18" t="n">
        <v>0.6</v>
      </c>
      <c r="I9" s="19"/>
      <c r="J9" s="7"/>
      <c r="K9" s="20" t="n">
        <f aca="false">IF($E9="",0,$E9)</f>
        <v>46216</v>
      </c>
      <c r="L9" s="20" t="n">
        <f aca="false">IF($F9="",0,$F9)</f>
        <v>46225</v>
      </c>
      <c r="M9" s="21" t="n">
        <f aca="false">IF(OR($G9=0,$H9=""),$K9,MIN($L9+1,$K9+$G9*$H9))</f>
        <v>46222</v>
      </c>
      <c r="N9" s="19" t="n">
        <v>4</v>
      </c>
      <c r="O9" s="19"/>
      <c r="P9" s="19"/>
    </row>
    <row r="10" customFormat="false" ht="15" hidden="false" customHeight="false" outlineLevel="0" collapsed="false">
      <c r="A10" s="15" t="n">
        <f aca="false">IF($C10="","",ROW()-4)</f>
        <v>6</v>
      </c>
      <c r="B10" s="7" t="s">
        <v>44</v>
      </c>
      <c r="C10" s="7" t="s">
        <v>100</v>
      </c>
      <c r="D10" s="7" t="s">
        <v>101</v>
      </c>
      <c r="E10" s="16" t="n">
        <v>46216</v>
      </c>
      <c r="F10" s="16" t="n">
        <v>46234</v>
      </c>
      <c r="G10" s="17" t="n">
        <f aca="false">IF(OR($E10="",$F10=""),0,$F10-$E10+1)</f>
        <v>19</v>
      </c>
      <c r="H10" s="18" t="n">
        <v>0.35</v>
      </c>
      <c r="I10" s="19"/>
      <c r="J10" s="7" t="s">
        <v>102</v>
      </c>
      <c r="K10" s="20" t="n">
        <f aca="false">IF($E10="",0,$E10)</f>
        <v>46216</v>
      </c>
      <c r="L10" s="20" t="n">
        <f aca="false">IF($F10="",0,$F10)</f>
        <v>46234</v>
      </c>
      <c r="M10" s="21" t="n">
        <f aca="false">IF(OR($G10=0,$H10=""),$K10,MIN($L10+1,$K10+$G10*$H10))</f>
        <v>46222.65</v>
      </c>
      <c r="N10" s="19" t="n">
        <v>2</v>
      </c>
      <c r="O10" s="19" t="n">
        <v>3</v>
      </c>
      <c r="P10" s="19" t="n">
        <v>5</v>
      </c>
    </row>
    <row r="11" customFormat="false" ht="15" hidden="false" customHeight="false" outlineLevel="0" collapsed="false">
      <c r="A11" s="15" t="n">
        <f aca="false">IF($C11="","",ROW()-4)</f>
        <v>7</v>
      </c>
      <c r="B11" s="7" t="s">
        <v>42</v>
      </c>
      <c r="C11" s="7" t="s">
        <v>103</v>
      </c>
      <c r="D11" s="7" t="s">
        <v>104</v>
      </c>
      <c r="E11" s="16" t="n">
        <v>46230</v>
      </c>
      <c r="F11" s="16" t="n">
        <v>46242</v>
      </c>
      <c r="G11" s="17" t="n">
        <f aca="false">IF(OR($E11="",$F11=""),0,$F11-$E11+1)</f>
        <v>13</v>
      </c>
      <c r="H11" s="18" t="n">
        <v>0</v>
      </c>
      <c r="I11" s="19"/>
      <c r="J11" s="7"/>
      <c r="K11" s="20" t="n">
        <f aca="false">IF($E11="",0,$E11)</f>
        <v>46230</v>
      </c>
      <c r="L11" s="20" t="n">
        <f aca="false">IF($F11="",0,$F11)</f>
        <v>46242</v>
      </c>
      <c r="M11" s="21" t="n">
        <f aca="false">IF(OR($G11=0,$H11=""),$K11,MIN($L11+1,$K11+$G11*$H11))</f>
        <v>46230</v>
      </c>
      <c r="N11" s="19" t="n">
        <v>6</v>
      </c>
      <c r="O11" s="19"/>
      <c r="P11" s="19"/>
    </row>
    <row r="12" customFormat="false" ht="15" hidden="false" customHeight="false" outlineLevel="0" collapsed="false">
      <c r="A12" s="15" t="n">
        <f aca="false">IF($C12="","",ROW()-4)</f>
        <v>8</v>
      </c>
      <c r="B12" s="7" t="s">
        <v>42</v>
      </c>
      <c r="C12" s="7" t="s">
        <v>105</v>
      </c>
      <c r="D12" s="7" t="s">
        <v>104</v>
      </c>
      <c r="E12" s="16" t="n">
        <v>46237</v>
      </c>
      <c r="F12" s="16" t="n">
        <v>46259</v>
      </c>
      <c r="G12" s="17" t="n">
        <f aca="false">IF(OR($E12="",$F12=""),0,$F12-$E12+1)</f>
        <v>23</v>
      </c>
      <c r="H12" s="18" t="n">
        <v>0</v>
      </c>
      <c r="I12" s="19"/>
      <c r="J12" s="7"/>
      <c r="K12" s="20" t="n">
        <f aca="false">IF($E12="",0,$E12)</f>
        <v>46237</v>
      </c>
      <c r="L12" s="20" t="n">
        <f aca="false">IF($F12="",0,$F12)</f>
        <v>46259</v>
      </c>
      <c r="M12" s="21" t="n">
        <f aca="false">IF(OR($G12=0,$H12=""),$K12,MIN($L12+1,$K12+$G12*$H12))</f>
        <v>46237</v>
      </c>
      <c r="N12" s="19" t="n">
        <v>7</v>
      </c>
      <c r="O12" s="19"/>
      <c r="P12" s="19"/>
    </row>
    <row r="13" customFormat="false" ht="15" hidden="false" customHeight="false" outlineLevel="0" collapsed="false">
      <c r="A13" s="15" t="n">
        <f aca="false">IF($C13="","",ROW()-4)</f>
        <v>9</v>
      </c>
      <c r="B13" s="7" t="s">
        <v>42</v>
      </c>
      <c r="C13" s="7" t="s">
        <v>106</v>
      </c>
      <c r="D13" s="7" t="s">
        <v>104</v>
      </c>
      <c r="E13" s="16" t="n">
        <v>46258</v>
      </c>
      <c r="F13" s="16" t="n">
        <v>46263</v>
      </c>
      <c r="G13" s="17" t="n">
        <f aca="false">IF(OR($E13="",$F13=""),0,$F13-$E13+1)</f>
        <v>6</v>
      </c>
      <c r="H13" s="18" t="n">
        <v>0</v>
      </c>
      <c r="I13" s="19"/>
      <c r="J13" s="7"/>
      <c r="K13" s="20" t="n">
        <f aca="false">IF($E13="",0,$E13)</f>
        <v>46258</v>
      </c>
      <c r="L13" s="20" t="n">
        <f aca="false">IF($F13="",0,$F13)</f>
        <v>46263</v>
      </c>
      <c r="M13" s="21" t="n">
        <f aca="false">IF(OR($G13=0,$H13=""),$K13,MIN($L13+1,$K13+$G13*$H13))</f>
        <v>46258</v>
      </c>
      <c r="N13" s="19" t="n">
        <v>8</v>
      </c>
      <c r="O13" s="19"/>
      <c r="P13" s="19"/>
    </row>
    <row r="14" customFormat="false" ht="15" hidden="false" customHeight="false" outlineLevel="0" collapsed="false">
      <c r="A14" s="15" t="n">
        <f aca="false">IF($C14="","",ROW()-4)</f>
        <v>10</v>
      </c>
      <c r="B14" s="7" t="s">
        <v>44</v>
      </c>
      <c r="C14" s="7" t="s">
        <v>107</v>
      </c>
      <c r="D14" s="7" t="s">
        <v>108</v>
      </c>
      <c r="E14" s="16" t="n">
        <v>46265</v>
      </c>
      <c r="F14" s="16" t="n">
        <v>46277</v>
      </c>
      <c r="G14" s="17" t="n">
        <f aca="false">IF(OR($E14="",$F14=""),0,$F14-$E14+1)</f>
        <v>13</v>
      </c>
      <c r="H14" s="18" t="n">
        <v>0</v>
      </c>
      <c r="I14" s="19"/>
      <c r="J14" s="7" t="s">
        <v>109</v>
      </c>
      <c r="K14" s="20" t="n">
        <f aca="false">IF($E14="",0,$E14)</f>
        <v>46265</v>
      </c>
      <c r="L14" s="20" t="n">
        <f aca="false">IF($F14="",0,$F14)</f>
        <v>46277</v>
      </c>
      <c r="M14" s="21" t="n">
        <f aca="false">IF(OR($G14=0,$H14=""),$K14,MIN($L14+1,$K14+$G14*$H14))</f>
        <v>46265</v>
      </c>
      <c r="N14" s="19" t="n">
        <v>9</v>
      </c>
      <c r="O14" s="19"/>
      <c r="P14" s="19"/>
    </row>
    <row r="15" customFormat="false" ht="15" hidden="false" customHeight="false" outlineLevel="0" collapsed="false">
      <c r="A15" s="15" t="n">
        <f aca="false">IF($C15="","",ROW()-4)</f>
        <v>11</v>
      </c>
      <c r="B15" s="7" t="s">
        <v>44</v>
      </c>
      <c r="C15" s="7" t="s">
        <v>110</v>
      </c>
      <c r="D15" s="7" t="s">
        <v>108</v>
      </c>
      <c r="E15" s="16" t="n">
        <v>46279</v>
      </c>
      <c r="F15" s="16" t="n">
        <v>46281</v>
      </c>
      <c r="G15" s="17" t="n">
        <f aca="false">IF(OR($E15="",$F15=""),0,$F15-$E15+1)</f>
        <v>3</v>
      </c>
      <c r="H15" s="18" t="n">
        <v>0</v>
      </c>
      <c r="I15" s="19"/>
      <c r="J15" s="7"/>
      <c r="K15" s="20" t="n">
        <f aca="false">IF($E15="",0,$E15)</f>
        <v>46279</v>
      </c>
      <c r="L15" s="20" t="n">
        <f aca="false">IF($F15="",0,$F15)</f>
        <v>46281</v>
      </c>
      <c r="M15" s="21" t="n">
        <f aca="false">IF(OR($G15=0,$H15=""),$K15,MIN($L15+1,$K15+$G15*$H15))</f>
        <v>46279</v>
      </c>
      <c r="N15" s="19" t="n">
        <v>10</v>
      </c>
      <c r="O15" s="19"/>
      <c r="P15" s="19"/>
    </row>
    <row r="16" customFormat="false" ht="15" hidden="false" customHeight="false" outlineLevel="0" collapsed="false">
      <c r="A16" s="15" t="n">
        <f aca="false">IF($C16="","",ROW()-4)</f>
        <v>12</v>
      </c>
      <c r="B16" s="7" t="s">
        <v>44</v>
      </c>
      <c r="C16" s="7" t="s">
        <v>111</v>
      </c>
      <c r="D16" s="7" t="s">
        <v>104</v>
      </c>
      <c r="E16" s="16" t="n">
        <v>46282</v>
      </c>
      <c r="F16" s="16" t="n">
        <v>46291</v>
      </c>
      <c r="G16" s="17" t="n">
        <f aca="false">IF(OR($E16="",$F16=""),0,$F16-$E16+1)</f>
        <v>10</v>
      </c>
      <c r="H16" s="18" t="n">
        <v>0</v>
      </c>
      <c r="I16" s="19"/>
      <c r="J16" s="7"/>
      <c r="K16" s="20" t="n">
        <f aca="false">IF($E16="",0,$E16)</f>
        <v>46282</v>
      </c>
      <c r="L16" s="20" t="n">
        <f aca="false">IF($F16="",0,$F16)</f>
        <v>46291</v>
      </c>
      <c r="M16" s="21" t="n">
        <f aca="false">IF(OR($G16=0,$H16=""),$K16,MIN($L16+1,$K16+$G16*$H16))</f>
        <v>46282</v>
      </c>
      <c r="N16" s="19" t="n">
        <v>11</v>
      </c>
      <c r="O16" s="19"/>
      <c r="P16" s="19"/>
    </row>
    <row r="17" customFormat="false" ht="15" hidden="false" customHeight="false" outlineLevel="0" collapsed="false">
      <c r="A17" s="15" t="n">
        <f aca="false">IF($C17="","",ROW()-4)</f>
        <v>13</v>
      </c>
      <c r="B17" s="7" t="s">
        <v>47</v>
      </c>
      <c r="C17" s="7" t="s">
        <v>112</v>
      </c>
      <c r="D17" s="7" t="s">
        <v>113</v>
      </c>
      <c r="E17" s="16" t="n">
        <v>46237</v>
      </c>
      <c r="F17" s="16" t="n">
        <v>46290</v>
      </c>
      <c r="G17" s="17" t="n">
        <f aca="false">IF(OR($E17="",$F17=""),0,$F17-$E17+1)</f>
        <v>54</v>
      </c>
      <c r="H17" s="18" t="n">
        <v>0</v>
      </c>
      <c r="I17" s="19"/>
      <c r="J17" s="7" t="s">
        <v>114</v>
      </c>
      <c r="K17" s="20" t="n">
        <f aca="false">IF($E17="",0,$E17)</f>
        <v>46237</v>
      </c>
      <c r="L17" s="20" t="n">
        <f aca="false">IF($F17="",0,$F17)</f>
        <v>46290</v>
      </c>
      <c r="M17" s="21" t="n">
        <f aca="false">IF(OR($G17=0,$H17=""),$K17,MIN($L17+1,$K17+$G17*$H17))</f>
        <v>46237</v>
      </c>
      <c r="N17" s="19" t="n">
        <v>2</v>
      </c>
      <c r="O17" s="19"/>
      <c r="P17" s="19"/>
    </row>
    <row r="18" customFormat="false" ht="15" hidden="false" customHeight="false" outlineLevel="0" collapsed="false">
      <c r="A18" s="15" t="n">
        <f aca="false">IF($C18="","",ROW()-4)</f>
        <v>14</v>
      </c>
      <c r="B18" s="7" t="s">
        <v>61</v>
      </c>
      <c r="C18" s="7" t="s">
        <v>115</v>
      </c>
      <c r="D18" s="7"/>
      <c r="E18" s="16" t="n">
        <v>46293</v>
      </c>
      <c r="F18" s="16" t="n">
        <v>46293</v>
      </c>
      <c r="G18" s="17" t="n">
        <f aca="false">IF(OR($E18="",$F18=""),0,$F18-$E18+1)</f>
        <v>1</v>
      </c>
      <c r="H18" s="18"/>
      <c r="I18" s="19" t="s">
        <v>93</v>
      </c>
      <c r="J18" s="7"/>
      <c r="K18" s="20" t="n">
        <f aca="false">IF($E18="",0,$E18)</f>
        <v>46293</v>
      </c>
      <c r="L18" s="20" t="n">
        <f aca="false">IF($F18="",0,$F18)</f>
        <v>46293</v>
      </c>
      <c r="M18" s="20" t="n">
        <f aca="false">IF(OR($G18=0,$H18=""),$K18,MIN($L18+1,$K18+$G18*$H18))</f>
        <v>46293</v>
      </c>
      <c r="N18" s="19" t="n">
        <v>12</v>
      </c>
      <c r="O18" s="19" t="n">
        <v>13</v>
      </c>
      <c r="P18" s="19"/>
    </row>
    <row r="19" customFormat="false" ht="15" hidden="false" customHeight="false" outlineLevel="0" collapsed="false">
      <c r="A19" s="15" t="n">
        <f aca="false">IF($C19="","",ROW()-4)</f>
        <v>15</v>
      </c>
      <c r="B19" s="7" t="s">
        <v>38</v>
      </c>
      <c r="C19" s="7" t="s">
        <v>116</v>
      </c>
      <c r="D19" s="7" t="s">
        <v>96</v>
      </c>
      <c r="E19" s="16" t="n">
        <v>46289</v>
      </c>
      <c r="F19" s="16" t="n">
        <v>46301</v>
      </c>
      <c r="G19" s="17" t="n">
        <f aca="false">IF(OR($E19="",$F19=""),0,$F19-$E19+1)</f>
        <v>13</v>
      </c>
      <c r="H19" s="18" t="n">
        <v>0</v>
      </c>
      <c r="I19" s="19"/>
      <c r="J19" s="7"/>
      <c r="K19" s="20" t="n">
        <f aca="false">IF($E19="",0,$E19)</f>
        <v>46289</v>
      </c>
      <c r="L19" s="20" t="n">
        <f aca="false">IF($F19="",0,$F19)</f>
        <v>46301</v>
      </c>
      <c r="M19" s="21" t="n">
        <f aca="false">IF(OR($G19=0,$H19=""),$K19,MIN($L19+1,$K19+$G19*$H19))</f>
        <v>46289</v>
      </c>
      <c r="N19" s="19" t="n">
        <v>12</v>
      </c>
      <c r="O19" s="19"/>
      <c r="P19" s="19"/>
    </row>
    <row r="20" customFormat="false" ht="15" hidden="false" customHeight="false" outlineLevel="0" collapsed="false">
      <c r="A20" s="15" t="n">
        <f aca="false">IF($C20="","",ROW()-4)</f>
        <v>16</v>
      </c>
      <c r="B20" s="7" t="s">
        <v>47</v>
      </c>
      <c r="C20" s="7" t="s">
        <v>117</v>
      </c>
      <c r="D20" s="7" t="s">
        <v>113</v>
      </c>
      <c r="E20" s="16" t="n">
        <v>46293</v>
      </c>
      <c r="F20" s="16" t="n">
        <v>46318</v>
      </c>
      <c r="G20" s="17" t="n">
        <f aca="false">IF(OR($E20="",$F20=""),0,$F20-$E20+1)</f>
        <v>26</v>
      </c>
      <c r="H20" s="18" t="n">
        <v>0</v>
      </c>
      <c r="I20" s="19"/>
      <c r="J20" s="7"/>
      <c r="K20" s="20" t="n">
        <f aca="false">IF($E20="",0,$E20)</f>
        <v>46293</v>
      </c>
      <c r="L20" s="20" t="n">
        <f aca="false">IF($F20="",0,$F20)</f>
        <v>46318</v>
      </c>
      <c r="M20" s="21" t="n">
        <f aca="false">IF(OR($G20=0,$H20=""),$K20,MIN($L20+1,$K20+$G20*$H20))</f>
        <v>46293</v>
      </c>
      <c r="N20" s="19" t="n">
        <v>14</v>
      </c>
      <c r="O20" s="19" t="n">
        <v>15</v>
      </c>
      <c r="P20" s="19"/>
    </row>
    <row r="21" customFormat="false" ht="15" hidden="false" customHeight="false" outlineLevel="0" collapsed="false">
      <c r="A21" s="15" t="n">
        <f aca="false">IF($C21="","",ROW()-4)</f>
        <v>17</v>
      </c>
      <c r="B21" s="7" t="s">
        <v>61</v>
      </c>
      <c r="C21" s="7" t="s">
        <v>118</v>
      </c>
      <c r="D21" s="7"/>
      <c r="E21" s="16" t="n">
        <v>46318</v>
      </c>
      <c r="F21" s="16" t="n">
        <v>46318</v>
      </c>
      <c r="G21" s="17" t="n">
        <f aca="false">IF(OR($E21="",$F21=""),0,$F21-$E21+1)</f>
        <v>1</v>
      </c>
      <c r="H21" s="18"/>
      <c r="I21" s="19" t="s">
        <v>93</v>
      </c>
      <c r="J21" s="7"/>
      <c r="K21" s="20" t="n">
        <f aca="false">IF($E21="",0,$E21)</f>
        <v>46318</v>
      </c>
      <c r="L21" s="20" t="n">
        <f aca="false">IF($F21="",0,$F21)</f>
        <v>46318</v>
      </c>
      <c r="M21" s="20" t="n">
        <f aca="false">IF(OR($G21=0,$H21=""),$K21,MIN($L21+1,$K21+$G21*$H21))</f>
        <v>46318</v>
      </c>
      <c r="N21" s="19" t="n">
        <v>16</v>
      </c>
      <c r="O21" s="19"/>
      <c r="P21" s="19"/>
    </row>
    <row r="22" customFormat="false" ht="15" hidden="false" customHeight="false" outlineLevel="0" collapsed="false">
      <c r="A22" s="15" t="n">
        <f aca="false">IF($C22="","",ROW()-4)</f>
        <v>18</v>
      </c>
      <c r="B22" s="7" t="s">
        <v>47</v>
      </c>
      <c r="C22" s="7" t="s">
        <v>119</v>
      </c>
      <c r="D22" s="7" t="s">
        <v>113</v>
      </c>
      <c r="E22" s="16" t="n">
        <v>46321</v>
      </c>
      <c r="F22" s="16" t="n">
        <v>46332</v>
      </c>
      <c r="G22" s="17" t="n">
        <f aca="false">IF(OR($E22="",$F22=""),0,$F22-$E22+1)</f>
        <v>12</v>
      </c>
      <c r="H22" s="18" t="n">
        <v>0</v>
      </c>
      <c r="I22" s="19"/>
      <c r="J22" s="7"/>
      <c r="K22" s="20" t="n">
        <f aca="false">IF($E22="",0,$E22)</f>
        <v>46321</v>
      </c>
      <c r="L22" s="20" t="n">
        <f aca="false">IF($F22="",0,$F22)</f>
        <v>46332</v>
      </c>
      <c r="M22" s="21" t="n">
        <f aca="false">IF(OR($G22=0,$H22=""),$K22,MIN($L22+1,$K22+$G22*$H22))</f>
        <v>46321</v>
      </c>
      <c r="N22" s="19" t="n">
        <v>17</v>
      </c>
      <c r="O22" s="19"/>
      <c r="P22" s="19"/>
    </row>
    <row r="23" customFormat="false" ht="15" hidden="false" customHeight="false" outlineLevel="0" collapsed="false">
      <c r="A23" s="15" t="n">
        <f aca="false">IF($C23="","",ROW()-4)</f>
        <v>19</v>
      </c>
      <c r="B23" s="7" t="s">
        <v>47</v>
      </c>
      <c r="C23" s="7" t="s">
        <v>120</v>
      </c>
      <c r="D23" s="7" t="s">
        <v>113</v>
      </c>
      <c r="E23" s="16" t="n">
        <v>46314</v>
      </c>
      <c r="F23" s="16" t="n">
        <v>46339</v>
      </c>
      <c r="G23" s="17" t="n">
        <f aca="false">IF(OR($E23="",$F23=""),0,$F23-$E23+1)</f>
        <v>26</v>
      </c>
      <c r="H23" s="18" t="n">
        <v>0</v>
      </c>
      <c r="I23" s="19"/>
      <c r="J23" s="7"/>
      <c r="K23" s="20" t="n">
        <f aca="false">IF($E23="",0,$E23)</f>
        <v>46314</v>
      </c>
      <c r="L23" s="20" t="n">
        <f aca="false">IF($F23="",0,$F23)</f>
        <v>46339</v>
      </c>
      <c r="M23" s="21" t="n">
        <f aca="false">IF(OR($G23=0,$H23=""),$K23,MIN($L23+1,$K23+$G23*$H23))</f>
        <v>46314</v>
      </c>
      <c r="N23" s="19" t="n">
        <v>17</v>
      </c>
      <c r="O23" s="19"/>
      <c r="P23" s="19"/>
    </row>
    <row r="24" customFormat="false" ht="15" hidden="false" customHeight="false" outlineLevel="0" collapsed="false">
      <c r="A24" s="15" t="n">
        <f aca="false">IF($C24="","",ROW()-4)</f>
        <v>20</v>
      </c>
      <c r="B24" s="7" t="s">
        <v>47</v>
      </c>
      <c r="C24" s="7" t="s">
        <v>121</v>
      </c>
      <c r="D24" s="7" t="s">
        <v>108</v>
      </c>
      <c r="E24" s="16" t="n">
        <v>46335</v>
      </c>
      <c r="F24" s="16" t="n">
        <v>46353</v>
      </c>
      <c r="G24" s="17" t="n">
        <f aca="false">IF(OR($E24="",$F24=""),0,$F24-$E24+1)</f>
        <v>19</v>
      </c>
      <c r="H24" s="18" t="n">
        <v>0</v>
      </c>
      <c r="I24" s="19"/>
      <c r="J24" s="7"/>
      <c r="K24" s="20" t="n">
        <f aca="false">IF($E24="",0,$E24)</f>
        <v>46335</v>
      </c>
      <c r="L24" s="20" t="n">
        <f aca="false">IF($F24="",0,$F24)</f>
        <v>46353</v>
      </c>
      <c r="M24" s="21" t="n">
        <f aca="false">IF(OR($G24=0,$H24=""),$K24,MIN($L24+1,$K24+$G24*$H24))</f>
        <v>46335</v>
      </c>
      <c r="N24" s="19" t="n">
        <v>18</v>
      </c>
      <c r="O24" s="19" t="n">
        <v>19</v>
      </c>
      <c r="P24" s="19"/>
    </row>
    <row r="25" customFormat="false" ht="15" hidden="false" customHeight="false" outlineLevel="0" collapsed="false">
      <c r="A25" s="15" t="n">
        <f aca="false">IF($C25="","",ROW()-4)</f>
        <v>21</v>
      </c>
      <c r="B25" s="7" t="s">
        <v>50</v>
      </c>
      <c r="C25" s="7" t="s">
        <v>122</v>
      </c>
      <c r="D25" s="7" t="s">
        <v>123</v>
      </c>
      <c r="E25" s="16" t="n">
        <v>46350</v>
      </c>
      <c r="F25" s="16" t="n">
        <v>46374</v>
      </c>
      <c r="G25" s="17" t="n">
        <f aca="false">IF(OR($E25="",$F25=""),0,$F25-$E25+1)</f>
        <v>25</v>
      </c>
      <c r="H25" s="18" t="n">
        <v>0</v>
      </c>
      <c r="I25" s="19"/>
      <c r="J25" s="7"/>
      <c r="K25" s="20" t="n">
        <f aca="false">IF($E25="",0,$E25)</f>
        <v>46350</v>
      </c>
      <c r="L25" s="20" t="n">
        <f aca="false">IF($F25="",0,$F25)</f>
        <v>46374</v>
      </c>
      <c r="M25" s="21" t="n">
        <f aca="false">IF(OR($G25=0,$H25=""),$K25,MIN($L25+1,$K25+$G25*$H25))</f>
        <v>46350</v>
      </c>
      <c r="N25" s="19" t="n">
        <v>20</v>
      </c>
      <c r="O25" s="19"/>
      <c r="P25" s="19"/>
    </row>
    <row r="26" customFormat="false" ht="15" hidden="false" customHeight="false" outlineLevel="0" collapsed="false">
      <c r="A26" s="15" t="n">
        <f aca="false">IF($C26="","",ROW()-4)</f>
        <v>22</v>
      </c>
      <c r="B26" s="7" t="s">
        <v>50</v>
      </c>
      <c r="C26" s="7" t="s">
        <v>124</v>
      </c>
      <c r="D26" s="7" t="s">
        <v>125</v>
      </c>
      <c r="E26" s="16" t="n">
        <v>46342</v>
      </c>
      <c r="F26" s="16" t="n">
        <v>46360</v>
      </c>
      <c r="G26" s="17" t="n">
        <f aca="false">IF(OR($E26="",$F26=""),0,$F26-$E26+1)</f>
        <v>19</v>
      </c>
      <c r="H26" s="18" t="n">
        <v>0</v>
      </c>
      <c r="I26" s="19"/>
      <c r="J26" s="7"/>
      <c r="K26" s="20" t="n">
        <f aca="false">IF($E26="",0,$E26)</f>
        <v>46342</v>
      </c>
      <c r="L26" s="20" t="n">
        <f aca="false">IF($F26="",0,$F26)</f>
        <v>46360</v>
      </c>
      <c r="M26" s="21" t="n">
        <f aca="false">IF(OR($G26=0,$H26=""),$K26,MIN($L26+1,$K26+$G26*$H26))</f>
        <v>46342</v>
      </c>
      <c r="N26" s="19" t="n">
        <v>20</v>
      </c>
      <c r="O26" s="19"/>
      <c r="P26" s="19"/>
    </row>
    <row r="27" customFormat="false" ht="15" hidden="false" customHeight="false" outlineLevel="0" collapsed="false">
      <c r="A27" s="15" t="n">
        <f aca="false">IF($C27="","",ROW()-4)</f>
        <v>23</v>
      </c>
      <c r="B27" s="7" t="s">
        <v>50</v>
      </c>
      <c r="C27" s="7" t="s">
        <v>126</v>
      </c>
      <c r="D27" s="7" t="s">
        <v>125</v>
      </c>
      <c r="E27" s="16" t="n">
        <v>46356</v>
      </c>
      <c r="F27" s="16" t="n">
        <v>46381</v>
      </c>
      <c r="G27" s="17" t="n">
        <f aca="false">IF(OR($E27="",$F27=""),0,$F27-$E27+1)</f>
        <v>26</v>
      </c>
      <c r="H27" s="18" t="n">
        <v>0</v>
      </c>
      <c r="I27" s="19"/>
      <c r="J27" s="7"/>
      <c r="K27" s="20" t="n">
        <f aca="false">IF($E27="",0,$E27)</f>
        <v>46356</v>
      </c>
      <c r="L27" s="20" t="n">
        <f aca="false">IF($F27="",0,$F27)</f>
        <v>46381</v>
      </c>
      <c r="M27" s="21" t="n">
        <f aca="false">IF(OR($G27=0,$H27=""),$K27,MIN($L27+1,$K27+$G27*$H27))</f>
        <v>46356</v>
      </c>
      <c r="N27" s="19" t="n">
        <v>22</v>
      </c>
      <c r="O27" s="19"/>
      <c r="P27" s="19"/>
    </row>
    <row r="28" customFormat="false" ht="15" hidden="false" customHeight="false" outlineLevel="0" collapsed="false">
      <c r="A28" s="15" t="n">
        <f aca="false">IF($C28="","",ROW()-4)</f>
        <v>24</v>
      </c>
      <c r="B28" s="7" t="s">
        <v>50</v>
      </c>
      <c r="C28" s="7" t="s">
        <v>127</v>
      </c>
      <c r="D28" s="7" t="s">
        <v>128</v>
      </c>
      <c r="E28" s="16" t="n">
        <v>46370</v>
      </c>
      <c r="F28" s="16" t="n">
        <v>46395</v>
      </c>
      <c r="G28" s="17" t="n">
        <f aca="false">IF(OR($E28="",$F28=""),0,$F28-$E28+1)</f>
        <v>26</v>
      </c>
      <c r="H28" s="18" t="n">
        <v>0</v>
      </c>
      <c r="I28" s="19"/>
      <c r="J28" s="7"/>
      <c r="K28" s="20" t="n">
        <f aca="false">IF($E28="",0,$E28)</f>
        <v>46370</v>
      </c>
      <c r="L28" s="20" t="n">
        <f aca="false">IF($F28="",0,$F28)</f>
        <v>46395</v>
      </c>
      <c r="M28" s="21" t="n">
        <f aca="false">IF(OR($G28=0,$H28=""),$K28,MIN($L28+1,$K28+$G28*$H28))</f>
        <v>46370</v>
      </c>
      <c r="N28" s="19" t="n">
        <v>23</v>
      </c>
      <c r="O28" s="19"/>
      <c r="P28" s="19"/>
    </row>
    <row r="29" customFormat="false" ht="15" hidden="false" customHeight="false" outlineLevel="0" collapsed="false">
      <c r="A29" s="15" t="n">
        <f aca="false">IF($C29="","",ROW()-4)</f>
        <v>25</v>
      </c>
      <c r="B29" s="7" t="s">
        <v>50</v>
      </c>
      <c r="C29" s="7" t="s">
        <v>129</v>
      </c>
      <c r="D29" s="7" t="s">
        <v>123</v>
      </c>
      <c r="E29" s="16" t="n">
        <v>46392</v>
      </c>
      <c r="F29" s="16" t="n">
        <v>46409</v>
      </c>
      <c r="G29" s="17" t="n">
        <f aca="false">IF(OR($E29="",$F29=""),0,$F29-$E29+1)</f>
        <v>18</v>
      </c>
      <c r="H29" s="18" t="n">
        <v>0</v>
      </c>
      <c r="I29" s="19"/>
      <c r="J29" s="7"/>
      <c r="K29" s="20" t="n">
        <f aca="false">IF($E29="",0,$E29)</f>
        <v>46392</v>
      </c>
      <c r="L29" s="20" t="n">
        <f aca="false">IF($F29="",0,$F29)</f>
        <v>46409</v>
      </c>
      <c r="M29" s="21" t="n">
        <f aca="false">IF(OR($G29=0,$H29=""),$K29,MIN($L29+1,$K29+$G29*$H29))</f>
        <v>46392</v>
      </c>
      <c r="N29" s="19" t="n">
        <v>24</v>
      </c>
      <c r="O29" s="19"/>
      <c r="P29" s="19"/>
    </row>
    <row r="30" customFormat="false" ht="15" hidden="false" customHeight="false" outlineLevel="0" collapsed="false">
      <c r="A30" s="15" t="n">
        <f aca="false">IF($C30="","",ROW()-4)</f>
        <v>26</v>
      </c>
      <c r="B30" s="7" t="s">
        <v>50</v>
      </c>
      <c r="C30" s="7" t="s">
        <v>130</v>
      </c>
      <c r="D30" s="7" t="s">
        <v>125</v>
      </c>
      <c r="E30" s="16" t="n">
        <v>46405</v>
      </c>
      <c r="F30" s="16" t="n">
        <v>46423</v>
      </c>
      <c r="G30" s="17" t="n">
        <f aca="false">IF(OR($E30="",$F30=""),0,$F30-$E30+1)</f>
        <v>19</v>
      </c>
      <c r="H30" s="18" t="n">
        <v>0</v>
      </c>
      <c r="I30" s="19"/>
      <c r="J30" s="7"/>
      <c r="K30" s="20" t="n">
        <f aca="false">IF($E30="",0,$E30)</f>
        <v>46405</v>
      </c>
      <c r="L30" s="20" t="n">
        <f aca="false">IF($F30="",0,$F30)</f>
        <v>46423</v>
      </c>
      <c r="M30" s="21" t="n">
        <f aca="false">IF(OR($G30=0,$H30=""),$K30,MIN($L30+1,$K30+$G30*$H30))</f>
        <v>46405</v>
      </c>
      <c r="N30" s="19" t="n">
        <v>25</v>
      </c>
      <c r="O30" s="19"/>
      <c r="P30" s="19"/>
    </row>
    <row r="31" customFormat="false" ht="15" hidden="false" customHeight="false" outlineLevel="0" collapsed="false">
      <c r="A31" s="15" t="n">
        <f aca="false">IF($C31="","",ROW()-4)</f>
        <v>27</v>
      </c>
      <c r="B31" s="7" t="s">
        <v>61</v>
      </c>
      <c r="C31" s="7" t="s">
        <v>131</v>
      </c>
      <c r="D31" s="7"/>
      <c r="E31" s="16" t="n">
        <v>46412</v>
      </c>
      <c r="F31" s="16" t="n">
        <v>46412</v>
      </c>
      <c r="G31" s="17" t="n">
        <f aca="false">IF(OR($E31="",$F31=""),0,$F31-$E31+1)</f>
        <v>1</v>
      </c>
      <c r="H31" s="18"/>
      <c r="I31" s="19" t="s">
        <v>93</v>
      </c>
      <c r="J31" s="7"/>
      <c r="K31" s="20" t="n">
        <f aca="false">IF($E31="",0,$E31)</f>
        <v>46412</v>
      </c>
      <c r="L31" s="20" t="n">
        <f aca="false">IF($F31="",0,$F31)</f>
        <v>46412</v>
      </c>
      <c r="M31" s="20" t="n">
        <f aca="false">IF(OR($G31=0,$H31=""),$K31,MIN($L31+1,$K31+$G31*$H31))</f>
        <v>46412</v>
      </c>
      <c r="N31" s="19" t="n">
        <v>26</v>
      </c>
      <c r="O31" s="19"/>
      <c r="P31" s="19"/>
    </row>
    <row r="32" customFormat="false" ht="15" hidden="false" customHeight="false" outlineLevel="0" collapsed="false">
      <c r="A32" s="15" t="n">
        <f aca="false">IF($C32="","",ROW()-4)</f>
        <v>28</v>
      </c>
      <c r="B32" s="7" t="s">
        <v>38</v>
      </c>
      <c r="C32" s="7" t="s">
        <v>131</v>
      </c>
      <c r="D32" s="7" t="s">
        <v>96</v>
      </c>
      <c r="E32" s="16" t="n">
        <v>46412</v>
      </c>
      <c r="F32" s="16" t="n">
        <v>46417</v>
      </c>
      <c r="G32" s="17" t="n">
        <f aca="false">IF(OR($E32="",$F32=""),0,$F32-$E32+1)</f>
        <v>6</v>
      </c>
      <c r="H32" s="18" t="n">
        <v>0</v>
      </c>
      <c r="I32" s="19"/>
      <c r="J32" s="7"/>
      <c r="K32" s="20" t="n">
        <f aca="false">IF($E32="",0,$E32)</f>
        <v>46412</v>
      </c>
      <c r="L32" s="20" t="n">
        <f aca="false">IF($F32="",0,$F32)</f>
        <v>46417</v>
      </c>
      <c r="M32" s="21" t="n">
        <f aca="false">IF(OR($G32=0,$H32=""),$K32,MIN($L32+1,$K32+$G32*$H32))</f>
        <v>46412</v>
      </c>
      <c r="N32" s="19" t="n">
        <v>27</v>
      </c>
      <c r="O32" s="19"/>
      <c r="P32" s="19"/>
    </row>
    <row r="33" customFormat="false" ht="15" hidden="false" customHeight="false" outlineLevel="0" collapsed="false">
      <c r="A33" s="15" t="n">
        <f aca="false">IF($C33="","",ROW()-4)</f>
        <v>29</v>
      </c>
      <c r="B33" s="7" t="s">
        <v>52</v>
      </c>
      <c r="C33" s="7" t="s">
        <v>132</v>
      </c>
      <c r="D33" s="7" t="s">
        <v>133</v>
      </c>
      <c r="E33" s="16" t="n">
        <v>46342</v>
      </c>
      <c r="F33" s="16" t="n">
        <v>46403</v>
      </c>
      <c r="G33" s="17" t="n">
        <f aca="false">IF(OR($E33="",$F33=""),0,$F33-$E33+1)</f>
        <v>62</v>
      </c>
      <c r="H33" s="18" t="n">
        <v>0</v>
      </c>
      <c r="I33" s="19"/>
      <c r="J33" s="7"/>
      <c r="K33" s="20" t="n">
        <f aca="false">IF($E33="",0,$E33)</f>
        <v>46342</v>
      </c>
      <c r="L33" s="20" t="n">
        <f aca="false">IF($F33="",0,$F33)</f>
        <v>46403</v>
      </c>
      <c r="M33" s="21" t="n">
        <f aca="false">IF(OR($G33=0,$H33=""),$K33,MIN($L33+1,$K33+$G33*$H33))</f>
        <v>46342</v>
      </c>
      <c r="N33" s="19" t="n">
        <v>20</v>
      </c>
      <c r="O33" s="19"/>
      <c r="P33" s="19"/>
    </row>
    <row r="34" customFormat="false" ht="15" hidden="false" customHeight="false" outlineLevel="0" collapsed="false">
      <c r="A34" s="15" t="n">
        <f aca="false">IF($C34="","",ROW()-4)</f>
        <v>30</v>
      </c>
      <c r="B34" s="7" t="s">
        <v>52</v>
      </c>
      <c r="C34" s="7" t="s">
        <v>134</v>
      </c>
      <c r="D34" s="7" t="s">
        <v>135</v>
      </c>
      <c r="E34" s="16" t="n">
        <v>46377</v>
      </c>
      <c r="F34" s="16" t="n">
        <v>46416</v>
      </c>
      <c r="G34" s="17" t="n">
        <f aca="false">IF(OR($E34="",$F34=""),0,$F34-$E34+1)</f>
        <v>40</v>
      </c>
      <c r="H34" s="18" t="n">
        <v>0</v>
      </c>
      <c r="I34" s="19"/>
      <c r="J34" s="7"/>
      <c r="K34" s="20" t="n">
        <f aca="false">IF($E34="",0,$E34)</f>
        <v>46377</v>
      </c>
      <c r="L34" s="20" t="n">
        <f aca="false">IF($F34="",0,$F34)</f>
        <v>46416</v>
      </c>
      <c r="M34" s="21" t="n">
        <f aca="false">IF(OR($G34=0,$H34=""),$K34,MIN($L34+1,$K34+$G34*$H34))</f>
        <v>46377</v>
      </c>
      <c r="N34" s="19" t="n">
        <v>21</v>
      </c>
      <c r="O34" s="19" t="n">
        <v>29</v>
      </c>
      <c r="P34" s="19"/>
    </row>
    <row r="35" customFormat="false" ht="15" hidden="false" customHeight="false" outlineLevel="0" collapsed="false">
      <c r="A35" s="15" t="n">
        <f aca="false">IF($C35="","",ROW()-4)</f>
        <v>31</v>
      </c>
      <c r="B35" s="7" t="s">
        <v>52</v>
      </c>
      <c r="C35" s="7" t="s">
        <v>136</v>
      </c>
      <c r="D35" s="7" t="s">
        <v>135</v>
      </c>
      <c r="E35" s="16" t="n">
        <v>46399</v>
      </c>
      <c r="F35" s="16" t="n">
        <v>46430</v>
      </c>
      <c r="G35" s="17" t="n">
        <f aca="false">IF(OR($E35="",$F35=""),0,$F35-$E35+1)</f>
        <v>32</v>
      </c>
      <c r="H35" s="18" t="n">
        <v>0</v>
      </c>
      <c r="I35" s="19"/>
      <c r="J35" s="7"/>
      <c r="K35" s="20" t="n">
        <f aca="false">IF($E35="",0,$E35)</f>
        <v>46399</v>
      </c>
      <c r="L35" s="20" t="n">
        <f aca="false">IF($F35="",0,$F35)</f>
        <v>46430</v>
      </c>
      <c r="M35" s="21" t="n">
        <f aca="false">IF(OR($G35=0,$H35=""),$K35,MIN($L35+1,$K35+$G35*$H35))</f>
        <v>46399</v>
      </c>
      <c r="N35" s="19" t="n">
        <v>30</v>
      </c>
      <c r="O35" s="19"/>
      <c r="P35" s="19"/>
    </row>
    <row r="36" customFormat="false" ht="15" hidden="false" customHeight="false" outlineLevel="0" collapsed="false">
      <c r="A36" s="15" t="n">
        <f aca="false">IF($C36="","",ROW()-4)</f>
        <v>32</v>
      </c>
      <c r="B36" s="7" t="s">
        <v>61</v>
      </c>
      <c r="C36" s="7" t="s">
        <v>137</v>
      </c>
      <c r="D36" s="7"/>
      <c r="E36" s="16" t="n">
        <v>46420</v>
      </c>
      <c r="F36" s="16" t="n">
        <v>46420</v>
      </c>
      <c r="G36" s="17" t="n">
        <f aca="false">IF(OR($E36="",$F36=""),0,$F36-$E36+1)</f>
        <v>1</v>
      </c>
      <c r="H36" s="18"/>
      <c r="I36" s="19" t="s">
        <v>93</v>
      </c>
      <c r="J36" s="7"/>
      <c r="K36" s="20" t="n">
        <f aca="false">IF($E36="",0,$E36)</f>
        <v>46420</v>
      </c>
      <c r="L36" s="20" t="n">
        <f aca="false">IF($F36="",0,$F36)</f>
        <v>46420</v>
      </c>
      <c r="M36" s="20" t="n">
        <f aca="false">IF(OR($G36=0,$H36=""),$K36,MIN($L36+1,$K36+$G36*$H36))</f>
        <v>46420</v>
      </c>
      <c r="N36" s="19" t="n">
        <v>25</v>
      </c>
      <c r="O36" s="19"/>
      <c r="P36" s="19"/>
    </row>
    <row r="37" customFormat="false" ht="15" hidden="false" customHeight="false" outlineLevel="0" collapsed="false">
      <c r="A37" s="15" t="n">
        <f aca="false">IF($C37="","",ROW()-4)</f>
        <v>33</v>
      </c>
      <c r="B37" s="7" t="s">
        <v>52</v>
      </c>
      <c r="C37" s="7" t="s">
        <v>138</v>
      </c>
      <c r="D37" s="7" t="s">
        <v>135</v>
      </c>
      <c r="E37" s="16" t="n">
        <v>46426</v>
      </c>
      <c r="F37" s="16" t="n">
        <v>46451</v>
      </c>
      <c r="G37" s="17" t="n">
        <f aca="false">IF(OR($E37="",$F37=""),0,$F37-$E37+1)</f>
        <v>26</v>
      </c>
      <c r="H37" s="18" t="n">
        <v>0</v>
      </c>
      <c r="I37" s="19"/>
      <c r="J37" s="7"/>
      <c r="K37" s="20" t="n">
        <f aca="false">IF($E37="",0,$E37)</f>
        <v>46426</v>
      </c>
      <c r="L37" s="20" t="n">
        <f aca="false">IF($F37="",0,$F37)</f>
        <v>46451</v>
      </c>
      <c r="M37" s="21" t="n">
        <f aca="false">IF(OR($G37=0,$H37=""),$K37,MIN($L37+1,$K37+$G37*$H37))</f>
        <v>46426</v>
      </c>
      <c r="N37" s="19" t="n">
        <v>31</v>
      </c>
      <c r="O37" s="19"/>
      <c r="P37" s="19"/>
    </row>
    <row r="38" customFormat="false" ht="15" hidden="false" customHeight="false" outlineLevel="0" collapsed="false">
      <c r="A38" s="15" t="n">
        <f aca="false">IF($C38="","",ROW()-4)</f>
        <v>34</v>
      </c>
      <c r="B38" s="7" t="s">
        <v>52</v>
      </c>
      <c r="C38" s="7" t="s">
        <v>139</v>
      </c>
      <c r="D38" s="7" t="s">
        <v>135</v>
      </c>
      <c r="E38" s="16" t="n">
        <v>46440</v>
      </c>
      <c r="F38" s="16" t="n">
        <v>46458</v>
      </c>
      <c r="G38" s="17" t="n">
        <f aca="false">IF(OR($E38="",$F38=""),0,$F38-$E38+1)</f>
        <v>19</v>
      </c>
      <c r="H38" s="18" t="n">
        <v>0</v>
      </c>
      <c r="I38" s="19"/>
      <c r="J38" s="7"/>
      <c r="K38" s="20" t="n">
        <f aca="false">IF($E38="",0,$E38)</f>
        <v>46440</v>
      </c>
      <c r="L38" s="20" t="n">
        <f aca="false">IF($F38="",0,$F38)</f>
        <v>46458</v>
      </c>
      <c r="M38" s="21" t="n">
        <f aca="false">IF(OR($G38=0,$H38=""),$K38,MIN($L38+1,$K38+$G38*$H38))</f>
        <v>46440</v>
      </c>
      <c r="N38" s="19" t="n">
        <v>33</v>
      </c>
      <c r="O38" s="19"/>
      <c r="P38" s="19"/>
    </row>
    <row r="39" customFormat="false" ht="15" hidden="false" customHeight="false" outlineLevel="0" collapsed="false">
      <c r="A39" s="15" t="n">
        <f aca="false">IF($C39="","",ROW()-4)</f>
        <v>35</v>
      </c>
      <c r="B39" s="7" t="s">
        <v>52</v>
      </c>
      <c r="C39" s="7" t="s">
        <v>140</v>
      </c>
      <c r="D39" s="7" t="s">
        <v>133</v>
      </c>
      <c r="E39" s="16" t="n">
        <v>46433</v>
      </c>
      <c r="F39" s="16" t="n">
        <v>46456</v>
      </c>
      <c r="G39" s="17" t="n">
        <f aca="false">IF(OR($E39="",$F39=""),0,$F39-$E39+1)</f>
        <v>24</v>
      </c>
      <c r="H39" s="18" t="n">
        <v>0</v>
      </c>
      <c r="I39" s="19"/>
      <c r="J39" s="7"/>
      <c r="K39" s="20" t="n">
        <f aca="false">IF($E39="",0,$E39)</f>
        <v>46433</v>
      </c>
      <c r="L39" s="20" t="n">
        <f aca="false">IF($F39="",0,$F39)</f>
        <v>46456</v>
      </c>
      <c r="M39" s="21" t="n">
        <f aca="false">IF(OR($G39=0,$H39=""),$K39,MIN($L39+1,$K39+$G39*$H39))</f>
        <v>46433</v>
      </c>
      <c r="N39" s="19" t="n">
        <v>31</v>
      </c>
      <c r="O39" s="19" t="n">
        <v>32</v>
      </c>
      <c r="P39" s="19"/>
    </row>
    <row r="40" customFormat="false" ht="15" hidden="false" customHeight="false" outlineLevel="0" collapsed="false">
      <c r="A40" s="15" t="n">
        <f aca="false">IF($C40="","",ROW()-4)</f>
        <v>36</v>
      </c>
      <c r="B40" s="7" t="s">
        <v>52</v>
      </c>
      <c r="C40" s="7" t="s">
        <v>141</v>
      </c>
      <c r="D40" s="7" t="s">
        <v>142</v>
      </c>
      <c r="E40" s="16" t="n">
        <v>46419</v>
      </c>
      <c r="F40" s="16" t="n">
        <v>46462</v>
      </c>
      <c r="G40" s="17" t="n">
        <f aca="false">IF(OR($E40="",$F40=""),0,$F40-$E40+1)</f>
        <v>44</v>
      </c>
      <c r="H40" s="18" t="n">
        <v>0</v>
      </c>
      <c r="I40" s="19"/>
      <c r="J40" s="7"/>
      <c r="K40" s="20" t="n">
        <f aca="false">IF($E40="",0,$E40)</f>
        <v>46419</v>
      </c>
      <c r="L40" s="20" t="n">
        <f aca="false">IF($F40="",0,$F40)</f>
        <v>46462</v>
      </c>
      <c r="M40" s="21" t="n">
        <f aca="false">IF(OR($G40=0,$H40=""),$K40,MIN($L40+1,$K40+$G40*$H40))</f>
        <v>46419</v>
      </c>
      <c r="N40" s="19" t="n">
        <v>32</v>
      </c>
      <c r="O40" s="19"/>
      <c r="P40" s="19"/>
    </row>
    <row r="41" customFormat="false" ht="15" hidden="false" customHeight="false" outlineLevel="0" collapsed="false">
      <c r="A41" s="15" t="n">
        <f aca="false">IF($C41="","",ROW()-4)</f>
        <v>37</v>
      </c>
      <c r="B41" s="7" t="s">
        <v>55</v>
      </c>
      <c r="C41" s="7" t="s">
        <v>143</v>
      </c>
      <c r="D41" s="7" t="s">
        <v>104</v>
      </c>
      <c r="E41" s="16" t="n">
        <v>46426</v>
      </c>
      <c r="F41" s="16" t="n">
        <v>46444</v>
      </c>
      <c r="G41" s="17" t="n">
        <f aca="false">IF(OR($E41="",$F41=""),0,$F41-$E41+1)</f>
        <v>19</v>
      </c>
      <c r="H41" s="18" t="n">
        <v>0</v>
      </c>
      <c r="I41" s="19"/>
      <c r="J41" s="7"/>
      <c r="K41" s="20" t="n">
        <f aca="false">IF($E41="",0,$E41)</f>
        <v>46426</v>
      </c>
      <c r="L41" s="20" t="n">
        <f aca="false">IF($F41="",0,$F41)</f>
        <v>46444</v>
      </c>
      <c r="M41" s="21" t="n">
        <f aca="false">IF(OR($G41=0,$H41=""),$K41,MIN($L41+1,$K41+$G41*$H41))</f>
        <v>46426</v>
      </c>
      <c r="N41" s="19" t="n">
        <v>28</v>
      </c>
      <c r="O41" s="19"/>
      <c r="P41" s="19"/>
    </row>
    <row r="42" customFormat="false" ht="15" hidden="false" customHeight="false" outlineLevel="0" collapsed="false">
      <c r="A42" s="15" t="n">
        <f aca="false">IF($C42="","",ROW()-4)</f>
        <v>38</v>
      </c>
      <c r="B42" s="7" t="s">
        <v>55</v>
      </c>
      <c r="C42" s="7" t="s">
        <v>144</v>
      </c>
      <c r="D42" s="7" t="s">
        <v>104</v>
      </c>
      <c r="E42" s="16" t="n">
        <v>46447</v>
      </c>
      <c r="F42" s="16" t="n">
        <v>46465</v>
      </c>
      <c r="G42" s="17" t="n">
        <f aca="false">IF(OR($E42="",$F42=""),0,$F42-$E42+1)</f>
        <v>19</v>
      </c>
      <c r="H42" s="18" t="n">
        <v>0</v>
      </c>
      <c r="I42" s="19"/>
      <c r="J42" s="7"/>
      <c r="K42" s="20" t="n">
        <f aca="false">IF($E42="",0,$E42)</f>
        <v>46447</v>
      </c>
      <c r="L42" s="20" t="n">
        <f aca="false">IF($F42="",0,$F42)</f>
        <v>46465</v>
      </c>
      <c r="M42" s="21" t="n">
        <f aca="false">IF(OR($G42=0,$H42=""),$K42,MIN($L42+1,$K42+$G42*$H42))</f>
        <v>46447</v>
      </c>
      <c r="N42" s="19" t="n">
        <v>37</v>
      </c>
      <c r="O42" s="19"/>
      <c r="P42" s="19"/>
    </row>
    <row r="43" customFormat="false" ht="15" hidden="false" customHeight="false" outlineLevel="0" collapsed="false">
      <c r="A43" s="15" t="n">
        <f aca="false">IF($C43="","",ROW()-4)</f>
        <v>39</v>
      </c>
      <c r="B43" s="7" t="s">
        <v>58</v>
      </c>
      <c r="C43" s="7" t="s">
        <v>145</v>
      </c>
      <c r="D43" s="7" t="s">
        <v>146</v>
      </c>
      <c r="E43" s="16" t="n">
        <v>46454</v>
      </c>
      <c r="F43" s="16" t="n">
        <v>46463</v>
      </c>
      <c r="G43" s="17" t="n">
        <f aca="false">IF(OR($E43="",$F43=""),0,$F43-$E43+1)</f>
        <v>10</v>
      </c>
      <c r="H43" s="18" t="n">
        <v>0</v>
      </c>
      <c r="I43" s="19"/>
      <c r="J43" s="7"/>
      <c r="K43" s="20" t="n">
        <f aca="false">IF($E43="",0,$E43)</f>
        <v>46454</v>
      </c>
      <c r="L43" s="20" t="n">
        <f aca="false">IF($F43="",0,$F43)</f>
        <v>46463</v>
      </c>
      <c r="M43" s="21" t="n">
        <f aca="false">IF(OR($G43=0,$H43=""),$K43,MIN($L43+1,$K43+$G43*$H43))</f>
        <v>46454</v>
      </c>
      <c r="N43" s="19" t="n">
        <v>34</v>
      </c>
      <c r="O43" s="19" t="n">
        <v>35</v>
      </c>
      <c r="P43" s="19" t="n">
        <v>36</v>
      </c>
    </row>
    <row r="44" customFormat="false" ht="15" hidden="false" customHeight="false" outlineLevel="0" collapsed="false">
      <c r="A44" s="15" t="n">
        <f aca="false">IF($C44="","",ROW()-4)</f>
        <v>40</v>
      </c>
      <c r="B44" s="7" t="s">
        <v>61</v>
      </c>
      <c r="C44" s="7" t="s">
        <v>147</v>
      </c>
      <c r="D44" s="7"/>
      <c r="E44" s="16" t="n">
        <v>46456</v>
      </c>
      <c r="F44" s="16" t="n">
        <v>46456</v>
      </c>
      <c r="G44" s="17" t="n">
        <f aca="false">IF(OR($E44="",$F44=""),0,$F44-$E44+1)</f>
        <v>1</v>
      </c>
      <c r="H44" s="18"/>
      <c r="I44" s="19" t="s">
        <v>93</v>
      </c>
      <c r="J44" s="7"/>
      <c r="K44" s="20" t="n">
        <f aca="false">IF($E44="",0,$E44)</f>
        <v>46456</v>
      </c>
      <c r="L44" s="20" t="n">
        <f aca="false">IF($F44="",0,$F44)</f>
        <v>46456</v>
      </c>
      <c r="M44" s="20" t="n">
        <f aca="false">IF(OR($G44=0,$H44=""),$K44,MIN($L44+1,$K44+$G44*$H44))</f>
        <v>46456</v>
      </c>
      <c r="N44" s="19" t="n">
        <v>39</v>
      </c>
      <c r="O44" s="19"/>
      <c r="P44" s="19"/>
    </row>
    <row r="45" customFormat="false" ht="15" hidden="false" customHeight="false" outlineLevel="0" collapsed="false">
      <c r="A45" s="15" t="n">
        <f aca="false">IF($C45="","",ROW()-4)</f>
        <v>41</v>
      </c>
      <c r="B45" s="7" t="s">
        <v>58</v>
      </c>
      <c r="C45" s="7" t="s">
        <v>148</v>
      </c>
      <c r="D45" s="7" t="s">
        <v>149</v>
      </c>
      <c r="E45" s="16" t="n">
        <v>46461</v>
      </c>
      <c r="F45" s="16" t="n">
        <v>46470</v>
      </c>
      <c r="G45" s="17" t="n">
        <f aca="false">IF(OR($E45="",$F45=""),0,$F45-$E45+1)</f>
        <v>10</v>
      </c>
      <c r="H45" s="18" t="n">
        <v>0</v>
      </c>
      <c r="I45" s="19"/>
      <c r="J45" s="7"/>
      <c r="K45" s="20" t="n">
        <f aca="false">IF($E45="",0,$E45)</f>
        <v>46461</v>
      </c>
      <c r="L45" s="20" t="n">
        <f aca="false">IF($F45="",0,$F45)</f>
        <v>46470</v>
      </c>
      <c r="M45" s="21" t="n">
        <f aca="false">IF(OR($G45=0,$H45=""),$K45,MIN($L45+1,$K45+$G45*$H45))</f>
        <v>46461</v>
      </c>
      <c r="N45" s="19" t="n">
        <v>39</v>
      </c>
      <c r="O45" s="19"/>
      <c r="P45" s="19"/>
    </row>
    <row r="46" customFormat="false" ht="15" hidden="false" customHeight="false" outlineLevel="0" collapsed="false">
      <c r="A46" s="15" t="n">
        <f aca="false">IF($C46="","",ROW()-4)</f>
        <v>42</v>
      </c>
      <c r="B46" s="7" t="s">
        <v>61</v>
      </c>
      <c r="C46" s="7" t="s">
        <v>150</v>
      </c>
      <c r="D46" s="7"/>
      <c r="E46" s="16" t="n">
        <v>46464</v>
      </c>
      <c r="F46" s="16" t="n">
        <v>46464</v>
      </c>
      <c r="G46" s="17" t="n">
        <f aca="false">IF(OR($E46="",$F46=""),0,$F46-$E46+1)</f>
        <v>1</v>
      </c>
      <c r="H46" s="18"/>
      <c r="I46" s="19" t="s">
        <v>93</v>
      </c>
      <c r="J46" s="7"/>
      <c r="K46" s="20" t="n">
        <f aca="false">IF($E46="",0,$E46)</f>
        <v>46464</v>
      </c>
      <c r="L46" s="20" t="n">
        <f aca="false">IF($F46="",0,$F46)</f>
        <v>46464</v>
      </c>
      <c r="M46" s="20" t="n">
        <f aca="false">IF(OR($G46=0,$H46=""),$K46,MIN($L46+1,$K46+$G46*$H46))</f>
        <v>46464</v>
      </c>
      <c r="N46" s="19" t="n">
        <v>40</v>
      </c>
      <c r="O46" s="19" t="n">
        <v>41</v>
      </c>
      <c r="P46" s="19"/>
    </row>
    <row r="47" customFormat="false" ht="15" hidden="false" customHeight="false" outlineLevel="0" collapsed="false">
      <c r="A47" s="15" t="n">
        <f aca="false">IF($C47="","",ROW()-4)</f>
        <v>43</v>
      </c>
      <c r="B47" s="7" t="s">
        <v>58</v>
      </c>
      <c r="C47" s="7" t="s">
        <v>151</v>
      </c>
      <c r="D47" s="7" t="s">
        <v>146</v>
      </c>
      <c r="E47" s="16" t="n">
        <v>46465</v>
      </c>
      <c r="F47" s="16" t="n">
        <v>46475</v>
      </c>
      <c r="G47" s="17" t="n">
        <f aca="false">IF(OR($E47="",$F47=""),0,$F47-$E47+1)</f>
        <v>11</v>
      </c>
      <c r="H47" s="18" t="n">
        <v>0</v>
      </c>
      <c r="I47" s="19"/>
      <c r="J47" s="7"/>
      <c r="K47" s="20" t="n">
        <f aca="false">IF($E47="",0,$E47)</f>
        <v>46465</v>
      </c>
      <c r="L47" s="20" t="n">
        <f aca="false">IF($F47="",0,$F47)</f>
        <v>46475</v>
      </c>
      <c r="M47" s="21" t="n">
        <f aca="false">IF(OR($G47=0,$H47=""),$K47,MIN($L47+1,$K47+$G47*$H47))</f>
        <v>46465</v>
      </c>
      <c r="N47" s="19" t="n">
        <v>42</v>
      </c>
      <c r="O47" s="19"/>
      <c r="P47" s="19"/>
    </row>
    <row r="48" customFormat="false" ht="15" hidden="false" customHeight="false" outlineLevel="0" collapsed="false">
      <c r="A48" s="15" t="n">
        <f aca="false">IF($C48="","",ROW()-4)</f>
        <v>44</v>
      </c>
      <c r="B48" s="7" t="s">
        <v>38</v>
      </c>
      <c r="C48" s="7" t="s">
        <v>152</v>
      </c>
      <c r="D48" s="7" t="s">
        <v>96</v>
      </c>
      <c r="E48" s="16" t="n">
        <v>46468</v>
      </c>
      <c r="F48" s="16" t="n">
        <v>46473</v>
      </c>
      <c r="G48" s="17" t="n">
        <f aca="false">IF(OR($E48="",$F48=""),0,$F48-$E48+1)</f>
        <v>6</v>
      </c>
      <c r="H48" s="18" t="n">
        <v>0</v>
      </c>
      <c r="I48" s="19"/>
      <c r="J48" s="7"/>
      <c r="K48" s="20" t="n">
        <f aca="false">IF($E48="",0,$E48)</f>
        <v>46468</v>
      </c>
      <c r="L48" s="20" t="n">
        <f aca="false">IF($F48="",0,$F48)</f>
        <v>46473</v>
      </c>
      <c r="M48" s="21" t="n">
        <f aca="false">IF(OR($G48=0,$H48=""),$K48,MIN($L48+1,$K48+$G48*$H48))</f>
        <v>46468</v>
      </c>
      <c r="N48" s="19" t="n">
        <v>38</v>
      </c>
      <c r="O48" s="19" t="n">
        <v>43</v>
      </c>
      <c r="P48" s="19"/>
    </row>
    <row r="49" customFormat="false" ht="15" hidden="false" customHeight="false" outlineLevel="0" collapsed="false">
      <c r="A49" s="15" t="n">
        <f aca="false">IF($C49="","",ROW()-4)</f>
        <v>45</v>
      </c>
      <c r="B49" s="7" t="s">
        <v>61</v>
      </c>
      <c r="C49" s="7" t="s">
        <v>153</v>
      </c>
      <c r="D49" s="7"/>
      <c r="E49" s="16" t="n">
        <v>46477</v>
      </c>
      <c r="F49" s="16" t="n">
        <v>46477</v>
      </c>
      <c r="G49" s="17" t="n">
        <f aca="false">IF(OR($E49="",$F49=""),0,$F49-$E49+1)</f>
        <v>1</v>
      </c>
      <c r="H49" s="18"/>
      <c r="I49" s="19" t="s">
        <v>93</v>
      </c>
      <c r="J49" s="7"/>
      <c r="K49" s="20" t="n">
        <f aca="false">IF($E49="",0,$E49)</f>
        <v>46477</v>
      </c>
      <c r="L49" s="20" t="n">
        <f aca="false">IF($F49="",0,$F49)</f>
        <v>46477</v>
      </c>
      <c r="M49" s="20" t="n">
        <f aca="false">IF(OR($G49=0,$H49=""),$K49,MIN($L49+1,$K49+$G49*$H49))</f>
        <v>46477</v>
      </c>
      <c r="N49" s="19" t="n">
        <v>43</v>
      </c>
      <c r="O49" s="19" t="n">
        <v>44</v>
      </c>
      <c r="P49" s="19"/>
    </row>
    <row r="50" customFormat="false" ht="15" hidden="false" customHeight="false" outlineLevel="0" collapsed="false">
      <c r="A50" s="15" t="str">
        <f aca="false">IF($C50="","",ROW()-4)</f>
        <v/>
      </c>
      <c r="B50" s="7"/>
      <c r="C50" s="7"/>
      <c r="D50" s="7"/>
      <c r="E50" s="16"/>
      <c r="F50" s="16"/>
      <c r="G50" s="17" t="n">
        <f aca="false">IF(OR($E50="",$F50=""),0,$F50-$E50+1)</f>
        <v>0</v>
      </c>
      <c r="H50" s="18"/>
      <c r="I50" s="19"/>
      <c r="J50" s="7"/>
      <c r="K50" s="21" t="n">
        <f aca="false">IF($E50="",0,$E50)</f>
        <v>0</v>
      </c>
      <c r="L50" s="21" t="n">
        <f aca="false">IF($F50="",0,$F50)</f>
        <v>0</v>
      </c>
      <c r="M50" s="21" t="n">
        <f aca="false">IF(OR($G50=0,$H50=""),$K50,MIN($L50+1,$K50+$G50*$H50))</f>
        <v>0</v>
      </c>
      <c r="N50" s="19"/>
      <c r="O50" s="19"/>
      <c r="P50" s="19"/>
    </row>
    <row r="51" customFormat="false" ht="15" hidden="false" customHeight="false" outlineLevel="0" collapsed="false">
      <c r="A51" s="15" t="str">
        <f aca="false">IF($C51="","",ROW()-4)</f>
        <v/>
      </c>
      <c r="B51" s="7"/>
      <c r="C51" s="7"/>
      <c r="D51" s="7"/>
      <c r="E51" s="16"/>
      <c r="F51" s="16"/>
      <c r="G51" s="17" t="n">
        <f aca="false">IF(OR($E51="",$F51=""),0,$F51-$E51+1)</f>
        <v>0</v>
      </c>
      <c r="H51" s="18"/>
      <c r="I51" s="19"/>
      <c r="J51" s="7"/>
      <c r="K51" s="21" t="n">
        <f aca="false">IF($E51="",0,$E51)</f>
        <v>0</v>
      </c>
      <c r="L51" s="21" t="n">
        <f aca="false">IF($F51="",0,$F51)</f>
        <v>0</v>
      </c>
      <c r="M51" s="21" t="n">
        <f aca="false">IF(OR($G51=0,$H51=""),$K51,MIN($L51+1,$K51+$G51*$H51))</f>
        <v>0</v>
      </c>
      <c r="N51" s="19"/>
      <c r="O51" s="19"/>
      <c r="P51" s="19"/>
    </row>
    <row r="52" customFormat="false" ht="15" hidden="false" customHeight="false" outlineLevel="0" collapsed="false">
      <c r="A52" s="15" t="str">
        <f aca="false">IF($C52="","",ROW()-4)</f>
        <v/>
      </c>
      <c r="B52" s="7"/>
      <c r="C52" s="7"/>
      <c r="D52" s="7"/>
      <c r="E52" s="16"/>
      <c r="F52" s="16"/>
      <c r="G52" s="17" t="n">
        <f aca="false">IF(OR($E52="",$F52=""),0,$F52-$E52+1)</f>
        <v>0</v>
      </c>
      <c r="H52" s="18"/>
      <c r="I52" s="19"/>
      <c r="J52" s="7"/>
      <c r="K52" s="21" t="n">
        <f aca="false">IF($E52="",0,$E52)</f>
        <v>0</v>
      </c>
      <c r="L52" s="21" t="n">
        <f aca="false">IF($F52="",0,$F52)</f>
        <v>0</v>
      </c>
      <c r="M52" s="21" t="n">
        <f aca="false">IF(OR($G52=0,$H52=""),$K52,MIN($L52+1,$K52+$G52*$H52))</f>
        <v>0</v>
      </c>
      <c r="N52" s="19"/>
      <c r="O52" s="19"/>
      <c r="P52" s="19"/>
    </row>
    <row r="53" customFormat="false" ht="15" hidden="false" customHeight="false" outlineLevel="0" collapsed="false">
      <c r="A53" s="15" t="str">
        <f aca="false">IF($C53="","",ROW()-4)</f>
        <v/>
      </c>
      <c r="B53" s="7"/>
      <c r="C53" s="7"/>
      <c r="D53" s="7"/>
      <c r="E53" s="16"/>
      <c r="F53" s="16"/>
      <c r="G53" s="17" t="n">
        <f aca="false">IF(OR($E53="",$F53=""),0,$F53-$E53+1)</f>
        <v>0</v>
      </c>
      <c r="H53" s="18"/>
      <c r="I53" s="19"/>
      <c r="J53" s="7"/>
      <c r="K53" s="21" t="n">
        <f aca="false">IF($E53="",0,$E53)</f>
        <v>0</v>
      </c>
      <c r="L53" s="21" t="n">
        <f aca="false">IF($F53="",0,$F53)</f>
        <v>0</v>
      </c>
      <c r="M53" s="21" t="n">
        <f aca="false">IF(OR($G53=0,$H53=""),$K53,MIN($L53+1,$K53+$G53*$H53))</f>
        <v>0</v>
      </c>
      <c r="N53" s="19"/>
      <c r="O53" s="19"/>
      <c r="P53" s="19"/>
    </row>
    <row r="54" customFormat="false" ht="15" hidden="false" customHeight="false" outlineLevel="0" collapsed="false">
      <c r="A54" s="15" t="str">
        <f aca="false">IF($C54="","",ROW()-4)</f>
        <v/>
      </c>
      <c r="B54" s="7"/>
      <c r="C54" s="7"/>
      <c r="D54" s="7"/>
      <c r="E54" s="16"/>
      <c r="F54" s="16"/>
      <c r="G54" s="17" t="n">
        <f aca="false">IF(OR($E54="",$F54=""),0,$F54-$E54+1)</f>
        <v>0</v>
      </c>
      <c r="H54" s="18"/>
      <c r="I54" s="19"/>
      <c r="J54" s="7"/>
      <c r="K54" s="21" t="n">
        <f aca="false">IF($E54="",0,$E54)</f>
        <v>0</v>
      </c>
      <c r="L54" s="21" t="n">
        <f aca="false">IF($F54="",0,$F54)</f>
        <v>0</v>
      </c>
      <c r="M54" s="21" t="n">
        <f aca="false">IF(OR($G54=0,$H54=""),$K54,MIN($L54+1,$K54+$G54*$H54))</f>
        <v>0</v>
      </c>
      <c r="N54" s="19"/>
      <c r="O54" s="19"/>
      <c r="P54" s="19"/>
    </row>
    <row r="55" customFormat="false" ht="15" hidden="false" customHeight="false" outlineLevel="0" collapsed="false">
      <c r="A55" s="15" t="str">
        <f aca="false">IF($C55="","",ROW()-4)</f>
        <v/>
      </c>
      <c r="B55" s="7"/>
      <c r="C55" s="7"/>
      <c r="D55" s="7"/>
      <c r="E55" s="16"/>
      <c r="F55" s="16"/>
      <c r="G55" s="17" t="n">
        <f aca="false">IF(OR($E55="",$F55=""),0,$F55-$E55+1)</f>
        <v>0</v>
      </c>
      <c r="H55" s="18"/>
      <c r="I55" s="19"/>
      <c r="J55" s="7"/>
      <c r="K55" s="21" t="n">
        <f aca="false">IF($E55="",0,$E55)</f>
        <v>0</v>
      </c>
      <c r="L55" s="21" t="n">
        <f aca="false">IF($F55="",0,$F55)</f>
        <v>0</v>
      </c>
      <c r="M55" s="21" t="n">
        <f aca="false">IF(OR($G55=0,$H55=""),$K55,MIN($L55+1,$K55+$G55*$H55))</f>
        <v>0</v>
      </c>
      <c r="N55" s="19"/>
      <c r="O55" s="19"/>
      <c r="P55" s="19"/>
    </row>
    <row r="56" customFormat="false" ht="15" hidden="false" customHeight="false" outlineLevel="0" collapsed="false">
      <c r="A56" s="15" t="str">
        <f aca="false">IF($C56="","",ROW()-4)</f>
        <v/>
      </c>
      <c r="B56" s="7"/>
      <c r="C56" s="7"/>
      <c r="D56" s="7"/>
      <c r="E56" s="16"/>
      <c r="F56" s="16"/>
      <c r="G56" s="17" t="n">
        <f aca="false">IF(OR($E56="",$F56=""),0,$F56-$E56+1)</f>
        <v>0</v>
      </c>
      <c r="H56" s="18"/>
      <c r="I56" s="19"/>
      <c r="J56" s="7"/>
      <c r="K56" s="21" t="n">
        <f aca="false">IF($E56="",0,$E56)</f>
        <v>0</v>
      </c>
      <c r="L56" s="21" t="n">
        <f aca="false">IF($F56="",0,$F56)</f>
        <v>0</v>
      </c>
      <c r="M56" s="21" t="n">
        <f aca="false">IF(OR($G56=0,$H56=""),$K56,MIN($L56+1,$K56+$G56*$H56))</f>
        <v>0</v>
      </c>
      <c r="N56" s="19"/>
      <c r="O56" s="19"/>
      <c r="P56" s="19"/>
    </row>
    <row r="57" customFormat="false" ht="15" hidden="false" customHeight="false" outlineLevel="0" collapsed="false">
      <c r="A57" s="15" t="str">
        <f aca="false">IF($C57="","",ROW()-4)</f>
        <v/>
      </c>
      <c r="B57" s="7"/>
      <c r="C57" s="7"/>
      <c r="D57" s="7"/>
      <c r="E57" s="16"/>
      <c r="F57" s="16"/>
      <c r="G57" s="17" t="n">
        <f aca="false">IF(OR($E57="",$F57=""),0,$F57-$E57+1)</f>
        <v>0</v>
      </c>
      <c r="H57" s="18"/>
      <c r="I57" s="19"/>
      <c r="J57" s="7"/>
      <c r="K57" s="21" t="n">
        <f aca="false">IF($E57="",0,$E57)</f>
        <v>0</v>
      </c>
      <c r="L57" s="21" t="n">
        <f aca="false">IF($F57="",0,$F57)</f>
        <v>0</v>
      </c>
      <c r="M57" s="21" t="n">
        <f aca="false">IF(OR($G57=0,$H57=""),$K57,MIN($L57+1,$K57+$G57*$H57))</f>
        <v>0</v>
      </c>
      <c r="N57" s="19"/>
      <c r="O57" s="19"/>
      <c r="P57" s="19"/>
    </row>
    <row r="58" customFormat="false" ht="15" hidden="false" customHeight="false" outlineLevel="0" collapsed="false">
      <c r="A58" s="15" t="str">
        <f aca="false">IF($C58="","",ROW()-4)</f>
        <v/>
      </c>
      <c r="B58" s="7"/>
      <c r="C58" s="7"/>
      <c r="D58" s="7"/>
      <c r="E58" s="16"/>
      <c r="F58" s="16"/>
      <c r="G58" s="17" t="n">
        <f aca="false">IF(OR($E58="",$F58=""),0,$F58-$E58+1)</f>
        <v>0</v>
      </c>
      <c r="H58" s="18"/>
      <c r="I58" s="19"/>
      <c r="J58" s="7"/>
      <c r="K58" s="21" t="n">
        <f aca="false">IF($E58="",0,$E58)</f>
        <v>0</v>
      </c>
      <c r="L58" s="21" t="n">
        <f aca="false">IF($F58="",0,$F58)</f>
        <v>0</v>
      </c>
      <c r="M58" s="21" t="n">
        <f aca="false">IF(OR($G58=0,$H58=""),$K58,MIN($L58+1,$K58+$G58*$H58))</f>
        <v>0</v>
      </c>
      <c r="N58" s="19"/>
      <c r="O58" s="19"/>
      <c r="P58" s="19"/>
    </row>
    <row r="59" customFormat="false" ht="15" hidden="false" customHeight="false" outlineLevel="0" collapsed="false">
      <c r="A59" s="15" t="str">
        <f aca="false">IF($C59="","",ROW()-4)</f>
        <v/>
      </c>
      <c r="B59" s="7"/>
      <c r="C59" s="7"/>
      <c r="D59" s="7"/>
      <c r="E59" s="16"/>
      <c r="F59" s="16"/>
      <c r="G59" s="17" t="n">
        <f aca="false">IF(OR($E59="",$F59=""),0,$F59-$E59+1)</f>
        <v>0</v>
      </c>
      <c r="H59" s="18"/>
      <c r="I59" s="19"/>
      <c r="J59" s="7"/>
      <c r="K59" s="21" t="n">
        <f aca="false">IF($E59="",0,$E59)</f>
        <v>0</v>
      </c>
      <c r="L59" s="21" t="n">
        <f aca="false">IF($F59="",0,$F59)</f>
        <v>0</v>
      </c>
      <c r="M59" s="21" t="n">
        <f aca="false">IF(OR($G59=0,$H59=""),$K59,MIN($L59+1,$K59+$G59*$H59))</f>
        <v>0</v>
      </c>
      <c r="N59" s="19"/>
      <c r="O59" s="19"/>
      <c r="P59" s="19"/>
    </row>
    <row r="60" customFormat="false" ht="15" hidden="false" customHeight="false" outlineLevel="0" collapsed="false">
      <c r="A60" s="15" t="str">
        <f aca="false">IF($C60="","",ROW()-4)</f>
        <v/>
      </c>
      <c r="B60" s="7"/>
      <c r="C60" s="7"/>
      <c r="D60" s="7"/>
      <c r="E60" s="16"/>
      <c r="F60" s="16"/>
      <c r="G60" s="17" t="n">
        <f aca="false">IF(OR($E60="",$F60=""),0,$F60-$E60+1)</f>
        <v>0</v>
      </c>
      <c r="H60" s="18"/>
      <c r="I60" s="19"/>
      <c r="J60" s="7"/>
      <c r="K60" s="21" t="n">
        <f aca="false">IF($E60="",0,$E60)</f>
        <v>0</v>
      </c>
      <c r="L60" s="21" t="n">
        <f aca="false">IF($F60="",0,$F60)</f>
        <v>0</v>
      </c>
      <c r="M60" s="21" t="n">
        <f aca="false">IF(OR($G60=0,$H60=""),$K60,MIN($L60+1,$K60+$G60*$H60))</f>
        <v>0</v>
      </c>
      <c r="N60" s="19"/>
      <c r="O60" s="19"/>
      <c r="P60" s="19"/>
    </row>
    <row r="61" customFormat="false" ht="15" hidden="false" customHeight="false" outlineLevel="0" collapsed="false">
      <c r="A61" s="15" t="str">
        <f aca="false">IF($C61="","",ROW()-4)</f>
        <v/>
      </c>
      <c r="B61" s="7"/>
      <c r="C61" s="7"/>
      <c r="D61" s="7"/>
      <c r="E61" s="16"/>
      <c r="F61" s="16"/>
      <c r="G61" s="17" t="n">
        <f aca="false">IF(OR($E61="",$F61=""),0,$F61-$E61+1)</f>
        <v>0</v>
      </c>
      <c r="H61" s="18"/>
      <c r="I61" s="19"/>
      <c r="J61" s="7"/>
      <c r="K61" s="21" t="n">
        <f aca="false">IF($E61="",0,$E61)</f>
        <v>0</v>
      </c>
      <c r="L61" s="21" t="n">
        <f aca="false">IF($F61="",0,$F61)</f>
        <v>0</v>
      </c>
      <c r="M61" s="21" t="n">
        <f aca="false">IF(OR($G61=0,$H61=""),$K61,MIN($L61+1,$K61+$G61*$H61))</f>
        <v>0</v>
      </c>
      <c r="N61" s="19"/>
      <c r="O61" s="19"/>
      <c r="P61" s="19"/>
    </row>
    <row r="62" customFormat="false" ht="15" hidden="false" customHeight="false" outlineLevel="0" collapsed="false">
      <c r="A62" s="15" t="str">
        <f aca="false">IF($C62="","",ROW()-4)</f>
        <v/>
      </c>
      <c r="B62" s="7"/>
      <c r="C62" s="7"/>
      <c r="D62" s="7"/>
      <c r="E62" s="16"/>
      <c r="F62" s="16"/>
      <c r="G62" s="17" t="n">
        <f aca="false">IF(OR($E62="",$F62=""),0,$F62-$E62+1)</f>
        <v>0</v>
      </c>
      <c r="H62" s="18"/>
      <c r="I62" s="19"/>
      <c r="J62" s="7"/>
      <c r="K62" s="21" t="n">
        <f aca="false">IF($E62="",0,$E62)</f>
        <v>0</v>
      </c>
      <c r="L62" s="21" t="n">
        <f aca="false">IF($F62="",0,$F62)</f>
        <v>0</v>
      </c>
      <c r="M62" s="21" t="n">
        <f aca="false">IF(OR($G62=0,$H62=""),$K62,MIN($L62+1,$K62+$G62*$H62))</f>
        <v>0</v>
      </c>
      <c r="N62" s="19"/>
      <c r="O62" s="19"/>
      <c r="P62" s="19"/>
    </row>
    <row r="63" customFormat="false" ht="15" hidden="false" customHeight="false" outlineLevel="0" collapsed="false">
      <c r="A63" s="15" t="str">
        <f aca="false">IF($C63="","",ROW()-4)</f>
        <v/>
      </c>
      <c r="B63" s="7"/>
      <c r="C63" s="7"/>
      <c r="D63" s="7"/>
      <c r="E63" s="16"/>
      <c r="F63" s="16"/>
      <c r="G63" s="17" t="n">
        <f aca="false">IF(OR($E63="",$F63=""),0,$F63-$E63+1)</f>
        <v>0</v>
      </c>
      <c r="H63" s="18"/>
      <c r="I63" s="19"/>
      <c r="J63" s="7"/>
      <c r="K63" s="21" t="n">
        <f aca="false">IF($E63="",0,$E63)</f>
        <v>0</v>
      </c>
      <c r="L63" s="21" t="n">
        <f aca="false">IF($F63="",0,$F63)</f>
        <v>0</v>
      </c>
      <c r="M63" s="21" t="n">
        <f aca="false">IF(OR($G63=0,$H63=""),$K63,MIN($L63+1,$K63+$G63*$H63))</f>
        <v>0</v>
      </c>
      <c r="N63" s="19"/>
      <c r="O63" s="19"/>
      <c r="P63" s="19"/>
    </row>
    <row r="64" customFormat="false" ht="15" hidden="false" customHeight="false" outlineLevel="0" collapsed="false">
      <c r="A64" s="15" t="str">
        <f aca="false">IF($C64="","",ROW()-4)</f>
        <v/>
      </c>
      <c r="B64" s="7"/>
      <c r="C64" s="7"/>
      <c r="D64" s="7"/>
      <c r="E64" s="16"/>
      <c r="F64" s="16"/>
      <c r="G64" s="17" t="n">
        <f aca="false">IF(OR($E64="",$F64=""),0,$F64-$E64+1)</f>
        <v>0</v>
      </c>
      <c r="H64" s="18"/>
      <c r="I64" s="19"/>
      <c r="J64" s="7"/>
      <c r="K64" s="21" t="n">
        <f aca="false">IF($E64="",0,$E64)</f>
        <v>0</v>
      </c>
      <c r="L64" s="21" t="n">
        <f aca="false">IF($F64="",0,$F64)</f>
        <v>0</v>
      </c>
      <c r="M64" s="21" t="n">
        <f aca="false">IF(OR($G64=0,$H64=""),$K64,MIN($L64+1,$K64+$G64*$H64))</f>
        <v>0</v>
      </c>
      <c r="N64" s="19"/>
      <c r="O64" s="19"/>
      <c r="P64" s="19"/>
    </row>
    <row r="65" customFormat="false" ht="15" hidden="false" customHeight="false" outlineLevel="0" collapsed="false">
      <c r="A65" s="15" t="str">
        <f aca="false">IF($C65="","",ROW()-4)</f>
        <v/>
      </c>
      <c r="B65" s="7"/>
      <c r="C65" s="7"/>
      <c r="D65" s="7"/>
      <c r="E65" s="16"/>
      <c r="F65" s="16"/>
      <c r="G65" s="17" t="n">
        <f aca="false">IF(OR($E65="",$F65=""),0,$F65-$E65+1)</f>
        <v>0</v>
      </c>
      <c r="H65" s="18"/>
      <c r="I65" s="19"/>
      <c r="J65" s="7"/>
      <c r="K65" s="21" t="n">
        <f aca="false">IF($E65="",0,$E65)</f>
        <v>0</v>
      </c>
      <c r="L65" s="21" t="n">
        <f aca="false">IF($F65="",0,$F65)</f>
        <v>0</v>
      </c>
      <c r="M65" s="21" t="n">
        <f aca="false">IF(OR($G65=0,$H65=""),$K65,MIN($L65+1,$K65+$G65*$H65))</f>
        <v>0</v>
      </c>
      <c r="N65" s="19"/>
      <c r="O65" s="19"/>
      <c r="P65" s="19"/>
    </row>
    <row r="66" customFormat="false" ht="15" hidden="false" customHeight="false" outlineLevel="0" collapsed="false">
      <c r="A66" s="15" t="str">
        <f aca="false">IF($C66="","",ROW()-4)</f>
        <v/>
      </c>
      <c r="B66" s="7"/>
      <c r="C66" s="7"/>
      <c r="D66" s="7"/>
      <c r="E66" s="16"/>
      <c r="F66" s="16"/>
      <c r="G66" s="17" t="n">
        <f aca="false">IF(OR($E66="",$F66=""),0,$F66-$E66+1)</f>
        <v>0</v>
      </c>
      <c r="H66" s="18"/>
      <c r="I66" s="19"/>
      <c r="J66" s="7"/>
      <c r="K66" s="21" t="n">
        <f aca="false">IF($E66="",0,$E66)</f>
        <v>0</v>
      </c>
      <c r="L66" s="21" t="n">
        <f aca="false">IF($F66="",0,$F66)</f>
        <v>0</v>
      </c>
      <c r="M66" s="21" t="n">
        <f aca="false">IF(OR($G66=0,$H66=""),$K66,MIN($L66+1,$K66+$G66*$H66))</f>
        <v>0</v>
      </c>
      <c r="N66" s="19"/>
      <c r="O66" s="19"/>
      <c r="P66" s="19"/>
    </row>
    <row r="67" customFormat="false" ht="15" hidden="false" customHeight="false" outlineLevel="0" collapsed="false">
      <c r="A67" s="15" t="str">
        <f aca="false">IF($C67="","",ROW()-4)</f>
        <v/>
      </c>
      <c r="B67" s="7"/>
      <c r="C67" s="7"/>
      <c r="D67" s="7"/>
      <c r="E67" s="16"/>
      <c r="F67" s="16"/>
      <c r="G67" s="17" t="n">
        <f aca="false">IF(OR($E67="",$F67=""),0,$F67-$E67+1)</f>
        <v>0</v>
      </c>
      <c r="H67" s="18"/>
      <c r="I67" s="19"/>
      <c r="J67" s="7"/>
      <c r="K67" s="21" t="n">
        <f aca="false">IF($E67="",0,$E67)</f>
        <v>0</v>
      </c>
      <c r="L67" s="21" t="n">
        <f aca="false">IF($F67="",0,$F67)</f>
        <v>0</v>
      </c>
      <c r="M67" s="21" t="n">
        <f aca="false">IF(OR($G67=0,$H67=""),$K67,MIN($L67+1,$K67+$G67*$H67))</f>
        <v>0</v>
      </c>
      <c r="N67" s="19"/>
      <c r="O67" s="19"/>
      <c r="P67" s="19"/>
    </row>
    <row r="68" customFormat="false" ht="15" hidden="false" customHeight="false" outlineLevel="0" collapsed="false">
      <c r="A68" s="15" t="str">
        <f aca="false">IF($C68="","",ROW()-4)</f>
        <v/>
      </c>
      <c r="B68" s="7"/>
      <c r="C68" s="7"/>
      <c r="D68" s="7"/>
      <c r="E68" s="16"/>
      <c r="F68" s="16"/>
      <c r="G68" s="17" t="n">
        <f aca="false">IF(OR($E68="",$F68=""),0,$F68-$E68+1)</f>
        <v>0</v>
      </c>
      <c r="H68" s="18"/>
      <c r="I68" s="19"/>
      <c r="J68" s="7"/>
      <c r="K68" s="21" t="n">
        <f aca="false">IF($E68="",0,$E68)</f>
        <v>0</v>
      </c>
      <c r="L68" s="21" t="n">
        <f aca="false">IF($F68="",0,$F68)</f>
        <v>0</v>
      </c>
      <c r="M68" s="21" t="n">
        <f aca="false">IF(OR($G68=0,$H68=""),$K68,MIN($L68+1,$K68+$G68*$H68))</f>
        <v>0</v>
      </c>
      <c r="N68" s="19"/>
      <c r="O68" s="19"/>
      <c r="P68" s="19"/>
    </row>
    <row r="69" customFormat="false" ht="15" hidden="false" customHeight="false" outlineLevel="0" collapsed="false">
      <c r="A69" s="15" t="str">
        <f aca="false">IF($C69="","",ROW()-4)</f>
        <v/>
      </c>
      <c r="B69" s="7"/>
      <c r="C69" s="7"/>
      <c r="D69" s="7"/>
      <c r="E69" s="16"/>
      <c r="F69" s="16"/>
      <c r="G69" s="17" t="n">
        <f aca="false">IF(OR($E69="",$F69=""),0,$F69-$E69+1)</f>
        <v>0</v>
      </c>
      <c r="H69" s="18"/>
      <c r="I69" s="19"/>
      <c r="J69" s="7"/>
      <c r="K69" s="21" t="n">
        <f aca="false">IF($E69="",0,$E69)</f>
        <v>0</v>
      </c>
      <c r="L69" s="21" t="n">
        <f aca="false">IF($F69="",0,$F69)</f>
        <v>0</v>
      </c>
      <c r="M69" s="21" t="n">
        <f aca="false">IF(OR($G69=0,$H69=""),$K69,MIN($L69+1,$K69+$G69*$H69))</f>
        <v>0</v>
      </c>
      <c r="N69" s="19"/>
      <c r="O69" s="19"/>
      <c r="P69" s="19"/>
    </row>
    <row r="70" customFormat="false" ht="15" hidden="false" customHeight="false" outlineLevel="0" collapsed="false">
      <c r="A70" s="15" t="str">
        <f aca="false">IF($C70="","",ROW()-4)</f>
        <v/>
      </c>
      <c r="B70" s="7"/>
      <c r="C70" s="7"/>
      <c r="D70" s="7"/>
      <c r="E70" s="16"/>
      <c r="F70" s="16"/>
      <c r="G70" s="17" t="n">
        <f aca="false">IF(OR($E70="",$F70=""),0,$F70-$E70+1)</f>
        <v>0</v>
      </c>
      <c r="H70" s="18"/>
      <c r="I70" s="19"/>
      <c r="J70" s="7"/>
      <c r="K70" s="21" t="n">
        <f aca="false">IF($E70="",0,$E70)</f>
        <v>0</v>
      </c>
      <c r="L70" s="21" t="n">
        <f aca="false">IF($F70="",0,$F70)</f>
        <v>0</v>
      </c>
      <c r="M70" s="21" t="n">
        <f aca="false">IF(OR($G70=0,$H70=""),$K70,MIN($L70+1,$K70+$G70*$H70))</f>
        <v>0</v>
      </c>
      <c r="N70" s="19"/>
      <c r="O70" s="19"/>
      <c r="P70" s="19"/>
    </row>
    <row r="71" customFormat="false" ht="15" hidden="false" customHeight="false" outlineLevel="0" collapsed="false">
      <c r="A71" s="15" t="str">
        <f aca="false">IF($C71="","",ROW()-4)</f>
        <v/>
      </c>
      <c r="B71" s="7"/>
      <c r="C71" s="7"/>
      <c r="D71" s="7"/>
      <c r="E71" s="16"/>
      <c r="F71" s="16"/>
      <c r="G71" s="17" t="n">
        <f aca="false">IF(OR($E71="",$F71=""),0,$F71-$E71+1)</f>
        <v>0</v>
      </c>
      <c r="H71" s="18"/>
      <c r="I71" s="19"/>
      <c r="J71" s="7"/>
      <c r="K71" s="21" t="n">
        <f aca="false">IF($E71="",0,$E71)</f>
        <v>0</v>
      </c>
      <c r="L71" s="21" t="n">
        <f aca="false">IF($F71="",0,$F71)</f>
        <v>0</v>
      </c>
      <c r="M71" s="21" t="n">
        <f aca="false">IF(OR($G71=0,$H71=""),$K71,MIN($L71+1,$K71+$G71*$H71))</f>
        <v>0</v>
      </c>
      <c r="N71" s="19"/>
      <c r="O71" s="19"/>
      <c r="P71" s="19"/>
    </row>
    <row r="72" customFormat="false" ht="15" hidden="false" customHeight="false" outlineLevel="0" collapsed="false">
      <c r="A72" s="15" t="str">
        <f aca="false">IF($C72="","",ROW()-4)</f>
        <v/>
      </c>
      <c r="B72" s="7"/>
      <c r="C72" s="7"/>
      <c r="D72" s="7"/>
      <c r="E72" s="16"/>
      <c r="F72" s="16"/>
      <c r="G72" s="17" t="n">
        <f aca="false">IF(OR($E72="",$F72=""),0,$F72-$E72+1)</f>
        <v>0</v>
      </c>
      <c r="H72" s="18"/>
      <c r="I72" s="19"/>
      <c r="J72" s="7"/>
      <c r="K72" s="21" t="n">
        <f aca="false">IF($E72="",0,$E72)</f>
        <v>0</v>
      </c>
      <c r="L72" s="21" t="n">
        <f aca="false">IF($F72="",0,$F72)</f>
        <v>0</v>
      </c>
      <c r="M72" s="21" t="n">
        <f aca="false">IF(OR($G72=0,$H72=""),$K72,MIN($L72+1,$K72+$G72*$H72))</f>
        <v>0</v>
      </c>
      <c r="N72" s="19"/>
      <c r="O72" s="19"/>
      <c r="P72" s="19"/>
    </row>
    <row r="73" customFormat="false" ht="15" hidden="false" customHeight="false" outlineLevel="0" collapsed="false">
      <c r="A73" s="15" t="str">
        <f aca="false">IF($C73="","",ROW()-4)</f>
        <v/>
      </c>
      <c r="B73" s="7"/>
      <c r="C73" s="7"/>
      <c r="D73" s="7"/>
      <c r="E73" s="16"/>
      <c r="F73" s="16"/>
      <c r="G73" s="17" t="n">
        <f aca="false">IF(OR($E73="",$F73=""),0,$F73-$E73+1)</f>
        <v>0</v>
      </c>
      <c r="H73" s="18"/>
      <c r="I73" s="19"/>
      <c r="J73" s="7"/>
      <c r="K73" s="21" t="n">
        <f aca="false">IF($E73="",0,$E73)</f>
        <v>0</v>
      </c>
      <c r="L73" s="21" t="n">
        <f aca="false">IF($F73="",0,$F73)</f>
        <v>0</v>
      </c>
      <c r="M73" s="21" t="n">
        <f aca="false">IF(OR($G73=0,$H73=""),$K73,MIN($L73+1,$K73+$G73*$H73))</f>
        <v>0</v>
      </c>
      <c r="N73" s="19"/>
      <c r="O73" s="19"/>
      <c r="P73" s="19"/>
    </row>
    <row r="74" customFormat="false" ht="15" hidden="false" customHeight="false" outlineLevel="0" collapsed="false">
      <c r="A74" s="15" t="str">
        <f aca="false">IF($C74="","",ROW()-4)</f>
        <v/>
      </c>
      <c r="B74" s="7"/>
      <c r="C74" s="7"/>
      <c r="D74" s="7"/>
      <c r="E74" s="16"/>
      <c r="F74" s="16"/>
      <c r="G74" s="17" t="n">
        <f aca="false">IF(OR($E74="",$F74=""),0,$F74-$E74+1)</f>
        <v>0</v>
      </c>
      <c r="H74" s="18"/>
      <c r="I74" s="19"/>
      <c r="J74" s="7"/>
      <c r="K74" s="21" t="n">
        <f aca="false">IF($E74="",0,$E74)</f>
        <v>0</v>
      </c>
      <c r="L74" s="21" t="n">
        <f aca="false">IF($F74="",0,$F74)</f>
        <v>0</v>
      </c>
      <c r="M74" s="21" t="n">
        <f aca="false">IF(OR($G74=0,$H74=""),$K74,MIN($L74+1,$K74+$G74*$H74))</f>
        <v>0</v>
      </c>
      <c r="N74" s="19"/>
      <c r="O74" s="19"/>
      <c r="P74" s="19"/>
    </row>
    <row r="75" customFormat="false" ht="15" hidden="false" customHeight="false" outlineLevel="0" collapsed="false">
      <c r="A75" s="15" t="str">
        <f aca="false">IF($C75="","",ROW()-4)</f>
        <v/>
      </c>
      <c r="B75" s="7"/>
      <c r="C75" s="7"/>
      <c r="D75" s="7"/>
      <c r="E75" s="16"/>
      <c r="F75" s="16"/>
      <c r="G75" s="17" t="n">
        <f aca="false">IF(OR($E75="",$F75=""),0,$F75-$E75+1)</f>
        <v>0</v>
      </c>
      <c r="H75" s="18"/>
      <c r="I75" s="19"/>
      <c r="J75" s="7"/>
      <c r="K75" s="21" t="n">
        <f aca="false">IF($E75="",0,$E75)</f>
        <v>0</v>
      </c>
      <c r="L75" s="21" t="n">
        <f aca="false">IF($F75="",0,$F75)</f>
        <v>0</v>
      </c>
      <c r="M75" s="21" t="n">
        <f aca="false">IF(OR($G75=0,$H75=""),$K75,MIN($L75+1,$K75+$G75*$H75))</f>
        <v>0</v>
      </c>
      <c r="N75" s="19"/>
      <c r="O75" s="19"/>
      <c r="P75" s="19"/>
    </row>
    <row r="76" customFormat="false" ht="15" hidden="false" customHeight="false" outlineLevel="0" collapsed="false">
      <c r="A76" s="15" t="str">
        <f aca="false">IF($C76="","",ROW()-4)</f>
        <v/>
      </c>
      <c r="B76" s="7"/>
      <c r="C76" s="7"/>
      <c r="D76" s="7"/>
      <c r="E76" s="16"/>
      <c r="F76" s="16"/>
      <c r="G76" s="17" t="n">
        <f aca="false">IF(OR($E76="",$F76=""),0,$F76-$E76+1)</f>
        <v>0</v>
      </c>
      <c r="H76" s="18"/>
      <c r="I76" s="19"/>
      <c r="J76" s="7"/>
      <c r="K76" s="21" t="n">
        <f aca="false">IF($E76="",0,$E76)</f>
        <v>0</v>
      </c>
      <c r="L76" s="21" t="n">
        <f aca="false">IF($F76="",0,$F76)</f>
        <v>0</v>
      </c>
      <c r="M76" s="21" t="n">
        <f aca="false">IF(OR($G76=0,$H76=""),$K76,MIN($L76+1,$K76+$G76*$H76))</f>
        <v>0</v>
      </c>
      <c r="N76" s="19"/>
      <c r="O76" s="19"/>
      <c r="P76" s="19"/>
    </row>
    <row r="77" customFormat="false" ht="15" hidden="false" customHeight="false" outlineLevel="0" collapsed="false">
      <c r="A77" s="15" t="str">
        <f aca="false">IF($C77="","",ROW()-4)</f>
        <v/>
      </c>
      <c r="B77" s="7"/>
      <c r="C77" s="7"/>
      <c r="D77" s="7"/>
      <c r="E77" s="16"/>
      <c r="F77" s="16"/>
      <c r="G77" s="17" t="n">
        <f aca="false">IF(OR($E77="",$F77=""),0,$F77-$E77+1)</f>
        <v>0</v>
      </c>
      <c r="H77" s="18"/>
      <c r="I77" s="19"/>
      <c r="J77" s="7"/>
      <c r="K77" s="21" t="n">
        <f aca="false">IF($E77="",0,$E77)</f>
        <v>0</v>
      </c>
      <c r="L77" s="21" t="n">
        <f aca="false">IF($F77="",0,$F77)</f>
        <v>0</v>
      </c>
      <c r="M77" s="21" t="n">
        <f aca="false">IF(OR($G77=0,$H77=""),$K77,MIN($L77+1,$K77+$G77*$H77))</f>
        <v>0</v>
      </c>
      <c r="N77" s="19"/>
      <c r="O77" s="19"/>
      <c r="P77" s="19"/>
    </row>
    <row r="78" customFormat="false" ht="15" hidden="false" customHeight="false" outlineLevel="0" collapsed="false">
      <c r="A78" s="15" t="str">
        <f aca="false">IF($C78="","",ROW()-4)</f>
        <v/>
      </c>
      <c r="B78" s="7"/>
      <c r="C78" s="7"/>
      <c r="D78" s="7"/>
      <c r="E78" s="16"/>
      <c r="F78" s="16"/>
      <c r="G78" s="17" t="n">
        <f aca="false">IF(OR($E78="",$F78=""),0,$F78-$E78+1)</f>
        <v>0</v>
      </c>
      <c r="H78" s="18"/>
      <c r="I78" s="19"/>
      <c r="J78" s="7"/>
      <c r="K78" s="21" t="n">
        <f aca="false">IF($E78="",0,$E78)</f>
        <v>0</v>
      </c>
      <c r="L78" s="21" t="n">
        <f aca="false">IF($F78="",0,$F78)</f>
        <v>0</v>
      </c>
      <c r="M78" s="21" t="n">
        <f aca="false">IF(OR($G78=0,$H78=""),$K78,MIN($L78+1,$K78+$G78*$H78))</f>
        <v>0</v>
      </c>
      <c r="N78" s="19"/>
      <c r="O78" s="19"/>
      <c r="P78" s="19"/>
    </row>
    <row r="79" customFormat="false" ht="15" hidden="false" customHeight="false" outlineLevel="0" collapsed="false">
      <c r="A79" s="15" t="str">
        <f aca="false">IF($C79="","",ROW()-4)</f>
        <v/>
      </c>
      <c r="B79" s="7"/>
      <c r="C79" s="7"/>
      <c r="D79" s="7"/>
      <c r="E79" s="16"/>
      <c r="F79" s="16"/>
      <c r="G79" s="17" t="n">
        <f aca="false">IF(OR($E79="",$F79=""),0,$F79-$E79+1)</f>
        <v>0</v>
      </c>
      <c r="H79" s="18"/>
      <c r="I79" s="19"/>
      <c r="J79" s="7"/>
      <c r="K79" s="21" t="n">
        <f aca="false">IF($E79="",0,$E79)</f>
        <v>0</v>
      </c>
      <c r="L79" s="21" t="n">
        <f aca="false">IF($F79="",0,$F79)</f>
        <v>0</v>
      </c>
      <c r="M79" s="21" t="n">
        <f aca="false">IF(OR($G79=0,$H79=""),$K79,MIN($L79+1,$K79+$G79*$H79))</f>
        <v>0</v>
      </c>
      <c r="N79" s="19"/>
      <c r="O79" s="19"/>
      <c r="P79" s="19"/>
    </row>
    <row r="80" customFormat="false" ht="15" hidden="false" customHeight="false" outlineLevel="0" collapsed="false">
      <c r="A80" s="15" t="str">
        <f aca="false">IF($C80="","",ROW()-4)</f>
        <v/>
      </c>
      <c r="B80" s="7"/>
      <c r="C80" s="7"/>
      <c r="D80" s="7"/>
      <c r="E80" s="16"/>
      <c r="F80" s="16"/>
      <c r="G80" s="17" t="n">
        <f aca="false">IF(OR($E80="",$F80=""),0,$F80-$E80+1)</f>
        <v>0</v>
      </c>
      <c r="H80" s="18"/>
      <c r="I80" s="19"/>
      <c r="J80" s="7"/>
      <c r="K80" s="21" t="n">
        <f aca="false">IF($E80="",0,$E80)</f>
        <v>0</v>
      </c>
      <c r="L80" s="21" t="n">
        <f aca="false">IF($F80="",0,$F80)</f>
        <v>0</v>
      </c>
      <c r="M80" s="21" t="n">
        <f aca="false">IF(OR($G80=0,$H80=""),$K80,MIN($L80+1,$K80+$G80*$H80))</f>
        <v>0</v>
      </c>
      <c r="N80" s="19"/>
      <c r="O80" s="19"/>
      <c r="P80" s="19"/>
    </row>
    <row r="81" customFormat="false" ht="15" hidden="false" customHeight="false" outlineLevel="0" collapsed="false">
      <c r="A81" s="15" t="str">
        <f aca="false">IF($C81="","",ROW()-4)</f>
        <v/>
      </c>
      <c r="B81" s="7"/>
      <c r="C81" s="7"/>
      <c r="D81" s="7"/>
      <c r="E81" s="16"/>
      <c r="F81" s="16"/>
      <c r="G81" s="17" t="n">
        <f aca="false">IF(OR($E81="",$F81=""),0,$F81-$E81+1)</f>
        <v>0</v>
      </c>
      <c r="H81" s="18"/>
      <c r="I81" s="19"/>
      <c r="J81" s="7"/>
      <c r="K81" s="21" t="n">
        <f aca="false">IF($E81="",0,$E81)</f>
        <v>0</v>
      </c>
      <c r="L81" s="21" t="n">
        <f aca="false">IF($F81="",0,$F81)</f>
        <v>0</v>
      </c>
      <c r="M81" s="21" t="n">
        <f aca="false">IF(OR($G81=0,$H81=""),$K81,MIN($L81+1,$K81+$G81*$H81))</f>
        <v>0</v>
      </c>
      <c r="N81" s="19"/>
      <c r="O81" s="19"/>
      <c r="P81" s="19"/>
    </row>
    <row r="82" customFormat="false" ht="15" hidden="false" customHeight="false" outlineLevel="0" collapsed="false">
      <c r="A82" s="15" t="str">
        <f aca="false">IF($C82="","",ROW()-4)</f>
        <v/>
      </c>
      <c r="B82" s="7"/>
      <c r="C82" s="7"/>
      <c r="D82" s="7"/>
      <c r="E82" s="16"/>
      <c r="F82" s="16"/>
      <c r="G82" s="17" t="n">
        <f aca="false">IF(OR($E82="",$F82=""),0,$F82-$E82+1)</f>
        <v>0</v>
      </c>
      <c r="H82" s="18"/>
      <c r="I82" s="19"/>
      <c r="J82" s="7"/>
      <c r="K82" s="21" t="n">
        <f aca="false">IF($E82="",0,$E82)</f>
        <v>0</v>
      </c>
      <c r="L82" s="21" t="n">
        <f aca="false">IF($F82="",0,$F82)</f>
        <v>0</v>
      </c>
      <c r="M82" s="21" t="n">
        <f aca="false">IF(OR($G82=0,$H82=""),$K82,MIN($L82+1,$K82+$G82*$H82))</f>
        <v>0</v>
      </c>
      <c r="N82" s="19"/>
      <c r="O82" s="19"/>
      <c r="P82" s="19"/>
    </row>
    <row r="83" customFormat="false" ht="15" hidden="false" customHeight="false" outlineLevel="0" collapsed="false">
      <c r="A83" s="15" t="str">
        <f aca="false">IF($C83="","",ROW()-4)</f>
        <v/>
      </c>
      <c r="B83" s="7"/>
      <c r="C83" s="7"/>
      <c r="D83" s="7"/>
      <c r="E83" s="16"/>
      <c r="F83" s="16"/>
      <c r="G83" s="17" t="n">
        <f aca="false">IF(OR($E83="",$F83=""),0,$F83-$E83+1)</f>
        <v>0</v>
      </c>
      <c r="H83" s="18"/>
      <c r="I83" s="19"/>
      <c r="J83" s="7"/>
      <c r="K83" s="21" t="n">
        <f aca="false">IF($E83="",0,$E83)</f>
        <v>0</v>
      </c>
      <c r="L83" s="21" t="n">
        <f aca="false">IF($F83="",0,$F83)</f>
        <v>0</v>
      </c>
      <c r="M83" s="21" t="n">
        <f aca="false">IF(OR($G83=0,$H83=""),$K83,MIN($L83+1,$K83+$G83*$H83))</f>
        <v>0</v>
      </c>
      <c r="N83" s="19"/>
      <c r="O83" s="19"/>
      <c r="P83" s="19"/>
    </row>
    <row r="84" customFormat="false" ht="15" hidden="false" customHeight="false" outlineLevel="0" collapsed="false">
      <c r="A84" s="15" t="str">
        <f aca="false">IF($C84="","",ROW()-4)</f>
        <v/>
      </c>
      <c r="B84" s="7"/>
      <c r="C84" s="7"/>
      <c r="D84" s="7"/>
      <c r="E84" s="16"/>
      <c r="F84" s="16"/>
      <c r="G84" s="17" t="n">
        <f aca="false">IF(OR($E84="",$F84=""),0,$F84-$E84+1)</f>
        <v>0</v>
      </c>
      <c r="H84" s="18"/>
      <c r="I84" s="19"/>
      <c r="J84" s="7"/>
      <c r="K84" s="21" t="n">
        <f aca="false">IF($E84="",0,$E84)</f>
        <v>0</v>
      </c>
      <c r="L84" s="21" t="n">
        <f aca="false">IF($F84="",0,$F84)</f>
        <v>0</v>
      </c>
      <c r="M84" s="21" t="n">
        <f aca="false">IF(OR($G84=0,$H84=""),$K84,MIN($L84+1,$K84+$G84*$H84))</f>
        <v>0</v>
      </c>
      <c r="N84" s="19"/>
      <c r="O84" s="19"/>
      <c r="P84" s="19"/>
    </row>
    <row r="85" customFormat="false" ht="15" hidden="false" customHeight="false" outlineLevel="0" collapsed="false">
      <c r="A85" s="15" t="str">
        <f aca="false">IF($C85="","",ROW()-4)</f>
        <v/>
      </c>
      <c r="B85" s="7"/>
      <c r="C85" s="7"/>
      <c r="D85" s="7"/>
      <c r="E85" s="16"/>
      <c r="F85" s="16"/>
      <c r="G85" s="17" t="n">
        <f aca="false">IF(OR($E85="",$F85=""),0,$F85-$E85+1)</f>
        <v>0</v>
      </c>
      <c r="H85" s="18"/>
      <c r="I85" s="19"/>
      <c r="J85" s="7"/>
      <c r="K85" s="21" t="n">
        <f aca="false">IF($E85="",0,$E85)</f>
        <v>0</v>
      </c>
      <c r="L85" s="21" t="n">
        <f aca="false">IF($F85="",0,$F85)</f>
        <v>0</v>
      </c>
      <c r="M85" s="21" t="n">
        <f aca="false">IF(OR($G85=0,$H85=""),$K85,MIN($L85+1,$K85+$G85*$H85))</f>
        <v>0</v>
      </c>
      <c r="N85" s="19"/>
      <c r="O85" s="19"/>
      <c r="P85" s="19"/>
    </row>
    <row r="86" customFormat="false" ht="15" hidden="false" customHeight="false" outlineLevel="0" collapsed="false">
      <c r="A86" s="15" t="str">
        <f aca="false">IF($C86="","",ROW()-4)</f>
        <v/>
      </c>
      <c r="B86" s="7"/>
      <c r="C86" s="7"/>
      <c r="D86" s="7"/>
      <c r="E86" s="16"/>
      <c r="F86" s="16"/>
      <c r="G86" s="17" t="n">
        <f aca="false">IF(OR($E86="",$F86=""),0,$F86-$E86+1)</f>
        <v>0</v>
      </c>
      <c r="H86" s="18"/>
      <c r="I86" s="19"/>
      <c r="J86" s="7"/>
      <c r="K86" s="21" t="n">
        <f aca="false">IF($E86="",0,$E86)</f>
        <v>0</v>
      </c>
      <c r="L86" s="21" t="n">
        <f aca="false">IF($F86="",0,$F86)</f>
        <v>0</v>
      </c>
      <c r="M86" s="21" t="n">
        <f aca="false">IF(OR($G86=0,$H86=""),$K86,MIN($L86+1,$K86+$G86*$H86))</f>
        <v>0</v>
      </c>
      <c r="N86" s="19"/>
      <c r="O86" s="19"/>
      <c r="P86" s="19"/>
    </row>
    <row r="87" customFormat="false" ht="15" hidden="false" customHeight="false" outlineLevel="0" collapsed="false">
      <c r="A87" s="15" t="str">
        <f aca="false">IF($C87="","",ROW()-4)</f>
        <v/>
      </c>
      <c r="B87" s="7"/>
      <c r="C87" s="7"/>
      <c r="D87" s="7"/>
      <c r="E87" s="16"/>
      <c r="F87" s="16"/>
      <c r="G87" s="17" t="n">
        <f aca="false">IF(OR($E87="",$F87=""),0,$F87-$E87+1)</f>
        <v>0</v>
      </c>
      <c r="H87" s="18"/>
      <c r="I87" s="19"/>
      <c r="J87" s="7"/>
      <c r="K87" s="21" t="n">
        <f aca="false">IF($E87="",0,$E87)</f>
        <v>0</v>
      </c>
      <c r="L87" s="21" t="n">
        <f aca="false">IF($F87="",0,$F87)</f>
        <v>0</v>
      </c>
      <c r="M87" s="21" t="n">
        <f aca="false">IF(OR($G87=0,$H87=""),$K87,MIN($L87+1,$K87+$G87*$H87))</f>
        <v>0</v>
      </c>
      <c r="N87" s="19"/>
      <c r="O87" s="19"/>
      <c r="P87" s="19"/>
    </row>
    <row r="88" customFormat="false" ht="15" hidden="false" customHeight="false" outlineLevel="0" collapsed="false">
      <c r="A88" s="15" t="str">
        <f aca="false">IF($C88="","",ROW()-4)</f>
        <v/>
      </c>
      <c r="B88" s="7"/>
      <c r="C88" s="7"/>
      <c r="D88" s="7"/>
      <c r="E88" s="16"/>
      <c r="F88" s="16"/>
      <c r="G88" s="17" t="n">
        <f aca="false">IF(OR($E88="",$F88=""),0,$F88-$E88+1)</f>
        <v>0</v>
      </c>
      <c r="H88" s="18"/>
      <c r="I88" s="19"/>
      <c r="J88" s="7"/>
      <c r="K88" s="21" t="n">
        <f aca="false">IF($E88="",0,$E88)</f>
        <v>0</v>
      </c>
      <c r="L88" s="21" t="n">
        <f aca="false">IF($F88="",0,$F88)</f>
        <v>0</v>
      </c>
      <c r="M88" s="21" t="n">
        <f aca="false">IF(OR($G88=0,$H88=""),$K88,MIN($L88+1,$K88+$G88*$H88))</f>
        <v>0</v>
      </c>
      <c r="N88" s="19"/>
      <c r="O88" s="19"/>
      <c r="P88" s="19"/>
    </row>
    <row r="89" customFormat="false" ht="15" hidden="false" customHeight="false" outlineLevel="0" collapsed="false">
      <c r="A89" s="15" t="str">
        <f aca="false">IF($C89="","",ROW()-4)</f>
        <v/>
      </c>
      <c r="B89" s="7"/>
      <c r="C89" s="7"/>
      <c r="D89" s="7"/>
      <c r="E89" s="16"/>
      <c r="F89" s="16"/>
      <c r="G89" s="17" t="n">
        <f aca="false">IF(OR($E89="",$F89=""),0,$F89-$E89+1)</f>
        <v>0</v>
      </c>
      <c r="H89" s="18"/>
      <c r="I89" s="19"/>
      <c r="J89" s="7"/>
      <c r="K89" s="21" t="n">
        <f aca="false">IF($E89="",0,$E89)</f>
        <v>0</v>
      </c>
      <c r="L89" s="21" t="n">
        <f aca="false">IF($F89="",0,$F89)</f>
        <v>0</v>
      </c>
      <c r="M89" s="21" t="n">
        <f aca="false">IF(OR($G89=0,$H89=""),$K89,MIN($L89+1,$K89+$G89*$H89))</f>
        <v>0</v>
      </c>
      <c r="N89" s="19"/>
      <c r="O89" s="19"/>
      <c r="P89" s="19"/>
    </row>
    <row r="90" customFormat="false" ht="15" hidden="false" customHeight="false" outlineLevel="0" collapsed="false">
      <c r="A90" s="15" t="str">
        <f aca="false">IF($C90="","",ROW()-4)</f>
        <v/>
      </c>
      <c r="B90" s="7"/>
      <c r="C90" s="7"/>
      <c r="D90" s="7"/>
      <c r="E90" s="16"/>
      <c r="F90" s="16"/>
      <c r="G90" s="17" t="n">
        <f aca="false">IF(OR($E90="",$F90=""),0,$F90-$E90+1)</f>
        <v>0</v>
      </c>
      <c r="H90" s="18"/>
      <c r="I90" s="19"/>
      <c r="J90" s="7"/>
      <c r="K90" s="21" t="n">
        <f aca="false">IF($E90="",0,$E90)</f>
        <v>0</v>
      </c>
      <c r="L90" s="21" t="n">
        <f aca="false">IF($F90="",0,$F90)</f>
        <v>0</v>
      </c>
      <c r="M90" s="21" t="n">
        <f aca="false">IF(OR($G90=0,$H90=""),$K90,MIN($L90+1,$K90+$G90*$H90))</f>
        <v>0</v>
      </c>
      <c r="N90" s="19"/>
      <c r="O90" s="19"/>
      <c r="P90" s="19"/>
    </row>
    <row r="91" customFormat="false" ht="15" hidden="false" customHeight="false" outlineLevel="0" collapsed="false">
      <c r="A91" s="15" t="str">
        <f aca="false">IF($C91="","",ROW()-4)</f>
        <v/>
      </c>
      <c r="B91" s="7"/>
      <c r="C91" s="7"/>
      <c r="D91" s="7"/>
      <c r="E91" s="16"/>
      <c r="F91" s="16"/>
      <c r="G91" s="17" t="n">
        <f aca="false">IF(OR($E91="",$F91=""),0,$F91-$E91+1)</f>
        <v>0</v>
      </c>
      <c r="H91" s="18"/>
      <c r="I91" s="19"/>
      <c r="J91" s="7"/>
      <c r="K91" s="21" t="n">
        <f aca="false">IF($E91="",0,$E91)</f>
        <v>0</v>
      </c>
      <c r="L91" s="21" t="n">
        <f aca="false">IF($F91="",0,$F91)</f>
        <v>0</v>
      </c>
      <c r="M91" s="21" t="n">
        <f aca="false">IF(OR($G91=0,$H91=""),$K91,MIN($L91+1,$K91+$G91*$H91))</f>
        <v>0</v>
      </c>
      <c r="N91" s="19"/>
      <c r="O91" s="19"/>
      <c r="P91" s="19"/>
    </row>
    <row r="92" customFormat="false" ht="15" hidden="false" customHeight="false" outlineLevel="0" collapsed="false">
      <c r="A92" s="15" t="str">
        <f aca="false">IF($C92="","",ROW()-4)</f>
        <v/>
      </c>
      <c r="B92" s="7"/>
      <c r="C92" s="7"/>
      <c r="D92" s="7"/>
      <c r="E92" s="16"/>
      <c r="F92" s="16"/>
      <c r="G92" s="17" t="n">
        <f aca="false">IF(OR($E92="",$F92=""),0,$F92-$E92+1)</f>
        <v>0</v>
      </c>
      <c r="H92" s="18"/>
      <c r="I92" s="19"/>
      <c r="J92" s="7"/>
      <c r="K92" s="21" t="n">
        <f aca="false">IF($E92="",0,$E92)</f>
        <v>0</v>
      </c>
      <c r="L92" s="21" t="n">
        <f aca="false">IF($F92="",0,$F92)</f>
        <v>0</v>
      </c>
      <c r="M92" s="21" t="n">
        <f aca="false">IF(OR($G92=0,$H92=""),$K92,MIN($L92+1,$K92+$G92*$H92))</f>
        <v>0</v>
      </c>
      <c r="N92" s="19"/>
      <c r="O92" s="19"/>
      <c r="P92" s="19"/>
    </row>
    <row r="93" customFormat="false" ht="15" hidden="false" customHeight="false" outlineLevel="0" collapsed="false">
      <c r="A93" s="15" t="str">
        <f aca="false">IF($C93="","",ROW()-4)</f>
        <v/>
      </c>
      <c r="B93" s="7"/>
      <c r="C93" s="7"/>
      <c r="D93" s="7"/>
      <c r="E93" s="16"/>
      <c r="F93" s="16"/>
      <c r="G93" s="17" t="n">
        <f aca="false">IF(OR($E93="",$F93=""),0,$F93-$E93+1)</f>
        <v>0</v>
      </c>
      <c r="H93" s="18"/>
      <c r="I93" s="19"/>
      <c r="J93" s="7"/>
      <c r="K93" s="21" t="n">
        <f aca="false">IF($E93="",0,$E93)</f>
        <v>0</v>
      </c>
      <c r="L93" s="21" t="n">
        <f aca="false">IF($F93="",0,$F93)</f>
        <v>0</v>
      </c>
      <c r="M93" s="21" t="n">
        <f aca="false">IF(OR($G93=0,$H93=""),$K93,MIN($L93+1,$K93+$G93*$H93))</f>
        <v>0</v>
      </c>
      <c r="N93" s="19"/>
      <c r="O93" s="19"/>
      <c r="P93" s="19"/>
    </row>
    <row r="94" customFormat="false" ht="15" hidden="false" customHeight="false" outlineLevel="0" collapsed="false">
      <c r="A94" s="15" t="str">
        <f aca="false">IF($C94="","",ROW()-4)</f>
        <v/>
      </c>
      <c r="B94" s="7"/>
      <c r="C94" s="7"/>
      <c r="D94" s="7"/>
      <c r="E94" s="16"/>
      <c r="F94" s="16"/>
      <c r="G94" s="17" t="n">
        <f aca="false">IF(OR($E94="",$F94=""),0,$F94-$E94+1)</f>
        <v>0</v>
      </c>
      <c r="H94" s="18"/>
      <c r="I94" s="19"/>
      <c r="J94" s="7"/>
      <c r="K94" s="21" t="n">
        <f aca="false">IF($E94="",0,$E94)</f>
        <v>0</v>
      </c>
      <c r="L94" s="21" t="n">
        <f aca="false">IF($F94="",0,$F94)</f>
        <v>0</v>
      </c>
      <c r="M94" s="21" t="n">
        <f aca="false">IF(OR($G94=0,$H94=""),$K94,MIN($L94+1,$K94+$G94*$H94))</f>
        <v>0</v>
      </c>
      <c r="N94" s="19"/>
      <c r="O94" s="19"/>
      <c r="P94" s="19"/>
    </row>
    <row r="95" customFormat="false" ht="15" hidden="false" customHeight="false" outlineLevel="0" collapsed="false">
      <c r="A95" s="15" t="str">
        <f aca="false">IF($C95="","",ROW()-4)</f>
        <v/>
      </c>
      <c r="B95" s="7"/>
      <c r="C95" s="7"/>
      <c r="D95" s="7"/>
      <c r="E95" s="16"/>
      <c r="F95" s="16"/>
      <c r="G95" s="17" t="n">
        <f aca="false">IF(OR($E95="",$F95=""),0,$F95-$E95+1)</f>
        <v>0</v>
      </c>
      <c r="H95" s="18"/>
      <c r="I95" s="19"/>
      <c r="J95" s="7"/>
      <c r="K95" s="21" t="n">
        <f aca="false">IF($E95="",0,$E95)</f>
        <v>0</v>
      </c>
      <c r="L95" s="21" t="n">
        <f aca="false">IF($F95="",0,$F95)</f>
        <v>0</v>
      </c>
      <c r="M95" s="21" t="n">
        <f aca="false">IF(OR($G95=0,$H95=""),$K95,MIN($L95+1,$K95+$G95*$H95))</f>
        <v>0</v>
      </c>
      <c r="N95" s="19"/>
      <c r="O95" s="19"/>
      <c r="P95" s="19"/>
    </row>
    <row r="96" customFormat="false" ht="15" hidden="false" customHeight="false" outlineLevel="0" collapsed="false">
      <c r="A96" s="15" t="str">
        <f aca="false">IF($C96="","",ROW()-4)</f>
        <v/>
      </c>
      <c r="B96" s="7"/>
      <c r="C96" s="7"/>
      <c r="D96" s="7"/>
      <c r="E96" s="16"/>
      <c r="F96" s="16"/>
      <c r="G96" s="17" t="n">
        <f aca="false">IF(OR($E96="",$F96=""),0,$F96-$E96+1)</f>
        <v>0</v>
      </c>
      <c r="H96" s="18"/>
      <c r="I96" s="19"/>
      <c r="J96" s="7"/>
      <c r="K96" s="21" t="n">
        <f aca="false">IF($E96="",0,$E96)</f>
        <v>0</v>
      </c>
      <c r="L96" s="21" t="n">
        <f aca="false">IF($F96="",0,$F96)</f>
        <v>0</v>
      </c>
      <c r="M96" s="21" t="n">
        <f aca="false">IF(OR($G96=0,$H96=""),$K96,MIN($L96+1,$K96+$G96*$H96))</f>
        <v>0</v>
      </c>
      <c r="N96" s="19"/>
      <c r="O96" s="19"/>
      <c r="P96" s="19"/>
    </row>
    <row r="97" customFormat="false" ht="15" hidden="false" customHeight="false" outlineLevel="0" collapsed="false">
      <c r="A97" s="15" t="str">
        <f aca="false">IF($C97="","",ROW()-4)</f>
        <v/>
      </c>
      <c r="B97" s="7"/>
      <c r="C97" s="7"/>
      <c r="D97" s="7"/>
      <c r="E97" s="16"/>
      <c r="F97" s="16"/>
      <c r="G97" s="17" t="n">
        <f aca="false">IF(OR($E97="",$F97=""),0,$F97-$E97+1)</f>
        <v>0</v>
      </c>
      <c r="H97" s="18"/>
      <c r="I97" s="19"/>
      <c r="J97" s="7"/>
      <c r="K97" s="21" t="n">
        <f aca="false">IF($E97="",0,$E97)</f>
        <v>0</v>
      </c>
      <c r="L97" s="21" t="n">
        <f aca="false">IF($F97="",0,$F97)</f>
        <v>0</v>
      </c>
      <c r="M97" s="21" t="n">
        <f aca="false">IF(OR($G97=0,$H97=""),$K97,MIN($L97+1,$K97+$G97*$H97))</f>
        <v>0</v>
      </c>
      <c r="N97" s="19"/>
      <c r="O97" s="19"/>
      <c r="P97" s="19"/>
    </row>
    <row r="98" customFormat="false" ht="15" hidden="false" customHeight="false" outlineLevel="0" collapsed="false">
      <c r="A98" s="15" t="str">
        <f aca="false">IF($C98="","",ROW()-4)</f>
        <v/>
      </c>
      <c r="B98" s="7"/>
      <c r="C98" s="7"/>
      <c r="D98" s="7"/>
      <c r="E98" s="16"/>
      <c r="F98" s="16"/>
      <c r="G98" s="17" t="n">
        <f aca="false">IF(OR($E98="",$F98=""),0,$F98-$E98+1)</f>
        <v>0</v>
      </c>
      <c r="H98" s="18"/>
      <c r="I98" s="19"/>
      <c r="J98" s="7"/>
      <c r="K98" s="21" t="n">
        <f aca="false">IF($E98="",0,$E98)</f>
        <v>0</v>
      </c>
      <c r="L98" s="21" t="n">
        <f aca="false">IF($F98="",0,$F98)</f>
        <v>0</v>
      </c>
      <c r="M98" s="21" t="n">
        <f aca="false">IF(OR($G98=0,$H98=""),$K98,MIN($L98+1,$K98+$G98*$H98))</f>
        <v>0</v>
      </c>
      <c r="N98" s="19"/>
      <c r="O98" s="19"/>
      <c r="P98" s="19"/>
    </row>
    <row r="99" customFormat="false" ht="15" hidden="false" customHeight="false" outlineLevel="0" collapsed="false">
      <c r="A99" s="15" t="str">
        <f aca="false">IF($C99="","",ROW()-4)</f>
        <v/>
      </c>
      <c r="B99" s="7"/>
      <c r="C99" s="7"/>
      <c r="D99" s="7"/>
      <c r="E99" s="16"/>
      <c r="F99" s="16"/>
      <c r="G99" s="17" t="n">
        <f aca="false">IF(OR($E99="",$F99=""),0,$F99-$E99+1)</f>
        <v>0</v>
      </c>
      <c r="H99" s="18"/>
      <c r="I99" s="19"/>
      <c r="J99" s="7"/>
      <c r="K99" s="21" t="n">
        <f aca="false">IF($E99="",0,$E99)</f>
        <v>0</v>
      </c>
      <c r="L99" s="21" t="n">
        <f aca="false">IF($F99="",0,$F99)</f>
        <v>0</v>
      </c>
      <c r="M99" s="21" t="n">
        <f aca="false">IF(OR($G99=0,$H99=""),$K99,MIN($L99+1,$K99+$G99*$H99))</f>
        <v>0</v>
      </c>
      <c r="N99" s="19"/>
      <c r="O99" s="19"/>
      <c r="P99" s="19"/>
    </row>
    <row r="100" customFormat="false" ht="15" hidden="false" customHeight="false" outlineLevel="0" collapsed="false">
      <c r="A100" s="15" t="str">
        <f aca="false">IF($C100="","",ROW()-4)</f>
        <v/>
      </c>
      <c r="B100" s="7"/>
      <c r="C100" s="7"/>
      <c r="D100" s="7"/>
      <c r="E100" s="16"/>
      <c r="F100" s="16"/>
      <c r="G100" s="17" t="n">
        <f aca="false">IF(OR($E100="",$F100=""),0,$F100-$E100+1)</f>
        <v>0</v>
      </c>
      <c r="H100" s="18"/>
      <c r="I100" s="19"/>
      <c r="J100" s="7"/>
      <c r="K100" s="21" t="n">
        <f aca="false">IF($E100="",0,$E100)</f>
        <v>0</v>
      </c>
      <c r="L100" s="21" t="n">
        <f aca="false">IF($F100="",0,$F100)</f>
        <v>0</v>
      </c>
      <c r="M100" s="21" t="n">
        <f aca="false">IF(OR($G100=0,$H100=""),$K100,MIN($L100+1,$K100+$G100*$H100))</f>
        <v>0</v>
      </c>
      <c r="N100" s="19"/>
      <c r="O100" s="19"/>
      <c r="P100" s="19"/>
    </row>
    <row r="101" customFormat="false" ht="15" hidden="false" customHeight="false" outlineLevel="0" collapsed="false">
      <c r="A101" s="15" t="str">
        <f aca="false">IF($C101="","",ROW()-4)</f>
        <v/>
      </c>
      <c r="B101" s="7"/>
      <c r="C101" s="7"/>
      <c r="D101" s="7"/>
      <c r="E101" s="16"/>
      <c r="F101" s="16"/>
      <c r="G101" s="17" t="n">
        <f aca="false">IF(OR($E101="",$F101=""),0,$F101-$E101+1)</f>
        <v>0</v>
      </c>
      <c r="H101" s="18"/>
      <c r="I101" s="19"/>
      <c r="J101" s="7"/>
      <c r="K101" s="21" t="n">
        <f aca="false">IF($E101="",0,$E101)</f>
        <v>0</v>
      </c>
      <c r="L101" s="21" t="n">
        <f aca="false">IF($F101="",0,$F101)</f>
        <v>0</v>
      </c>
      <c r="M101" s="21" t="n">
        <f aca="false">IF(OR($G101=0,$H101=""),$K101,MIN($L101+1,$K101+$G101*$H101))</f>
        <v>0</v>
      </c>
      <c r="N101" s="19"/>
      <c r="O101" s="19"/>
      <c r="P101" s="19"/>
    </row>
    <row r="102" customFormat="false" ht="15" hidden="false" customHeight="false" outlineLevel="0" collapsed="false">
      <c r="A102" s="15" t="str">
        <f aca="false">IF($C102="","",ROW()-4)</f>
        <v/>
      </c>
      <c r="B102" s="7"/>
      <c r="C102" s="7"/>
      <c r="D102" s="7"/>
      <c r="E102" s="16"/>
      <c r="F102" s="16"/>
      <c r="G102" s="17" t="n">
        <f aca="false">IF(OR($E102="",$F102=""),0,$F102-$E102+1)</f>
        <v>0</v>
      </c>
      <c r="H102" s="18"/>
      <c r="I102" s="19"/>
      <c r="J102" s="7"/>
      <c r="K102" s="21" t="n">
        <f aca="false">IF($E102="",0,$E102)</f>
        <v>0</v>
      </c>
      <c r="L102" s="21" t="n">
        <f aca="false">IF($F102="",0,$F102)</f>
        <v>0</v>
      </c>
      <c r="M102" s="21" t="n">
        <f aca="false">IF(OR($G102=0,$H102=""),$K102,MIN($L102+1,$K102+$G102*$H102))</f>
        <v>0</v>
      </c>
      <c r="N102" s="19"/>
      <c r="O102" s="19"/>
      <c r="P102" s="19"/>
    </row>
    <row r="103" customFormat="false" ht="15" hidden="false" customHeight="false" outlineLevel="0" collapsed="false">
      <c r="A103" s="15" t="str">
        <f aca="false">IF($C103="","",ROW()-4)</f>
        <v/>
      </c>
      <c r="B103" s="7"/>
      <c r="C103" s="7"/>
      <c r="D103" s="7"/>
      <c r="E103" s="16"/>
      <c r="F103" s="16"/>
      <c r="G103" s="17" t="n">
        <f aca="false">IF(OR($E103="",$F103=""),0,$F103-$E103+1)</f>
        <v>0</v>
      </c>
      <c r="H103" s="18"/>
      <c r="I103" s="19"/>
      <c r="J103" s="7"/>
      <c r="K103" s="21" t="n">
        <f aca="false">IF($E103="",0,$E103)</f>
        <v>0</v>
      </c>
      <c r="L103" s="21" t="n">
        <f aca="false">IF($F103="",0,$F103)</f>
        <v>0</v>
      </c>
      <c r="M103" s="21" t="n">
        <f aca="false">IF(OR($G103=0,$H103=""),$K103,MIN($L103+1,$K103+$G103*$H103))</f>
        <v>0</v>
      </c>
      <c r="N103" s="19"/>
      <c r="O103" s="19"/>
      <c r="P103" s="19"/>
    </row>
    <row r="104" customFormat="false" ht="15" hidden="false" customHeight="false" outlineLevel="0" collapsed="false">
      <c r="A104" s="15" t="str">
        <f aca="false">IF($C104="","",ROW()-4)</f>
        <v/>
      </c>
      <c r="B104" s="7"/>
      <c r="C104" s="7"/>
      <c r="D104" s="7"/>
      <c r="E104" s="16"/>
      <c r="F104" s="16"/>
      <c r="G104" s="17" t="n">
        <f aca="false">IF(OR($E104="",$F104=""),0,$F104-$E104+1)</f>
        <v>0</v>
      </c>
      <c r="H104" s="18"/>
      <c r="I104" s="19"/>
      <c r="J104" s="7"/>
      <c r="K104" s="21" t="n">
        <f aca="false">IF($E104="",0,$E104)</f>
        <v>0</v>
      </c>
      <c r="L104" s="21" t="n">
        <f aca="false">IF($F104="",0,$F104)</f>
        <v>0</v>
      </c>
      <c r="M104" s="21" t="n">
        <f aca="false">IF(OR($G104=0,$H104=""),$K104,MIN($L104+1,$K104+$G104*$H104))</f>
        <v>0</v>
      </c>
      <c r="N104" s="19"/>
      <c r="O104" s="19"/>
      <c r="P104" s="19"/>
    </row>
    <row r="105" customFormat="false" ht="15" hidden="false" customHeight="false" outlineLevel="0" collapsed="false">
      <c r="A105" s="15" t="str">
        <f aca="false">IF($C105="","",ROW()-4)</f>
        <v/>
      </c>
      <c r="B105" s="7"/>
      <c r="C105" s="7"/>
      <c r="D105" s="7"/>
      <c r="E105" s="16"/>
      <c r="F105" s="16"/>
      <c r="G105" s="17" t="n">
        <f aca="false">IF(OR($E105="",$F105=""),0,$F105-$E105+1)</f>
        <v>0</v>
      </c>
      <c r="H105" s="18"/>
      <c r="I105" s="19"/>
      <c r="J105" s="7"/>
      <c r="K105" s="21" t="n">
        <f aca="false">IF($E105="",0,$E105)</f>
        <v>0</v>
      </c>
      <c r="L105" s="21" t="n">
        <f aca="false">IF($F105="",0,$F105)</f>
        <v>0</v>
      </c>
      <c r="M105" s="21" t="n">
        <f aca="false">IF(OR($G105=0,$H105=""),$K105,MIN($L105+1,$K105+$G105*$H105))</f>
        <v>0</v>
      </c>
      <c r="N105" s="19"/>
      <c r="O105" s="19"/>
      <c r="P105" s="19"/>
    </row>
    <row r="106" customFormat="false" ht="15" hidden="false" customHeight="false" outlineLevel="0" collapsed="false">
      <c r="A106" s="15" t="str">
        <f aca="false">IF($C106="","",ROW()-4)</f>
        <v/>
      </c>
      <c r="B106" s="7"/>
      <c r="C106" s="7"/>
      <c r="D106" s="7"/>
      <c r="E106" s="16"/>
      <c r="F106" s="16"/>
      <c r="G106" s="17" t="n">
        <f aca="false">IF(OR($E106="",$F106=""),0,$F106-$E106+1)</f>
        <v>0</v>
      </c>
      <c r="H106" s="18"/>
      <c r="I106" s="19"/>
      <c r="J106" s="7"/>
      <c r="K106" s="21" t="n">
        <f aca="false">IF($E106="",0,$E106)</f>
        <v>0</v>
      </c>
      <c r="L106" s="21" t="n">
        <f aca="false">IF($F106="",0,$F106)</f>
        <v>0</v>
      </c>
      <c r="M106" s="21" t="n">
        <f aca="false">IF(OR($G106=0,$H106=""),$K106,MIN($L106+1,$K106+$G106*$H106))</f>
        <v>0</v>
      </c>
      <c r="N106" s="19"/>
      <c r="O106" s="19"/>
      <c r="P106" s="19"/>
    </row>
    <row r="107" customFormat="false" ht="15" hidden="false" customHeight="false" outlineLevel="0" collapsed="false">
      <c r="A107" s="15" t="str">
        <f aca="false">IF($C107="","",ROW()-4)</f>
        <v/>
      </c>
      <c r="B107" s="7"/>
      <c r="C107" s="7"/>
      <c r="D107" s="7"/>
      <c r="E107" s="16"/>
      <c r="F107" s="16"/>
      <c r="G107" s="17" t="n">
        <f aca="false">IF(OR($E107="",$F107=""),0,$F107-$E107+1)</f>
        <v>0</v>
      </c>
      <c r="H107" s="18"/>
      <c r="I107" s="19"/>
      <c r="J107" s="7"/>
      <c r="K107" s="21" t="n">
        <f aca="false">IF($E107="",0,$E107)</f>
        <v>0</v>
      </c>
      <c r="L107" s="21" t="n">
        <f aca="false">IF($F107="",0,$F107)</f>
        <v>0</v>
      </c>
      <c r="M107" s="21" t="n">
        <f aca="false">IF(OR($G107=0,$H107=""),$K107,MIN($L107+1,$K107+$G107*$H107))</f>
        <v>0</v>
      </c>
      <c r="N107" s="19"/>
      <c r="O107" s="19"/>
      <c r="P107" s="19"/>
    </row>
    <row r="108" customFormat="false" ht="15" hidden="false" customHeight="false" outlineLevel="0" collapsed="false">
      <c r="A108" s="15" t="str">
        <f aca="false">IF($C108="","",ROW()-4)</f>
        <v/>
      </c>
      <c r="B108" s="7"/>
      <c r="C108" s="7"/>
      <c r="D108" s="7"/>
      <c r="E108" s="16"/>
      <c r="F108" s="16"/>
      <c r="G108" s="17" t="n">
        <f aca="false">IF(OR($E108="",$F108=""),0,$F108-$E108+1)</f>
        <v>0</v>
      </c>
      <c r="H108" s="18"/>
      <c r="I108" s="19"/>
      <c r="J108" s="7"/>
      <c r="K108" s="21" t="n">
        <f aca="false">IF($E108="",0,$E108)</f>
        <v>0</v>
      </c>
      <c r="L108" s="21" t="n">
        <f aca="false">IF($F108="",0,$F108)</f>
        <v>0</v>
      </c>
      <c r="M108" s="21" t="n">
        <f aca="false">IF(OR($G108=0,$H108=""),$K108,MIN($L108+1,$K108+$G108*$H108))</f>
        <v>0</v>
      </c>
      <c r="N108" s="19"/>
      <c r="O108" s="19"/>
      <c r="P108" s="19"/>
    </row>
    <row r="109" customFormat="false" ht="15" hidden="false" customHeight="false" outlineLevel="0" collapsed="false">
      <c r="A109" s="15" t="str">
        <f aca="false">IF($C109="","",ROW()-4)</f>
        <v/>
      </c>
      <c r="B109" s="7"/>
      <c r="C109" s="7"/>
      <c r="D109" s="7"/>
      <c r="E109" s="16"/>
      <c r="F109" s="16"/>
      <c r="G109" s="17" t="n">
        <f aca="false">IF(OR($E109="",$F109=""),0,$F109-$E109+1)</f>
        <v>0</v>
      </c>
      <c r="H109" s="18"/>
      <c r="I109" s="19"/>
      <c r="J109" s="7"/>
      <c r="K109" s="21" t="n">
        <f aca="false">IF($E109="",0,$E109)</f>
        <v>0</v>
      </c>
      <c r="L109" s="21" t="n">
        <f aca="false">IF($F109="",0,$F109)</f>
        <v>0</v>
      </c>
      <c r="M109" s="21" t="n">
        <f aca="false">IF(OR($G109=0,$H109=""),$K109,MIN($L109+1,$K109+$G109*$H109))</f>
        <v>0</v>
      </c>
      <c r="N109" s="19"/>
      <c r="O109" s="19"/>
      <c r="P109" s="19"/>
    </row>
    <row r="110" customFormat="false" ht="15" hidden="false" customHeight="false" outlineLevel="0" collapsed="false">
      <c r="A110" s="15" t="str">
        <f aca="false">IF($C110="","",ROW()-4)</f>
        <v/>
      </c>
      <c r="B110" s="7"/>
      <c r="C110" s="7"/>
      <c r="D110" s="7"/>
      <c r="E110" s="16"/>
      <c r="F110" s="16"/>
      <c r="G110" s="17" t="n">
        <f aca="false">IF(OR($E110="",$F110=""),0,$F110-$E110+1)</f>
        <v>0</v>
      </c>
      <c r="H110" s="18"/>
      <c r="I110" s="19"/>
      <c r="J110" s="7"/>
      <c r="K110" s="21" t="n">
        <f aca="false">IF($E110="",0,$E110)</f>
        <v>0</v>
      </c>
      <c r="L110" s="21" t="n">
        <f aca="false">IF($F110="",0,$F110)</f>
        <v>0</v>
      </c>
      <c r="M110" s="21" t="n">
        <f aca="false">IF(OR($G110=0,$H110=""),$K110,MIN($L110+1,$K110+$G110*$H110))</f>
        <v>0</v>
      </c>
      <c r="N110" s="19"/>
      <c r="O110" s="19"/>
      <c r="P110" s="19"/>
    </row>
    <row r="111" customFormat="false" ht="15" hidden="false" customHeight="false" outlineLevel="0" collapsed="false">
      <c r="A111" s="15" t="str">
        <f aca="false">IF($C111="","",ROW()-4)</f>
        <v/>
      </c>
      <c r="B111" s="7"/>
      <c r="C111" s="7"/>
      <c r="D111" s="7"/>
      <c r="E111" s="16"/>
      <c r="F111" s="16"/>
      <c r="G111" s="17" t="n">
        <f aca="false">IF(OR($E111="",$F111=""),0,$F111-$E111+1)</f>
        <v>0</v>
      </c>
      <c r="H111" s="18"/>
      <c r="I111" s="19"/>
      <c r="J111" s="7"/>
      <c r="K111" s="21" t="n">
        <f aca="false">IF($E111="",0,$E111)</f>
        <v>0</v>
      </c>
      <c r="L111" s="21" t="n">
        <f aca="false">IF($F111="",0,$F111)</f>
        <v>0</v>
      </c>
      <c r="M111" s="21" t="n">
        <f aca="false">IF(OR($G111=0,$H111=""),$K111,MIN($L111+1,$K111+$G111*$H111))</f>
        <v>0</v>
      </c>
      <c r="N111" s="19"/>
      <c r="O111" s="19"/>
      <c r="P111" s="19"/>
    </row>
    <row r="112" customFormat="false" ht="15" hidden="false" customHeight="false" outlineLevel="0" collapsed="false">
      <c r="A112" s="15" t="str">
        <f aca="false">IF($C112="","",ROW()-4)</f>
        <v/>
      </c>
      <c r="B112" s="7"/>
      <c r="C112" s="7"/>
      <c r="D112" s="7"/>
      <c r="E112" s="16"/>
      <c r="F112" s="16"/>
      <c r="G112" s="17" t="n">
        <f aca="false">IF(OR($E112="",$F112=""),0,$F112-$E112+1)</f>
        <v>0</v>
      </c>
      <c r="H112" s="18"/>
      <c r="I112" s="19"/>
      <c r="J112" s="7"/>
      <c r="K112" s="21" t="n">
        <f aca="false">IF($E112="",0,$E112)</f>
        <v>0</v>
      </c>
      <c r="L112" s="21" t="n">
        <f aca="false">IF($F112="",0,$F112)</f>
        <v>0</v>
      </c>
      <c r="M112" s="21" t="n">
        <f aca="false">IF(OR($G112=0,$H112=""),$K112,MIN($L112+1,$K112+$G112*$H112))</f>
        <v>0</v>
      </c>
      <c r="N112" s="19"/>
      <c r="O112" s="19"/>
      <c r="P112" s="19"/>
    </row>
    <row r="113" customFormat="false" ht="15" hidden="false" customHeight="false" outlineLevel="0" collapsed="false">
      <c r="A113" s="15" t="str">
        <f aca="false">IF($C113="","",ROW()-4)</f>
        <v/>
      </c>
      <c r="B113" s="7"/>
      <c r="C113" s="7"/>
      <c r="D113" s="7"/>
      <c r="E113" s="16"/>
      <c r="F113" s="16"/>
      <c r="G113" s="17" t="n">
        <f aca="false">IF(OR($E113="",$F113=""),0,$F113-$E113+1)</f>
        <v>0</v>
      </c>
      <c r="H113" s="18"/>
      <c r="I113" s="19"/>
      <c r="J113" s="7"/>
      <c r="K113" s="21" t="n">
        <f aca="false">IF($E113="",0,$E113)</f>
        <v>0</v>
      </c>
      <c r="L113" s="21" t="n">
        <f aca="false">IF($F113="",0,$F113)</f>
        <v>0</v>
      </c>
      <c r="M113" s="21" t="n">
        <f aca="false">IF(OR($G113=0,$H113=""),$K113,MIN($L113+1,$K113+$G113*$H113))</f>
        <v>0</v>
      </c>
      <c r="N113" s="19"/>
      <c r="O113" s="19"/>
      <c r="P113" s="19"/>
    </row>
    <row r="114" customFormat="false" ht="15" hidden="false" customHeight="false" outlineLevel="0" collapsed="false">
      <c r="A114" s="15" t="str">
        <f aca="false">IF($C114="","",ROW()-4)</f>
        <v/>
      </c>
      <c r="B114" s="7"/>
      <c r="C114" s="7"/>
      <c r="D114" s="7"/>
      <c r="E114" s="16"/>
      <c r="F114" s="16"/>
      <c r="G114" s="17" t="n">
        <f aca="false">IF(OR($E114="",$F114=""),0,$F114-$E114+1)</f>
        <v>0</v>
      </c>
      <c r="H114" s="18"/>
      <c r="I114" s="19"/>
      <c r="J114" s="7"/>
      <c r="K114" s="21" t="n">
        <f aca="false">IF($E114="",0,$E114)</f>
        <v>0</v>
      </c>
      <c r="L114" s="21" t="n">
        <f aca="false">IF($F114="",0,$F114)</f>
        <v>0</v>
      </c>
      <c r="M114" s="21" t="n">
        <f aca="false">IF(OR($G114=0,$H114=""),$K114,MIN($L114+1,$K114+$G114*$H114))</f>
        <v>0</v>
      </c>
      <c r="N114" s="19"/>
      <c r="O114" s="19"/>
      <c r="P114" s="19"/>
    </row>
    <row r="115" customFormat="false" ht="15" hidden="false" customHeight="false" outlineLevel="0" collapsed="false">
      <c r="A115" s="15" t="str">
        <f aca="false">IF($C115="","",ROW()-4)</f>
        <v/>
      </c>
      <c r="B115" s="7"/>
      <c r="C115" s="7"/>
      <c r="D115" s="7"/>
      <c r="E115" s="16"/>
      <c r="F115" s="16"/>
      <c r="G115" s="17" t="n">
        <f aca="false">IF(OR($E115="",$F115=""),0,$F115-$E115+1)</f>
        <v>0</v>
      </c>
      <c r="H115" s="18"/>
      <c r="I115" s="19"/>
      <c r="J115" s="7"/>
      <c r="K115" s="21" t="n">
        <f aca="false">IF($E115="",0,$E115)</f>
        <v>0</v>
      </c>
      <c r="L115" s="21" t="n">
        <f aca="false">IF($F115="",0,$F115)</f>
        <v>0</v>
      </c>
      <c r="M115" s="21" t="n">
        <f aca="false">IF(OR($G115=0,$H115=""),$K115,MIN($L115+1,$K115+$G115*$H115))</f>
        <v>0</v>
      </c>
      <c r="N115" s="19"/>
      <c r="O115" s="19"/>
      <c r="P115" s="19"/>
    </row>
    <row r="116" customFormat="false" ht="15" hidden="false" customHeight="false" outlineLevel="0" collapsed="false">
      <c r="A116" s="15" t="str">
        <f aca="false">IF($C116="","",ROW()-4)</f>
        <v/>
      </c>
      <c r="B116" s="7"/>
      <c r="C116" s="7"/>
      <c r="D116" s="7"/>
      <c r="E116" s="16"/>
      <c r="F116" s="16"/>
      <c r="G116" s="17" t="n">
        <f aca="false">IF(OR($E116="",$F116=""),0,$F116-$E116+1)</f>
        <v>0</v>
      </c>
      <c r="H116" s="18"/>
      <c r="I116" s="19"/>
      <c r="J116" s="7"/>
      <c r="K116" s="21" t="n">
        <f aca="false">IF($E116="",0,$E116)</f>
        <v>0</v>
      </c>
      <c r="L116" s="21" t="n">
        <f aca="false">IF($F116="",0,$F116)</f>
        <v>0</v>
      </c>
      <c r="M116" s="21" t="n">
        <f aca="false">IF(OR($G116=0,$H116=""),$K116,MIN($L116+1,$K116+$G116*$H116))</f>
        <v>0</v>
      </c>
      <c r="N116" s="19"/>
      <c r="O116" s="19"/>
      <c r="P116" s="19"/>
    </row>
    <row r="117" customFormat="false" ht="15" hidden="false" customHeight="false" outlineLevel="0" collapsed="false">
      <c r="A117" s="15" t="str">
        <f aca="false">IF($C117="","",ROW()-4)</f>
        <v/>
      </c>
      <c r="B117" s="7"/>
      <c r="C117" s="7"/>
      <c r="D117" s="7"/>
      <c r="E117" s="16"/>
      <c r="F117" s="16"/>
      <c r="G117" s="17" t="n">
        <f aca="false">IF(OR($E117="",$F117=""),0,$F117-$E117+1)</f>
        <v>0</v>
      </c>
      <c r="H117" s="18"/>
      <c r="I117" s="19"/>
      <c r="J117" s="7"/>
      <c r="K117" s="21" t="n">
        <f aca="false">IF($E117="",0,$E117)</f>
        <v>0</v>
      </c>
      <c r="L117" s="21" t="n">
        <f aca="false">IF($F117="",0,$F117)</f>
        <v>0</v>
      </c>
      <c r="M117" s="21" t="n">
        <f aca="false">IF(OR($G117=0,$H117=""),$K117,MIN($L117+1,$K117+$G117*$H117))</f>
        <v>0</v>
      </c>
      <c r="N117" s="19"/>
      <c r="O117" s="19"/>
      <c r="P117" s="19"/>
    </row>
    <row r="118" customFormat="false" ht="15" hidden="false" customHeight="false" outlineLevel="0" collapsed="false">
      <c r="A118" s="15" t="str">
        <f aca="false">IF($C118="","",ROW()-4)</f>
        <v/>
      </c>
      <c r="B118" s="7"/>
      <c r="C118" s="7"/>
      <c r="D118" s="7"/>
      <c r="E118" s="16"/>
      <c r="F118" s="16"/>
      <c r="G118" s="17" t="n">
        <f aca="false">IF(OR($E118="",$F118=""),0,$F118-$E118+1)</f>
        <v>0</v>
      </c>
      <c r="H118" s="18"/>
      <c r="I118" s="19"/>
      <c r="J118" s="7"/>
      <c r="K118" s="21" t="n">
        <f aca="false">IF($E118="",0,$E118)</f>
        <v>0</v>
      </c>
      <c r="L118" s="21" t="n">
        <f aca="false">IF($F118="",0,$F118)</f>
        <v>0</v>
      </c>
      <c r="M118" s="21" t="n">
        <f aca="false">IF(OR($G118=0,$H118=""),$K118,MIN($L118+1,$K118+$G118*$H118))</f>
        <v>0</v>
      </c>
      <c r="N118" s="19"/>
      <c r="O118" s="19"/>
      <c r="P118" s="19"/>
    </row>
    <row r="119" customFormat="false" ht="15" hidden="false" customHeight="false" outlineLevel="0" collapsed="false">
      <c r="A119" s="15" t="str">
        <f aca="false">IF($C119="","",ROW()-4)</f>
        <v/>
      </c>
      <c r="B119" s="7"/>
      <c r="C119" s="7"/>
      <c r="D119" s="7"/>
      <c r="E119" s="16"/>
      <c r="F119" s="16"/>
      <c r="G119" s="17" t="n">
        <f aca="false">IF(OR($E119="",$F119=""),0,$F119-$E119+1)</f>
        <v>0</v>
      </c>
      <c r="H119" s="18"/>
      <c r="I119" s="19"/>
      <c r="J119" s="7"/>
      <c r="K119" s="21" t="n">
        <f aca="false">IF($E119="",0,$E119)</f>
        <v>0</v>
      </c>
      <c r="L119" s="21" t="n">
        <f aca="false">IF($F119="",0,$F119)</f>
        <v>0</v>
      </c>
      <c r="M119" s="21" t="n">
        <f aca="false">IF(OR($G119=0,$H119=""),$K119,MIN($L119+1,$K119+$G119*$H119))</f>
        <v>0</v>
      </c>
      <c r="N119" s="19"/>
      <c r="O119" s="19"/>
      <c r="P119" s="19"/>
    </row>
    <row r="120" customFormat="false" ht="15" hidden="false" customHeight="false" outlineLevel="0" collapsed="false">
      <c r="A120" s="15" t="str">
        <f aca="false">IF($C120="","",ROW()-4)</f>
        <v/>
      </c>
      <c r="B120" s="7"/>
      <c r="C120" s="7"/>
      <c r="D120" s="7"/>
      <c r="E120" s="16"/>
      <c r="F120" s="16"/>
      <c r="G120" s="17" t="n">
        <f aca="false">IF(OR($E120="",$F120=""),0,$F120-$E120+1)</f>
        <v>0</v>
      </c>
      <c r="H120" s="18"/>
      <c r="I120" s="19"/>
      <c r="J120" s="7"/>
      <c r="K120" s="21" t="n">
        <f aca="false">IF($E120="",0,$E120)</f>
        <v>0</v>
      </c>
      <c r="L120" s="21" t="n">
        <f aca="false">IF($F120="",0,$F120)</f>
        <v>0</v>
      </c>
      <c r="M120" s="21" t="n">
        <f aca="false">IF(OR($G120=0,$H120=""),$K120,MIN($L120+1,$K120+$G120*$H120))</f>
        <v>0</v>
      </c>
      <c r="N120" s="19"/>
      <c r="O120" s="19"/>
      <c r="P120" s="19"/>
    </row>
    <row r="121" customFormat="false" ht="15" hidden="false" customHeight="false" outlineLevel="0" collapsed="false">
      <c r="A121" s="15" t="str">
        <f aca="false">IF($C121="","",ROW()-4)</f>
        <v/>
      </c>
      <c r="B121" s="7"/>
      <c r="C121" s="7"/>
      <c r="D121" s="7"/>
      <c r="E121" s="16"/>
      <c r="F121" s="16"/>
      <c r="G121" s="17" t="n">
        <f aca="false">IF(OR($E121="",$F121=""),0,$F121-$E121+1)</f>
        <v>0</v>
      </c>
      <c r="H121" s="18"/>
      <c r="I121" s="19"/>
      <c r="J121" s="7"/>
      <c r="K121" s="21" t="n">
        <f aca="false">IF($E121="",0,$E121)</f>
        <v>0</v>
      </c>
      <c r="L121" s="21" t="n">
        <f aca="false">IF($F121="",0,$F121)</f>
        <v>0</v>
      </c>
      <c r="M121" s="21" t="n">
        <f aca="false">IF(OR($G121=0,$H121=""),$K121,MIN($L121+1,$K121+$G121*$H121))</f>
        <v>0</v>
      </c>
      <c r="N121" s="19"/>
      <c r="O121" s="19"/>
      <c r="P121" s="19"/>
    </row>
    <row r="122" customFormat="false" ht="15" hidden="false" customHeight="false" outlineLevel="0" collapsed="false">
      <c r="A122" s="15" t="str">
        <f aca="false">IF($C122="","",ROW()-4)</f>
        <v/>
      </c>
      <c r="B122" s="7"/>
      <c r="C122" s="7"/>
      <c r="D122" s="7"/>
      <c r="E122" s="16"/>
      <c r="F122" s="16"/>
      <c r="G122" s="17" t="n">
        <f aca="false">IF(OR($E122="",$F122=""),0,$F122-$E122+1)</f>
        <v>0</v>
      </c>
      <c r="H122" s="18"/>
      <c r="I122" s="19"/>
      <c r="J122" s="7"/>
      <c r="K122" s="21" t="n">
        <f aca="false">IF($E122="",0,$E122)</f>
        <v>0</v>
      </c>
      <c r="L122" s="21" t="n">
        <f aca="false">IF($F122="",0,$F122)</f>
        <v>0</v>
      </c>
      <c r="M122" s="21" t="n">
        <f aca="false">IF(OR($G122=0,$H122=""),$K122,MIN($L122+1,$K122+$G122*$H122))</f>
        <v>0</v>
      </c>
      <c r="N122" s="19"/>
      <c r="O122" s="19"/>
      <c r="P122" s="19"/>
    </row>
    <row r="123" customFormat="false" ht="15" hidden="false" customHeight="false" outlineLevel="0" collapsed="false">
      <c r="A123" s="15" t="str">
        <f aca="false">IF($C123="","",ROW()-4)</f>
        <v/>
      </c>
      <c r="B123" s="7"/>
      <c r="C123" s="7"/>
      <c r="D123" s="7"/>
      <c r="E123" s="16"/>
      <c r="F123" s="16"/>
      <c r="G123" s="17" t="n">
        <f aca="false">IF(OR($E123="",$F123=""),0,$F123-$E123+1)</f>
        <v>0</v>
      </c>
      <c r="H123" s="18"/>
      <c r="I123" s="19"/>
      <c r="J123" s="7"/>
      <c r="K123" s="21" t="n">
        <f aca="false">IF($E123="",0,$E123)</f>
        <v>0</v>
      </c>
      <c r="L123" s="21" t="n">
        <f aca="false">IF($F123="",0,$F123)</f>
        <v>0</v>
      </c>
      <c r="M123" s="21" t="n">
        <f aca="false">IF(OR($G123=0,$H123=""),$K123,MIN($L123+1,$K123+$G123*$H123))</f>
        <v>0</v>
      </c>
      <c r="N123" s="19"/>
      <c r="O123" s="19"/>
      <c r="P123" s="19"/>
    </row>
    <row r="124" customFormat="false" ht="15" hidden="false" customHeight="false" outlineLevel="0" collapsed="false">
      <c r="A124" s="15" t="str">
        <f aca="false">IF($C124="","",ROW()-4)</f>
        <v/>
      </c>
      <c r="B124" s="7"/>
      <c r="C124" s="7"/>
      <c r="D124" s="7"/>
      <c r="E124" s="16"/>
      <c r="F124" s="16"/>
      <c r="G124" s="17" t="n">
        <f aca="false">IF(OR($E124="",$F124=""),0,$F124-$E124+1)</f>
        <v>0</v>
      </c>
      <c r="H124" s="18"/>
      <c r="I124" s="19"/>
      <c r="J124" s="7"/>
      <c r="K124" s="21" t="n">
        <f aca="false">IF($E124="",0,$E124)</f>
        <v>0</v>
      </c>
      <c r="L124" s="21" t="n">
        <f aca="false">IF($F124="",0,$F124)</f>
        <v>0</v>
      </c>
      <c r="M124" s="21" t="n">
        <f aca="false">IF(OR($G124=0,$H124=""),$K124,MIN($L124+1,$K124+$G124*$H124))</f>
        <v>0</v>
      </c>
      <c r="N124" s="19"/>
      <c r="O124" s="19"/>
      <c r="P124" s="19"/>
    </row>
    <row r="125" customFormat="false" ht="15" hidden="false" customHeight="false" outlineLevel="0" collapsed="false">
      <c r="A125" s="15" t="str">
        <f aca="false">IF($C125="","",ROW()-4)</f>
        <v/>
      </c>
      <c r="B125" s="7"/>
      <c r="C125" s="7"/>
      <c r="D125" s="7"/>
      <c r="E125" s="16"/>
      <c r="F125" s="16"/>
      <c r="G125" s="17" t="n">
        <f aca="false">IF(OR($E125="",$F125=""),0,$F125-$E125+1)</f>
        <v>0</v>
      </c>
      <c r="H125" s="18"/>
      <c r="I125" s="19"/>
      <c r="J125" s="7"/>
      <c r="K125" s="21" t="n">
        <f aca="false">IF($E125="",0,$E125)</f>
        <v>0</v>
      </c>
      <c r="L125" s="21" t="n">
        <f aca="false">IF($F125="",0,$F125)</f>
        <v>0</v>
      </c>
      <c r="M125" s="21" t="n">
        <f aca="false">IF(OR($G125=0,$H125=""),$K125,MIN($L125+1,$K125+$G125*$H125))</f>
        <v>0</v>
      </c>
      <c r="N125" s="19"/>
      <c r="O125" s="19"/>
      <c r="P125" s="19"/>
    </row>
    <row r="126" customFormat="false" ht="15" hidden="false" customHeight="false" outlineLevel="0" collapsed="false">
      <c r="A126" s="15" t="str">
        <f aca="false">IF($C126="","",ROW()-4)</f>
        <v/>
      </c>
      <c r="B126" s="7"/>
      <c r="C126" s="7"/>
      <c r="D126" s="7"/>
      <c r="E126" s="16"/>
      <c r="F126" s="16"/>
      <c r="G126" s="17" t="n">
        <f aca="false">IF(OR($E126="",$F126=""),0,$F126-$E126+1)</f>
        <v>0</v>
      </c>
      <c r="H126" s="18"/>
      <c r="I126" s="19"/>
      <c r="J126" s="7"/>
      <c r="K126" s="21" t="n">
        <f aca="false">IF($E126="",0,$E126)</f>
        <v>0</v>
      </c>
      <c r="L126" s="21" t="n">
        <f aca="false">IF($F126="",0,$F126)</f>
        <v>0</v>
      </c>
      <c r="M126" s="21" t="n">
        <f aca="false">IF(OR($G126=0,$H126=""),$K126,MIN($L126+1,$K126+$G126*$H126))</f>
        <v>0</v>
      </c>
      <c r="N126" s="19"/>
      <c r="O126" s="19"/>
      <c r="P126" s="19"/>
    </row>
    <row r="127" customFormat="false" ht="15" hidden="false" customHeight="false" outlineLevel="0" collapsed="false">
      <c r="A127" s="15" t="str">
        <f aca="false">IF($C127="","",ROW()-4)</f>
        <v/>
      </c>
      <c r="B127" s="7"/>
      <c r="C127" s="7"/>
      <c r="D127" s="7"/>
      <c r="E127" s="16"/>
      <c r="F127" s="16"/>
      <c r="G127" s="17" t="n">
        <f aca="false">IF(OR($E127="",$F127=""),0,$F127-$E127+1)</f>
        <v>0</v>
      </c>
      <c r="H127" s="18"/>
      <c r="I127" s="19"/>
      <c r="J127" s="7"/>
      <c r="K127" s="21" t="n">
        <f aca="false">IF($E127="",0,$E127)</f>
        <v>0</v>
      </c>
      <c r="L127" s="21" t="n">
        <f aca="false">IF($F127="",0,$F127)</f>
        <v>0</v>
      </c>
      <c r="M127" s="21" t="n">
        <f aca="false">IF(OR($G127=0,$H127=""),$K127,MIN($L127+1,$K127+$G127*$H127))</f>
        <v>0</v>
      </c>
      <c r="N127" s="19"/>
      <c r="O127" s="19"/>
      <c r="P127" s="19"/>
    </row>
    <row r="128" customFormat="false" ht="15" hidden="false" customHeight="false" outlineLevel="0" collapsed="false">
      <c r="A128" s="15" t="str">
        <f aca="false">IF($C128="","",ROW()-4)</f>
        <v/>
      </c>
      <c r="B128" s="7"/>
      <c r="C128" s="7"/>
      <c r="D128" s="7"/>
      <c r="E128" s="16"/>
      <c r="F128" s="16"/>
      <c r="G128" s="17" t="n">
        <f aca="false">IF(OR($E128="",$F128=""),0,$F128-$E128+1)</f>
        <v>0</v>
      </c>
      <c r="H128" s="18"/>
      <c r="I128" s="19"/>
      <c r="J128" s="7"/>
      <c r="K128" s="21" t="n">
        <f aca="false">IF($E128="",0,$E128)</f>
        <v>0</v>
      </c>
      <c r="L128" s="21" t="n">
        <f aca="false">IF($F128="",0,$F128)</f>
        <v>0</v>
      </c>
      <c r="M128" s="21" t="n">
        <f aca="false">IF(OR($G128=0,$H128=""),$K128,MIN($L128+1,$K128+$G128*$H128))</f>
        <v>0</v>
      </c>
      <c r="N128" s="19"/>
      <c r="O128" s="19"/>
      <c r="P128" s="19"/>
    </row>
    <row r="129" customFormat="false" ht="15" hidden="false" customHeight="false" outlineLevel="0" collapsed="false">
      <c r="A129" s="15" t="str">
        <f aca="false">IF($C129="","",ROW()-4)</f>
        <v/>
      </c>
      <c r="B129" s="7"/>
      <c r="C129" s="7"/>
      <c r="D129" s="7"/>
      <c r="E129" s="16"/>
      <c r="F129" s="16"/>
      <c r="G129" s="17" t="n">
        <f aca="false">IF(OR($E129="",$F129=""),0,$F129-$E129+1)</f>
        <v>0</v>
      </c>
      <c r="H129" s="18"/>
      <c r="I129" s="19"/>
      <c r="J129" s="7"/>
      <c r="K129" s="21" t="n">
        <f aca="false">IF($E129="",0,$E129)</f>
        <v>0</v>
      </c>
      <c r="L129" s="21" t="n">
        <f aca="false">IF($F129="",0,$F129)</f>
        <v>0</v>
      </c>
      <c r="M129" s="21" t="n">
        <f aca="false">IF(OR($G129=0,$H129=""),$K129,MIN($L129+1,$K129+$G129*$H129))</f>
        <v>0</v>
      </c>
      <c r="N129" s="19"/>
      <c r="O129" s="19"/>
      <c r="P129" s="19"/>
    </row>
    <row r="130" customFormat="false" ht="15" hidden="false" customHeight="false" outlineLevel="0" collapsed="false">
      <c r="A130" s="15" t="str">
        <f aca="false">IF($C130="","",ROW()-4)</f>
        <v/>
      </c>
      <c r="B130" s="7"/>
      <c r="C130" s="7"/>
      <c r="D130" s="7"/>
      <c r="E130" s="16"/>
      <c r="F130" s="16"/>
      <c r="G130" s="17" t="n">
        <f aca="false">IF(OR($E130="",$F130=""),0,$F130-$E130+1)</f>
        <v>0</v>
      </c>
      <c r="H130" s="18"/>
      <c r="I130" s="19"/>
      <c r="J130" s="7"/>
      <c r="K130" s="21" t="n">
        <f aca="false">IF($E130="",0,$E130)</f>
        <v>0</v>
      </c>
      <c r="L130" s="21" t="n">
        <f aca="false">IF($F130="",0,$F130)</f>
        <v>0</v>
      </c>
      <c r="M130" s="21" t="n">
        <f aca="false">IF(OR($G130=0,$H130=""),$K130,MIN($L130+1,$K130+$G130*$H130))</f>
        <v>0</v>
      </c>
      <c r="N130" s="19"/>
      <c r="O130" s="19"/>
      <c r="P130" s="19"/>
    </row>
    <row r="131" customFormat="false" ht="15" hidden="false" customHeight="false" outlineLevel="0" collapsed="false">
      <c r="A131" s="15" t="str">
        <f aca="false">IF($C131="","",ROW()-4)</f>
        <v/>
      </c>
      <c r="B131" s="7"/>
      <c r="C131" s="7"/>
      <c r="D131" s="7"/>
      <c r="E131" s="16"/>
      <c r="F131" s="16"/>
      <c r="G131" s="17" t="n">
        <f aca="false">IF(OR($E131="",$F131=""),0,$F131-$E131+1)</f>
        <v>0</v>
      </c>
      <c r="H131" s="18"/>
      <c r="I131" s="19"/>
      <c r="J131" s="7"/>
      <c r="K131" s="21" t="n">
        <f aca="false">IF($E131="",0,$E131)</f>
        <v>0</v>
      </c>
      <c r="L131" s="21" t="n">
        <f aca="false">IF($F131="",0,$F131)</f>
        <v>0</v>
      </c>
      <c r="M131" s="21" t="n">
        <f aca="false">IF(OR($G131=0,$H131=""),$K131,MIN($L131+1,$K131+$G131*$H131))</f>
        <v>0</v>
      </c>
      <c r="N131" s="19"/>
      <c r="O131" s="19"/>
      <c r="P131" s="19"/>
    </row>
    <row r="132" customFormat="false" ht="15" hidden="false" customHeight="false" outlineLevel="0" collapsed="false">
      <c r="A132" s="15" t="str">
        <f aca="false">IF($C132="","",ROW()-4)</f>
        <v/>
      </c>
      <c r="B132" s="7"/>
      <c r="C132" s="7"/>
      <c r="D132" s="7"/>
      <c r="E132" s="16"/>
      <c r="F132" s="16"/>
      <c r="G132" s="17" t="n">
        <f aca="false">IF(OR($E132="",$F132=""),0,$F132-$E132+1)</f>
        <v>0</v>
      </c>
      <c r="H132" s="18"/>
      <c r="I132" s="19"/>
      <c r="J132" s="7"/>
      <c r="K132" s="21" t="n">
        <f aca="false">IF($E132="",0,$E132)</f>
        <v>0</v>
      </c>
      <c r="L132" s="21" t="n">
        <f aca="false">IF($F132="",0,$F132)</f>
        <v>0</v>
      </c>
      <c r="M132" s="21" t="n">
        <f aca="false">IF(OR($G132=0,$H132=""),$K132,MIN($L132+1,$K132+$G132*$H132))</f>
        <v>0</v>
      </c>
      <c r="N132" s="19"/>
      <c r="O132" s="19"/>
      <c r="P132" s="19"/>
    </row>
    <row r="133" customFormat="false" ht="15" hidden="false" customHeight="false" outlineLevel="0" collapsed="false">
      <c r="A133" s="15" t="str">
        <f aca="false">IF($C133="","",ROW()-4)</f>
        <v/>
      </c>
      <c r="B133" s="7"/>
      <c r="C133" s="7"/>
      <c r="D133" s="7"/>
      <c r="E133" s="16"/>
      <c r="F133" s="16"/>
      <c r="G133" s="17" t="n">
        <f aca="false">IF(OR($E133="",$F133=""),0,$F133-$E133+1)</f>
        <v>0</v>
      </c>
      <c r="H133" s="18"/>
      <c r="I133" s="19"/>
      <c r="J133" s="7"/>
      <c r="K133" s="21" t="n">
        <f aca="false">IF($E133="",0,$E133)</f>
        <v>0</v>
      </c>
      <c r="L133" s="21" t="n">
        <f aca="false">IF($F133="",0,$F133)</f>
        <v>0</v>
      </c>
      <c r="M133" s="21" t="n">
        <f aca="false">IF(OR($G133=0,$H133=""),$K133,MIN($L133+1,$K133+$G133*$H133))</f>
        <v>0</v>
      </c>
      <c r="N133" s="19"/>
      <c r="O133" s="19"/>
      <c r="P133" s="19"/>
    </row>
    <row r="134" customFormat="false" ht="15" hidden="false" customHeight="false" outlineLevel="0" collapsed="false">
      <c r="A134" s="15" t="str">
        <f aca="false">IF($C134="","",ROW()-4)</f>
        <v/>
      </c>
      <c r="B134" s="7"/>
      <c r="C134" s="7"/>
      <c r="D134" s="7"/>
      <c r="E134" s="16"/>
      <c r="F134" s="16"/>
      <c r="G134" s="17" t="n">
        <f aca="false">IF(OR($E134="",$F134=""),0,$F134-$E134+1)</f>
        <v>0</v>
      </c>
      <c r="H134" s="18"/>
      <c r="I134" s="19"/>
      <c r="J134" s="7"/>
      <c r="K134" s="21" t="n">
        <f aca="false">IF($E134="",0,$E134)</f>
        <v>0</v>
      </c>
      <c r="L134" s="21" t="n">
        <f aca="false">IF($F134="",0,$F134)</f>
        <v>0</v>
      </c>
      <c r="M134" s="21" t="n">
        <f aca="false">IF(OR($G134=0,$H134=""),$K134,MIN($L134+1,$K134+$G134*$H134))</f>
        <v>0</v>
      </c>
      <c r="N134" s="19"/>
      <c r="O134" s="19"/>
      <c r="P134" s="19"/>
    </row>
    <row r="135" customFormat="false" ht="15" hidden="false" customHeight="false" outlineLevel="0" collapsed="false">
      <c r="A135" s="15" t="str">
        <f aca="false">IF($C135="","",ROW()-4)</f>
        <v/>
      </c>
      <c r="B135" s="7"/>
      <c r="C135" s="7"/>
      <c r="D135" s="7"/>
      <c r="E135" s="16"/>
      <c r="F135" s="16"/>
      <c r="G135" s="17" t="n">
        <f aca="false">IF(OR($E135="",$F135=""),0,$F135-$E135+1)</f>
        <v>0</v>
      </c>
      <c r="H135" s="18"/>
      <c r="I135" s="19"/>
      <c r="J135" s="7"/>
      <c r="K135" s="21" t="n">
        <f aca="false">IF($E135="",0,$E135)</f>
        <v>0</v>
      </c>
      <c r="L135" s="21" t="n">
        <f aca="false">IF($F135="",0,$F135)</f>
        <v>0</v>
      </c>
      <c r="M135" s="21" t="n">
        <f aca="false">IF(OR($G135=0,$H135=""),$K135,MIN($L135+1,$K135+$G135*$H135))</f>
        <v>0</v>
      </c>
      <c r="N135" s="19"/>
      <c r="O135" s="19"/>
      <c r="P135" s="19"/>
    </row>
    <row r="136" customFormat="false" ht="15" hidden="false" customHeight="false" outlineLevel="0" collapsed="false">
      <c r="A136" s="15" t="str">
        <f aca="false">IF($C136="","",ROW()-4)</f>
        <v/>
      </c>
      <c r="B136" s="7"/>
      <c r="C136" s="7"/>
      <c r="D136" s="7"/>
      <c r="E136" s="16"/>
      <c r="F136" s="16"/>
      <c r="G136" s="17" t="n">
        <f aca="false">IF(OR($E136="",$F136=""),0,$F136-$E136+1)</f>
        <v>0</v>
      </c>
      <c r="H136" s="18"/>
      <c r="I136" s="19"/>
      <c r="J136" s="7"/>
      <c r="K136" s="21" t="n">
        <f aca="false">IF($E136="",0,$E136)</f>
        <v>0</v>
      </c>
      <c r="L136" s="21" t="n">
        <f aca="false">IF($F136="",0,$F136)</f>
        <v>0</v>
      </c>
      <c r="M136" s="21" t="n">
        <f aca="false">IF(OR($G136=0,$H136=""),$K136,MIN($L136+1,$K136+$G136*$H136))</f>
        <v>0</v>
      </c>
      <c r="N136" s="19"/>
      <c r="O136" s="19"/>
      <c r="P136" s="19"/>
    </row>
    <row r="137" customFormat="false" ht="15" hidden="false" customHeight="false" outlineLevel="0" collapsed="false">
      <c r="A137" s="15" t="str">
        <f aca="false">IF($C137="","",ROW()-4)</f>
        <v/>
      </c>
      <c r="B137" s="7"/>
      <c r="C137" s="7"/>
      <c r="D137" s="7"/>
      <c r="E137" s="16"/>
      <c r="F137" s="16"/>
      <c r="G137" s="17" t="n">
        <f aca="false">IF(OR($E137="",$F137=""),0,$F137-$E137+1)</f>
        <v>0</v>
      </c>
      <c r="H137" s="18"/>
      <c r="I137" s="19"/>
      <c r="J137" s="7"/>
      <c r="K137" s="21" t="n">
        <f aca="false">IF($E137="",0,$E137)</f>
        <v>0</v>
      </c>
      <c r="L137" s="21" t="n">
        <f aca="false">IF($F137="",0,$F137)</f>
        <v>0</v>
      </c>
      <c r="M137" s="21" t="n">
        <f aca="false">IF(OR($G137=0,$H137=""),$K137,MIN($L137+1,$K137+$G137*$H137))</f>
        <v>0</v>
      </c>
      <c r="N137" s="19"/>
      <c r="O137" s="19"/>
      <c r="P137" s="19"/>
    </row>
    <row r="138" customFormat="false" ht="15" hidden="false" customHeight="false" outlineLevel="0" collapsed="false">
      <c r="A138" s="15" t="str">
        <f aca="false">IF($C138="","",ROW()-4)</f>
        <v/>
      </c>
      <c r="B138" s="7"/>
      <c r="C138" s="7"/>
      <c r="D138" s="7"/>
      <c r="E138" s="16"/>
      <c r="F138" s="16"/>
      <c r="G138" s="17" t="n">
        <f aca="false">IF(OR($E138="",$F138=""),0,$F138-$E138+1)</f>
        <v>0</v>
      </c>
      <c r="H138" s="18"/>
      <c r="I138" s="19"/>
      <c r="J138" s="7"/>
      <c r="K138" s="21" t="n">
        <f aca="false">IF($E138="",0,$E138)</f>
        <v>0</v>
      </c>
      <c r="L138" s="21" t="n">
        <f aca="false">IF($F138="",0,$F138)</f>
        <v>0</v>
      </c>
      <c r="M138" s="21" t="n">
        <f aca="false">IF(OR($G138=0,$H138=""),$K138,MIN($L138+1,$K138+$G138*$H138))</f>
        <v>0</v>
      </c>
      <c r="N138" s="19"/>
      <c r="O138" s="19"/>
      <c r="P138" s="19"/>
    </row>
    <row r="139" customFormat="false" ht="15" hidden="false" customHeight="false" outlineLevel="0" collapsed="false">
      <c r="A139" s="15" t="str">
        <f aca="false">IF($C139="","",ROW()-4)</f>
        <v/>
      </c>
      <c r="B139" s="7"/>
      <c r="C139" s="7"/>
      <c r="D139" s="7"/>
      <c r="E139" s="16"/>
      <c r="F139" s="16"/>
      <c r="G139" s="17" t="n">
        <f aca="false">IF(OR($E139="",$F139=""),0,$F139-$E139+1)</f>
        <v>0</v>
      </c>
      <c r="H139" s="18"/>
      <c r="I139" s="19"/>
      <c r="J139" s="7"/>
      <c r="K139" s="21" t="n">
        <f aca="false">IF($E139="",0,$E139)</f>
        <v>0</v>
      </c>
      <c r="L139" s="21" t="n">
        <f aca="false">IF($F139="",0,$F139)</f>
        <v>0</v>
      </c>
      <c r="M139" s="21" t="n">
        <f aca="false">IF(OR($G139=0,$H139=""),$K139,MIN($L139+1,$K139+$G139*$H139))</f>
        <v>0</v>
      </c>
      <c r="N139" s="19"/>
      <c r="O139" s="19"/>
      <c r="P139" s="19"/>
    </row>
    <row r="140" customFormat="false" ht="15" hidden="false" customHeight="false" outlineLevel="0" collapsed="false">
      <c r="A140" s="15" t="str">
        <f aca="false">IF($C140="","",ROW()-4)</f>
        <v/>
      </c>
      <c r="B140" s="7"/>
      <c r="C140" s="7"/>
      <c r="D140" s="7"/>
      <c r="E140" s="16"/>
      <c r="F140" s="16"/>
      <c r="G140" s="17" t="n">
        <f aca="false">IF(OR($E140="",$F140=""),0,$F140-$E140+1)</f>
        <v>0</v>
      </c>
      <c r="H140" s="18"/>
      <c r="I140" s="19"/>
      <c r="J140" s="7"/>
      <c r="K140" s="21" t="n">
        <f aca="false">IF($E140="",0,$E140)</f>
        <v>0</v>
      </c>
      <c r="L140" s="21" t="n">
        <f aca="false">IF($F140="",0,$F140)</f>
        <v>0</v>
      </c>
      <c r="M140" s="21" t="n">
        <f aca="false">IF(OR($G140=0,$H140=""),$K140,MIN($L140+1,$K140+$G140*$H140))</f>
        <v>0</v>
      </c>
      <c r="N140" s="19"/>
      <c r="O140" s="19"/>
      <c r="P140" s="19"/>
    </row>
    <row r="141" customFormat="false" ht="15" hidden="false" customHeight="false" outlineLevel="0" collapsed="false">
      <c r="A141" s="15" t="str">
        <f aca="false">IF($C141="","",ROW()-4)</f>
        <v/>
      </c>
      <c r="B141" s="7"/>
      <c r="C141" s="7"/>
      <c r="D141" s="7"/>
      <c r="E141" s="16"/>
      <c r="F141" s="16"/>
      <c r="G141" s="17" t="n">
        <f aca="false">IF(OR($E141="",$F141=""),0,$F141-$E141+1)</f>
        <v>0</v>
      </c>
      <c r="H141" s="18"/>
      <c r="I141" s="19"/>
      <c r="J141" s="7"/>
      <c r="K141" s="21" t="n">
        <f aca="false">IF($E141="",0,$E141)</f>
        <v>0</v>
      </c>
      <c r="L141" s="21" t="n">
        <f aca="false">IF($F141="",0,$F141)</f>
        <v>0</v>
      </c>
      <c r="M141" s="21" t="n">
        <f aca="false">IF(OR($G141=0,$H141=""),$K141,MIN($L141+1,$K141+$G141*$H141))</f>
        <v>0</v>
      </c>
      <c r="N141" s="19"/>
      <c r="O141" s="19"/>
      <c r="P141" s="19"/>
    </row>
    <row r="142" customFormat="false" ht="15" hidden="false" customHeight="false" outlineLevel="0" collapsed="false">
      <c r="A142" s="15" t="str">
        <f aca="false">IF($C142="","",ROW()-4)</f>
        <v/>
      </c>
      <c r="B142" s="7"/>
      <c r="C142" s="7"/>
      <c r="D142" s="7"/>
      <c r="E142" s="16"/>
      <c r="F142" s="16"/>
      <c r="G142" s="17" t="n">
        <f aca="false">IF(OR($E142="",$F142=""),0,$F142-$E142+1)</f>
        <v>0</v>
      </c>
      <c r="H142" s="18"/>
      <c r="I142" s="19"/>
      <c r="J142" s="7"/>
      <c r="K142" s="21" t="n">
        <f aca="false">IF($E142="",0,$E142)</f>
        <v>0</v>
      </c>
      <c r="L142" s="21" t="n">
        <f aca="false">IF($F142="",0,$F142)</f>
        <v>0</v>
      </c>
      <c r="M142" s="21" t="n">
        <f aca="false">IF(OR($G142=0,$H142=""),$K142,MIN($L142+1,$K142+$G142*$H142))</f>
        <v>0</v>
      </c>
      <c r="N142" s="19"/>
      <c r="O142" s="19"/>
      <c r="P142" s="19"/>
    </row>
    <row r="143" customFormat="false" ht="15" hidden="false" customHeight="false" outlineLevel="0" collapsed="false">
      <c r="A143" s="15" t="str">
        <f aca="false">IF($C143="","",ROW()-4)</f>
        <v/>
      </c>
      <c r="B143" s="7"/>
      <c r="C143" s="7"/>
      <c r="D143" s="7"/>
      <c r="E143" s="16"/>
      <c r="F143" s="16"/>
      <c r="G143" s="17" t="n">
        <f aca="false">IF(OR($E143="",$F143=""),0,$F143-$E143+1)</f>
        <v>0</v>
      </c>
      <c r="H143" s="18"/>
      <c r="I143" s="19"/>
      <c r="J143" s="7"/>
      <c r="K143" s="21" t="n">
        <f aca="false">IF($E143="",0,$E143)</f>
        <v>0</v>
      </c>
      <c r="L143" s="21" t="n">
        <f aca="false">IF($F143="",0,$F143)</f>
        <v>0</v>
      </c>
      <c r="M143" s="21" t="n">
        <f aca="false">IF(OR($G143=0,$H143=""),$K143,MIN($L143+1,$K143+$G143*$H143))</f>
        <v>0</v>
      </c>
      <c r="N143" s="19"/>
      <c r="O143" s="19"/>
      <c r="P143" s="19"/>
    </row>
    <row r="144" customFormat="false" ht="15" hidden="false" customHeight="false" outlineLevel="0" collapsed="false">
      <c r="A144" s="15" t="str">
        <f aca="false">IF($C144="","",ROW()-4)</f>
        <v/>
      </c>
      <c r="B144" s="7"/>
      <c r="C144" s="7"/>
      <c r="D144" s="7"/>
      <c r="E144" s="16"/>
      <c r="F144" s="16"/>
      <c r="G144" s="17" t="n">
        <f aca="false">IF(OR($E144="",$F144=""),0,$F144-$E144+1)</f>
        <v>0</v>
      </c>
      <c r="H144" s="18"/>
      <c r="I144" s="19"/>
      <c r="J144" s="7"/>
      <c r="K144" s="21" t="n">
        <f aca="false">IF($E144="",0,$E144)</f>
        <v>0</v>
      </c>
      <c r="L144" s="21" t="n">
        <f aca="false">IF($F144="",0,$F144)</f>
        <v>0</v>
      </c>
      <c r="M144" s="21" t="n">
        <f aca="false">IF(OR($G144=0,$H144=""),$K144,MIN($L144+1,$K144+$G144*$H144))</f>
        <v>0</v>
      </c>
      <c r="N144" s="19"/>
      <c r="O144" s="19"/>
      <c r="P144" s="19"/>
    </row>
    <row r="145" customFormat="false" ht="15" hidden="false" customHeight="false" outlineLevel="0" collapsed="false">
      <c r="A145" s="15" t="str">
        <f aca="false">IF($C145="","",ROW()-4)</f>
        <v/>
      </c>
      <c r="B145" s="7"/>
      <c r="C145" s="7"/>
      <c r="D145" s="7"/>
      <c r="E145" s="16"/>
      <c r="F145" s="16"/>
      <c r="G145" s="17" t="n">
        <f aca="false">IF(OR($E145="",$F145=""),0,$F145-$E145+1)</f>
        <v>0</v>
      </c>
      <c r="H145" s="18"/>
      <c r="I145" s="19"/>
      <c r="J145" s="7"/>
      <c r="K145" s="21" t="n">
        <f aca="false">IF($E145="",0,$E145)</f>
        <v>0</v>
      </c>
      <c r="L145" s="21" t="n">
        <f aca="false">IF($F145="",0,$F145)</f>
        <v>0</v>
      </c>
      <c r="M145" s="21" t="n">
        <f aca="false">IF(OR($G145=0,$H145=""),$K145,MIN($L145+1,$K145+$G145*$H145))</f>
        <v>0</v>
      </c>
      <c r="N145" s="19"/>
      <c r="O145" s="19"/>
      <c r="P145" s="19"/>
    </row>
    <row r="146" customFormat="false" ht="15" hidden="false" customHeight="false" outlineLevel="0" collapsed="false">
      <c r="A146" s="15" t="str">
        <f aca="false">IF($C146="","",ROW()-4)</f>
        <v/>
      </c>
      <c r="B146" s="7"/>
      <c r="C146" s="7"/>
      <c r="D146" s="7"/>
      <c r="E146" s="16"/>
      <c r="F146" s="16"/>
      <c r="G146" s="17" t="n">
        <f aca="false">IF(OR($E146="",$F146=""),0,$F146-$E146+1)</f>
        <v>0</v>
      </c>
      <c r="H146" s="18"/>
      <c r="I146" s="19"/>
      <c r="J146" s="7"/>
      <c r="K146" s="21" t="n">
        <f aca="false">IF($E146="",0,$E146)</f>
        <v>0</v>
      </c>
      <c r="L146" s="21" t="n">
        <f aca="false">IF($F146="",0,$F146)</f>
        <v>0</v>
      </c>
      <c r="M146" s="21" t="n">
        <f aca="false">IF(OR($G146=0,$H146=""),$K146,MIN($L146+1,$K146+$G146*$H146))</f>
        <v>0</v>
      </c>
      <c r="N146" s="19"/>
      <c r="O146" s="19"/>
      <c r="P146" s="19"/>
    </row>
    <row r="147" customFormat="false" ht="15" hidden="false" customHeight="false" outlineLevel="0" collapsed="false">
      <c r="A147" s="15" t="str">
        <f aca="false">IF($C147="","",ROW()-4)</f>
        <v/>
      </c>
      <c r="B147" s="7"/>
      <c r="C147" s="7"/>
      <c r="D147" s="7"/>
      <c r="E147" s="16"/>
      <c r="F147" s="16"/>
      <c r="G147" s="17" t="n">
        <f aca="false">IF(OR($E147="",$F147=""),0,$F147-$E147+1)</f>
        <v>0</v>
      </c>
      <c r="H147" s="18"/>
      <c r="I147" s="19"/>
      <c r="J147" s="7"/>
      <c r="K147" s="21" t="n">
        <f aca="false">IF($E147="",0,$E147)</f>
        <v>0</v>
      </c>
      <c r="L147" s="21" t="n">
        <f aca="false">IF($F147="",0,$F147)</f>
        <v>0</v>
      </c>
      <c r="M147" s="21" t="n">
        <f aca="false">IF(OR($G147=0,$H147=""),$K147,MIN($L147+1,$K147+$G147*$H147))</f>
        <v>0</v>
      </c>
      <c r="N147" s="19"/>
      <c r="O147" s="19"/>
      <c r="P147" s="19"/>
    </row>
    <row r="148" customFormat="false" ht="15" hidden="false" customHeight="false" outlineLevel="0" collapsed="false">
      <c r="A148" s="15" t="str">
        <f aca="false">IF($C148="","",ROW()-4)</f>
        <v/>
      </c>
      <c r="B148" s="7"/>
      <c r="C148" s="7"/>
      <c r="D148" s="7"/>
      <c r="E148" s="16"/>
      <c r="F148" s="16"/>
      <c r="G148" s="17" t="n">
        <f aca="false">IF(OR($E148="",$F148=""),0,$F148-$E148+1)</f>
        <v>0</v>
      </c>
      <c r="H148" s="18"/>
      <c r="I148" s="19"/>
      <c r="J148" s="7"/>
      <c r="K148" s="21" t="n">
        <f aca="false">IF($E148="",0,$E148)</f>
        <v>0</v>
      </c>
      <c r="L148" s="21" t="n">
        <f aca="false">IF($F148="",0,$F148)</f>
        <v>0</v>
      </c>
      <c r="M148" s="21" t="n">
        <f aca="false">IF(OR($G148=0,$H148=""),$K148,MIN($L148+1,$K148+$G148*$H148))</f>
        <v>0</v>
      </c>
      <c r="N148" s="19"/>
      <c r="O148" s="19"/>
      <c r="P148" s="19"/>
    </row>
    <row r="149" customFormat="false" ht="15" hidden="false" customHeight="false" outlineLevel="0" collapsed="false">
      <c r="A149" s="15" t="str">
        <f aca="false">IF($C149="","",ROW()-4)</f>
        <v/>
      </c>
      <c r="B149" s="7"/>
      <c r="C149" s="7"/>
      <c r="D149" s="7"/>
      <c r="E149" s="16"/>
      <c r="F149" s="16"/>
      <c r="G149" s="17" t="n">
        <f aca="false">IF(OR($E149="",$F149=""),0,$F149-$E149+1)</f>
        <v>0</v>
      </c>
      <c r="H149" s="18"/>
      <c r="I149" s="19"/>
      <c r="J149" s="7"/>
      <c r="K149" s="21" t="n">
        <f aca="false">IF($E149="",0,$E149)</f>
        <v>0</v>
      </c>
      <c r="L149" s="21" t="n">
        <f aca="false">IF($F149="",0,$F149)</f>
        <v>0</v>
      </c>
      <c r="M149" s="21" t="n">
        <f aca="false">IF(OR($G149=0,$H149=""),$K149,MIN($L149+1,$K149+$G149*$H149))</f>
        <v>0</v>
      </c>
      <c r="N149" s="19"/>
      <c r="O149" s="19"/>
      <c r="P149" s="19"/>
    </row>
    <row r="150" customFormat="false" ht="15" hidden="false" customHeight="false" outlineLevel="0" collapsed="false">
      <c r="A150" s="15" t="str">
        <f aca="false">IF($C150="","",ROW()-4)</f>
        <v/>
      </c>
      <c r="B150" s="7"/>
      <c r="C150" s="7"/>
      <c r="D150" s="7"/>
      <c r="E150" s="16"/>
      <c r="F150" s="16"/>
      <c r="G150" s="17" t="n">
        <f aca="false">IF(OR($E150="",$F150=""),0,$F150-$E150+1)</f>
        <v>0</v>
      </c>
      <c r="H150" s="18"/>
      <c r="I150" s="19"/>
      <c r="J150" s="7"/>
      <c r="K150" s="21" t="n">
        <f aca="false">IF($E150="",0,$E150)</f>
        <v>0</v>
      </c>
      <c r="L150" s="21" t="n">
        <f aca="false">IF($F150="",0,$F150)</f>
        <v>0</v>
      </c>
      <c r="M150" s="21" t="n">
        <f aca="false">IF(OR($G150=0,$H150=""),$K150,MIN($L150+1,$K150+$G150*$H150))</f>
        <v>0</v>
      </c>
      <c r="N150" s="19"/>
      <c r="O150" s="19"/>
      <c r="P150" s="19"/>
    </row>
    <row r="151" customFormat="false" ht="15" hidden="false" customHeight="false" outlineLevel="0" collapsed="false">
      <c r="A151" s="15" t="str">
        <f aca="false">IF($C151="","",ROW()-4)</f>
        <v/>
      </c>
      <c r="B151" s="7"/>
      <c r="C151" s="7"/>
      <c r="D151" s="7"/>
      <c r="E151" s="16"/>
      <c r="F151" s="16"/>
      <c r="G151" s="17" t="n">
        <f aca="false">IF(OR($E151="",$F151=""),0,$F151-$E151+1)</f>
        <v>0</v>
      </c>
      <c r="H151" s="18"/>
      <c r="I151" s="19"/>
      <c r="J151" s="7"/>
      <c r="K151" s="21" t="n">
        <f aca="false">IF($E151="",0,$E151)</f>
        <v>0</v>
      </c>
      <c r="L151" s="21" t="n">
        <f aca="false">IF($F151="",0,$F151)</f>
        <v>0</v>
      </c>
      <c r="M151" s="21" t="n">
        <f aca="false">IF(OR($G151=0,$H151=""),$K151,MIN($L151+1,$K151+$G151*$H151))</f>
        <v>0</v>
      </c>
      <c r="N151" s="19"/>
      <c r="O151" s="19"/>
      <c r="P151" s="19"/>
    </row>
    <row r="152" customFormat="false" ht="15" hidden="false" customHeight="false" outlineLevel="0" collapsed="false">
      <c r="A152" s="15" t="str">
        <f aca="false">IF($C152="","",ROW()-4)</f>
        <v/>
      </c>
      <c r="B152" s="7"/>
      <c r="C152" s="7"/>
      <c r="D152" s="7"/>
      <c r="E152" s="16"/>
      <c r="F152" s="16"/>
      <c r="G152" s="17" t="n">
        <f aca="false">IF(OR($E152="",$F152=""),0,$F152-$E152+1)</f>
        <v>0</v>
      </c>
      <c r="H152" s="18"/>
      <c r="I152" s="19"/>
      <c r="J152" s="7"/>
      <c r="K152" s="21" t="n">
        <f aca="false">IF($E152="",0,$E152)</f>
        <v>0</v>
      </c>
      <c r="L152" s="21" t="n">
        <f aca="false">IF($F152="",0,$F152)</f>
        <v>0</v>
      </c>
      <c r="M152" s="21" t="n">
        <f aca="false">IF(OR($G152=0,$H152=""),$K152,MIN($L152+1,$K152+$G152*$H152))</f>
        <v>0</v>
      </c>
      <c r="N152" s="19"/>
      <c r="O152" s="19"/>
      <c r="P152" s="19"/>
    </row>
    <row r="153" customFormat="false" ht="15" hidden="false" customHeight="false" outlineLevel="0" collapsed="false">
      <c r="A153" s="15" t="str">
        <f aca="false">IF($C153="","",ROW()-4)</f>
        <v/>
      </c>
      <c r="B153" s="7"/>
      <c r="C153" s="7"/>
      <c r="D153" s="7"/>
      <c r="E153" s="16"/>
      <c r="F153" s="16"/>
      <c r="G153" s="17" t="n">
        <f aca="false">IF(OR($E153="",$F153=""),0,$F153-$E153+1)</f>
        <v>0</v>
      </c>
      <c r="H153" s="18"/>
      <c r="I153" s="19"/>
      <c r="J153" s="7"/>
      <c r="K153" s="21" t="n">
        <f aca="false">IF($E153="",0,$E153)</f>
        <v>0</v>
      </c>
      <c r="L153" s="21" t="n">
        <f aca="false">IF($F153="",0,$F153)</f>
        <v>0</v>
      </c>
      <c r="M153" s="21" t="n">
        <f aca="false">IF(OR($G153=0,$H153=""),$K153,MIN($L153+1,$K153+$G153*$H153))</f>
        <v>0</v>
      </c>
      <c r="N153" s="19"/>
      <c r="O153" s="19"/>
      <c r="P153" s="19"/>
    </row>
    <row r="154" customFormat="false" ht="15" hidden="false" customHeight="false" outlineLevel="0" collapsed="false">
      <c r="A154" s="15" t="str">
        <f aca="false">IF($C154="","",ROW()-4)</f>
        <v/>
      </c>
      <c r="B154" s="7"/>
      <c r="C154" s="7"/>
      <c r="D154" s="7"/>
      <c r="E154" s="16"/>
      <c r="F154" s="16"/>
      <c r="G154" s="17" t="n">
        <f aca="false">IF(OR($E154="",$F154=""),0,$F154-$E154+1)</f>
        <v>0</v>
      </c>
      <c r="H154" s="18"/>
      <c r="I154" s="19"/>
      <c r="J154" s="7"/>
      <c r="K154" s="21" t="n">
        <f aca="false">IF($E154="",0,$E154)</f>
        <v>0</v>
      </c>
      <c r="L154" s="21" t="n">
        <f aca="false">IF($F154="",0,$F154)</f>
        <v>0</v>
      </c>
      <c r="M154" s="21" t="n">
        <f aca="false">IF(OR($G154=0,$H154=""),$K154,MIN($L154+1,$K154+$G154*$H154))</f>
        <v>0</v>
      </c>
      <c r="N154" s="19"/>
      <c r="O154" s="19"/>
      <c r="P154" s="19"/>
    </row>
  </sheetData>
  <conditionalFormatting sqref="N5:P154">
    <cfRule type="expression" priority="2" aboveAverage="0" equalAverage="0" bottom="0" percent="0" rank="0" text="" dxfId="0">
      <formula>AND(N5&lt;&gt;"",OR(N5&gt;=$A5,INDEX($C$5:$C$154,N5)=""))</formula>
    </cfRule>
  </conditionalFormatting>
  <dataValidations count="4">
    <dataValidation allowBlank="true" errorStyle="stop" operator="between" showDropDown="false" showErrorMessage="false" showInputMessage="false" sqref="B5:B154" type="list">
      <formula1>工種リスト</formula1>
      <formula2>0</formula2>
    </dataValidation>
    <dataValidation allowBlank="true" errorStyle="stop" operator="between" showDropDown="false" showErrorMessage="false" showInputMessage="false" sqref="I5:I154" type="list">
      <formula1>"○"</formula1>
      <formula2>0</formula2>
    </dataValidation>
    <dataValidation allowBlank="true" error="0〜1(0%〜100%)で入力してください" errorStyle="stop" errorTitle="進捗率" operator="between" showDropDown="false" showErrorMessage="false" showInputMessage="false" sqref="H5:H154" type="decimal">
      <formula1>0</formula1>
      <formula2>1</formula2>
    </dataValidation>
    <dataValidation allowBlank="true" error="先行作業のNoを入力してください(自分より小さいNoのみ)" errorStyle="stop" errorTitle="先行作業" operator="between" showDropDown="false" showErrorMessage="false" showInputMessage="false" sqref="N5:P154" type="whole">
      <formula1>1</formula1>
      <formula2>150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A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5" topLeftCell="H6" activePane="bottomRight" state="frozen"/>
      <selection pane="topLeft" activeCell="A1" activeCellId="0" sqref="A1"/>
      <selection pane="topRight" activeCell="H1" activeCellId="0" sqref="H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26"/>
    <col collapsed="false" customWidth="true" hidden="false" outlineLevel="0" max="4" min="4" style="0" width="13"/>
    <col collapsed="false" customWidth="true" hidden="false" outlineLevel="0" max="6" min="5" style="0" width="8"/>
    <col collapsed="false" customWidth="true" hidden="false" outlineLevel="0" max="7" min="7" style="0" width="6"/>
    <col collapsed="false" customWidth="true" hidden="false" outlineLevel="0" max="31" min="8" style="0" width="5.2"/>
    <col collapsed="false" customWidth="true" hidden="true" outlineLevel="0" max="34" min="33" style="0" width="13"/>
  </cols>
  <sheetData>
    <row r="1" customFormat="false" ht="19.4" hidden="false" customHeight="false" outlineLevel="0" collapsed="false">
      <c r="A1" s="1" t="str">
        <f aca="false">設定!$B$3&amp;"　全体工程表"</f>
        <v>(仮称)○○ビル新築工事　全体工程表</v>
      </c>
    </row>
    <row r="2" customFormat="false" ht="15" hidden="false" customHeight="false" outlineLevel="0" collapsed="false">
      <c r="A2" s="10" t="str">
        <f aca="false">"工期: "&amp;TEXT(設定!$B$8,"yyyy/m/d")&amp;" 〜 "&amp;TEXT(設定!$B$9,"yyyy/m/d")&amp;"　　発注者: "&amp;設定!$B$4&amp;"　　元請: "&amp;設定!$B$5&amp;"　　現場代理人: "&amp;設定!$B$6</f>
        <v>工期: 2026/7/1 〜 2027/3/31　　発注者: ○○株式会社　　元請: △△建設株式会社　　現場代理人: 山田 太郎</v>
      </c>
      <c r="L2" s="2" t="s">
        <v>154</v>
      </c>
      <c r="N2" s="22" t="n">
        <f aca="false">IF(SUMPRODUCT((工程マスタ!$K$5:$K$154&gt;0)*(工程マスタ!$I$5:$I$154&lt;&gt;"○")*工程マスタ!$G$5:$G$154)=0,0,SUMPRODUCT((工程マスタ!$K$5:$K$154&gt;0)*(工程マスタ!$I$5:$I$154&lt;&gt;"○")*工程マスタ!$G$5:$G$154,工程マスタ!$H$5:$H$154)/SUMPRODUCT((工程マスタ!$K$5:$K$154&gt;0)*(工程マスタ!$I$5:$I$154&lt;&gt;"○")*工程マスタ!$G$5:$G$154))</f>
        <v>0.0448489010989011</v>
      </c>
      <c r="S2" s="23" t="str">
        <f aca="false">IF(SUMPRODUCT((工程マスタ!$K$5:$K$154&gt;0)*1)&gt;100,"※作業が100件を超えています。超過分は全体工程表に表示されません。","")</f>
        <v/>
      </c>
      <c r="U2" s="2" t="s">
        <v>23</v>
      </c>
      <c r="V2" s="24" t="s">
        <v>155</v>
      </c>
      <c r="W2" s="25" t="s">
        <v>156</v>
      </c>
      <c r="X2" s="23" t="s">
        <v>157</v>
      </c>
    </row>
    <row r="3" customFormat="false" ht="15" hidden="true" customHeight="false" outlineLevel="0" collapsed="false">
      <c r="H3" s="26" t="n">
        <f aca="false">設定!$B$12</f>
        <v>46204</v>
      </c>
      <c r="I3" s="27" t="n">
        <f aca="false">EDATE(H$3,1)</f>
        <v>46235</v>
      </c>
      <c r="J3" s="27" t="n">
        <f aca="false">EDATE(I$3,1)</f>
        <v>46266</v>
      </c>
      <c r="K3" s="27" t="n">
        <f aca="false">EDATE(J$3,1)</f>
        <v>46296</v>
      </c>
      <c r="L3" s="27" t="n">
        <f aca="false">EDATE(K$3,1)</f>
        <v>46327</v>
      </c>
      <c r="M3" s="27" t="n">
        <f aca="false">EDATE(L$3,1)</f>
        <v>46357</v>
      </c>
      <c r="N3" s="27" t="n">
        <f aca="false">EDATE(M$3,1)</f>
        <v>46388</v>
      </c>
      <c r="O3" s="27" t="n">
        <f aca="false">EDATE(N$3,1)</f>
        <v>46419</v>
      </c>
      <c r="P3" s="27" t="n">
        <f aca="false">EDATE(O$3,1)</f>
        <v>46447</v>
      </c>
      <c r="Q3" s="27" t="n">
        <f aca="false">EDATE(P$3,1)</f>
        <v>46478</v>
      </c>
      <c r="R3" s="27" t="n">
        <f aca="false">EDATE(Q$3,1)</f>
        <v>46508</v>
      </c>
      <c r="S3" s="27" t="n">
        <f aca="false">EDATE(R$3,1)</f>
        <v>46539</v>
      </c>
      <c r="T3" s="27" t="n">
        <f aca="false">EDATE(S$3,1)</f>
        <v>46569</v>
      </c>
      <c r="U3" s="27" t="n">
        <f aca="false">EDATE(T$3,1)</f>
        <v>46600</v>
      </c>
      <c r="V3" s="27" t="n">
        <f aca="false">EDATE(U$3,1)</f>
        <v>46631</v>
      </c>
      <c r="W3" s="27" t="n">
        <f aca="false">EDATE(V$3,1)</f>
        <v>46661</v>
      </c>
      <c r="X3" s="27" t="n">
        <f aca="false">EDATE(W$3,1)</f>
        <v>46692</v>
      </c>
      <c r="Y3" s="27" t="n">
        <f aca="false">EDATE(X$3,1)</f>
        <v>46722</v>
      </c>
      <c r="Z3" s="27" t="n">
        <f aca="false">EDATE(Y$3,1)</f>
        <v>46753</v>
      </c>
      <c r="AA3" s="27" t="n">
        <f aca="false">EDATE(Z$3,1)</f>
        <v>46784</v>
      </c>
      <c r="AB3" s="27" t="n">
        <f aca="false">EDATE(AA$3,1)</f>
        <v>46813</v>
      </c>
      <c r="AC3" s="27" t="n">
        <f aca="false">EDATE(AB$3,1)</f>
        <v>46844</v>
      </c>
      <c r="AD3" s="27" t="n">
        <f aca="false">EDATE(AC$3,1)</f>
        <v>46874</v>
      </c>
      <c r="AE3" s="27" t="n">
        <f aca="false">EDATE(AD$3,1)</f>
        <v>46905</v>
      </c>
    </row>
    <row r="4" customFormat="false" ht="15" hidden="false" customHeight="false" outlineLevel="0" collapsed="false">
      <c r="A4" s="8"/>
      <c r="B4" s="8"/>
      <c r="C4" s="8"/>
      <c r="D4" s="8"/>
      <c r="E4" s="8"/>
      <c r="F4" s="8"/>
      <c r="G4" s="8"/>
      <c r="H4" s="8" t="str">
        <f aca="false">IF(OR(COLUMN()=8,MONTH(H$3)=1),YEAR(H$3)&amp;"年","")</f>
        <v>2026年</v>
      </c>
      <c r="I4" s="8" t="str">
        <f aca="false">IF(OR(COLUMN()=8,MONTH(I$3)=1),YEAR(I$3)&amp;"年","")</f>
        <v/>
      </c>
      <c r="J4" s="8" t="str">
        <f aca="false">IF(OR(COLUMN()=8,MONTH(J$3)=1),YEAR(J$3)&amp;"年","")</f>
        <v/>
      </c>
      <c r="K4" s="8" t="str">
        <f aca="false">IF(OR(COLUMN()=8,MONTH(K$3)=1),YEAR(K$3)&amp;"年","")</f>
        <v/>
      </c>
      <c r="L4" s="8" t="str">
        <f aca="false">IF(OR(COLUMN()=8,MONTH(L$3)=1),YEAR(L$3)&amp;"年","")</f>
        <v/>
      </c>
      <c r="M4" s="8" t="str">
        <f aca="false">IF(OR(COLUMN()=8,MONTH(M$3)=1),YEAR(M$3)&amp;"年","")</f>
        <v/>
      </c>
      <c r="N4" s="8" t="str">
        <f aca="false">IF(OR(COLUMN()=8,MONTH(N$3)=1),YEAR(N$3)&amp;"年","")</f>
        <v>2027年</v>
      </c>
      <c r="O4" s="8" t="str">
        <f aca="false">IF(OR(COLUMN()=8,MONTH(O$3)=1),YEAR(O$3)&amp;"年","")</f>
        <v/>
      </c>
      <c r="P4" s="8" t="str">
        <f aca="false">IF(OR(COLUMN()=8,MONTH(P$3)=1),YEAR(P$3)&amp;"年","")</f>
        <v/>
      </c>
      <c r="Q4" s="8" t="str">
        <f aca="false">IF(OR(COLUMN()=8,MONTH(Q$3)=1),YEAR(Q$3)&amp;"年","")</f>
        <v/>
      </c>
      <c r="R4" s="8" t="str">
        <f aca="false">IF(OR(COLUMN()=8,MONTH(R$3)=1),YEAR(R$3)&amp;"年","")</f>
        <v/>
      </c>
      <c r="S4" s="8" t="str">
        <f aca="false">IF(OR(COLUMN()=8,MONTH(S$3)=1),YEAR(S$3)&amp;"年","")</f>
        <v/>
      </c>
      <c r="T4" s="8" t="str">
        <f aca="false">IF(OR(COLUMN()=8,MONTH(T$3)=1),YEAR(T$3)&amp;"年","")</f>
        <v/>
      </c>
      <c r="U4" s="8" t="str">
        <f aca="false">IF(OR(COLUMN()=8,MONTH(U$3)=1),YEAR(U$3)&amp;"年","")</f>
        <v/>
      </c>
      <c r="V4" s="8" t="str">
        <f aca="false">IF(OR(COLUMN()=8,MONTH(V$3)=1),YEAR(V$3)&amp;"年","")</f>
        <v/>
      </c>
      <c r="W4" s="8" t="str">
        <f aca="false">IF(OR(COLUMN()=8,MONTH(W$3)=1),YEAR(W$3)&amp;"年","")</f>
        <v/>
      </c>
      <c r="X4" s="8" t="str">
        <f aca="false">IF(OR(COLUMN()=8,MONTH(X$3)=1),YEAR(X$3)&amp;"年","")</f>
        <v/>
      </c>
      <c r="Y4" s="8" t="str">
        <f aca="false">IF(OR(COLUMN()=8,MONTH(Y$3)=1),YEAR(Y$3)&amp;"年","")</f>
        <v/>
      </c>
      <c r="Z4" s="8" t="str">
        <f aca="false">IF(OR(COLUMN()=8,MONTH(Z$3)=1),YEAR(Z$3)&amp;"年","")</f>
        <v>2028年</v>
      </c>
      <c r="AA4" s="8" t="str">
        <f aca="false">IF(OR(COLUMN()=8,MONTH(AA$3)=1),YEAR(AA$3)&amp;"年","")</f>
        <v/>
      </c>
      <c r="AB4" s="8" t="str">
        <f aca="false">IF(OR(COLUMN()=8,MONTH(AB$3)=1),YEAR(AB$3)&amp;"年","")</f>
        <v/>
      </c>
      <c r="AC4" s="8" t="str">
        <f aca="false">IF(OR(COLUMN()=8,MONTH(AC$3)=1),YEAR(AC$3)&amp;"年","")</f>
        <v/>
      </c>
      <c r="AD4" s="8" t="str">
        <f aca="false">IF(OR(COLUMN()=8,MONTH(AD$3)=1),YEAR(AD$3)&amp;"年","")</f>
        <v/>
      </c>
      <c r="AE4" s="8" t="str">
        <f aca="false">IF(OR(COLUMN()=8,MONTH(AE$3)=1),YEAR(AE$3)&amp;"年","")</f>
        <v/>
      </c>
    </row>
    <row r="5" customFormat="false" ht="15" hidden="false" customHeight="false" outlineLevel="0" collapsed="false">
      <c r="A5" s="14" t="s">
        <v>76</v>
      </c>
      <c r="B5" s="8" t="s">
        <v>77</v>
      </c>
      <c r="C5" s="8" t="s">
        <v>78</v>
      </c>
      <c r="D5" s="8" t="s">
        <v>79</v>
      </c>
      <c r="E5" s="8" t="s">
        <v>158</v>
      </c>
      <c r="F5" s="8" t="s">
        <v>159</v>
      </c>
      <c r="G5" s="8" t="s">
        <v>160</v>
      </c>
      <c r="H5" s="8" t="str">
        <f aca="false">MONTH(H$3)&amp;"月"</f>
        <v>7月</v>
      </c>
      <c r="I5" s="8" t="str">
        <f aca="false">MONTH(I$3)&amp;"月"</f>
        <v>8月</v>
      </c>
      <c r="J5" s="8" t="str">
        <f aca="false">MONTH(J$3)&amp;"月"</f>
        <v>9月</v>
      </c>
      <c r="K5" s="8" t="str">
        <f aca="false">MONTH(K$3)&amp;"月"</f>
        <v>10月</v>
      </c>
      <c r="L5" s="8" t="str">
        <f aca="false">MONTH(L$3)&amp;"月"</f>
        <v>11月</v>
      </c>
      <c r="M5" s="8" t="str">
        <f aca="false">MONTH(M$3)&amp;"月"</f>
        <v>12月</v>
      </c>
      <c r="N5" s="8" t="str">
        <f aca="false">MONTH(N$3)&amp;"月"</f>
        <v>1月</v>
      </c>
      <c r="O5" s="8" t="str">
        <f aca="false">MONTH(O$3)&amp;"月"</f>
        <v>2月</v>
      </c>
      <c r="P5" s="8" t="str">
        <f aca="false">MONTH(P$3)&amp;"月"</f>
        <v>3月</v>
      </c>
      <c r="Q5" s="8" t="str">
        <f aca="false">MONTH(Q$3)&amp;"月"</f>
        <v>4月</v>
      </c>
      <c r="R5" s="8" t="str">
        <f aca="false">MONTH(R$3)&amp;"月"</f>
        <v>5月</v>
      </c>
      <c r="S5" s="8" t="str">
        <f aca="false">MONTH(S$3)&amp;"月"</f>
        <v>6月</v>
      </c>
      <c r="T5" s="8" t="str">
        <f aca="false">MONTH(T$3)&amp;"月"</f>
        <v>7月</v>
      </c>
      <c r="U5" s="8" t="str">
        <f aca="false">MONTH(U$3)&amp;"月"</f>
        <v>8月</v>
      </c>
      <c r="V5" s="8" t="str">
        <f aca="false">MONTH(V$3)&amp;"月"</f>
        <v>9月</v>
      </c>
      <c r="W5" s="8" t="str">
        <f aca="false">MONTH(W$3)&amp;"月"</f>
        <v>10月</v>
      </c>
      <c r="X5" s="8" t="str">
        <f aca="false">MONTH(X$3)&amp;"月"</f>
        <v>11月</v>
      </c>
      <c r="Y5" s="8" t="str">
        <f aca="false">MONTH(Y$3)&amp;"月"</f>
        <v>12月</v>
      </c>
      <c r="Z5" s="8" t="str">
        <f aca="false">MONTH(Z$3)&amp;"月"</f>
        <v>1月</v>
      </c>
      <c r="AA5" s="8" t="str">
        <f aca="false">MONTH(AA$3)&amp;"月"</f>
        <v>2月</v>
      </c>
      <c r="AB5" s="8" t="str">
        <f aca="false">MONTH(AB$3)&amp;"月"</f>
        <v>3月</v>
      </c>
      <c r="AC5" s="8" t="str">
        <f aca="false">MONTH(AC$3)&amp;"月"</f>
        <v>4月</v>
      </c>
      <c r="AD5" s="8" t="str">
        <f aca="false">MONTH(AD$3)&amp;"月"</f>
        <v>5月</v>
      </c>
      <c r="AE5" s="8" t="str">
        <f aca="false">MONTH(AE$3)&amp;"月"</f>
        <v>6月</v>
      </c>
    </row>
    <row r="6" customFormat="false" ht="15" hidden="false" customHeight="false" outlineLevel="0" collapsed="false">
      <c r="A6" s="28" t="n">
        <f aca="false">IF($AG6=0,"",IF(INDEX(工程マスタ!$A:$A,$AG6)="","",INDEX(工程マスタ!$A:$A,$AG6)))</f>
        <v>1</v>
      </c>
      <c r="B6" s="21" t="str">
        <f aca="false">IF($AG6=0,"",IF(INDEX(工程マスタ!$B:$B,$AG6)="","",INDEX(工程マスタ!$B:$B,$AG6)))</f>
        <v>マイルストーン</v>
      </c>
      <c r="C6" s="21" t="str">
        <f aca="false">IF($AG6=0,"",IF(INDEX(工程マスタ!$C:$C,$AG6)="","",INDEX(工程マスタ!$C:$C,$AG6)))</f>
        <v>着工</v>
      </c>
      <c r="D6" s="21" t="str">
        <f aca="false">IF($AG6=0,"",IF(INDEX(工程マスタ!$D:$D,$AG6)="","",INDEX(工程マスタ!$D:$D,$AG6)))</f>
        <v/>
      </c>
      <c r="E6" s="29" t="n">
        <f aca="false">IF($AG6=0,"",IF(INDEX(工程マスタ!$E:$E,$AG6)="","",INDEX(工程マスタ!$E:$E,$AG6)))</f>
        <v>46204</v>
      </c>
      <c r="F6" s="29" t="n">
        <f aca="false">IF($AG6=0,"",IF(INDEX(工程マスタ!$F:$F,$AG6)="","",INDEX(工程マスタ!$F:$F,$AG6)))</f>
        <v>46204</v>
      </c>
      <c r="G6" s="30" t="str">
        <f aca="false">IF($AG6=0,"",IF(INDEX(工程マスタ!$H:$H,$AG6)="","",INDEX(工程マスタ!$H:$H,$AG6)))</f>
        <v/>
      </c>
      <c r="H6" s="31" t="str">
        <f aca="false">IF(OR($AG6=0,H$3=""),"",IF(AND(INDEX(工程マスタ!$I:$I,$AG6)="○",$E6&gt;=H$3,$E6&lt;EDATE(H$3,1)),"▼",""))</f>
        <v>▼</v>
      </c>
      <c r="I6" s="31" t="str">
        <f aca="false">IF(OR($AG6=0,I$3=""),"",IF(AND(INDEX(工程マスタ!$I:$I,$AG6)="○",$E6&gt;=I$3,$E6&lt;EDATE(I$3,1)),"▼",""))</f>
        <v/>
      </c>
      <c r="J6" s="31" t="str">
        <f aca="false">IF(OR($AG6=0,J$3=""),"",IF(AND(INDEX(工程マスタ!$I:$I,$AG6)="○",$E6&gt;=J$3,$E6&lt;EDATE(J$3,1)),"▼",""))</f>
        <v/>
      </c>
      <c r="K6" s="31" t="str">
        <f aca="false">IF(OR($AG6=0,K$3=""),"",IF(AND(INDEX(工程マスタ!$I:$I,$AG6)="○",$E6&gt;=K$3,$E6&lt;EDATE(K$3,1)),"▼",""))</f>
        <v/>
      </c>
      <c r="L6" s="31" t="str">
        <f aca="false">IF(OR($AG6=0,L$3=""),"",IF(AND(INDEX(工程マスタ!$I:$I,$AG6)="○",$E6&gt;=L$3,$E6&lt;EDATE(L$3,1)),"▼",""))</f>
        <v/>
      </c>
      <c r="M6" s="31" t="str">
        <f aca="false">IF(OR($AG6=0,M$3=""),"",IF(AND(INDEX(工程マスタ!$I:$I,$AG6)="○",$E6&gt;=M$3,$E6&lt;EDATE(M$3,1)),"▼",""))</f>
        <v/>
      </c>
      <c r="N6" s="31" t="str">
        <f aca="false">IF(OR($AG6=0,N$3=""),"",IF(AND(INDEX(工程マスタ!$I:$I,$AG6)="○",$E6&gt;=N$3,$E6&lt;EDATE(N$3,1)),"▼",""))</f>
        <v/>
      </c>
      <c r="O6" s="31" t="str">
        <f aca="false">IF(OR($AG6=0,O$3=""),"",IF(AND(INDEX(工程マスタ!$I:$I,$AG6)="○",$E6&gt;=O$3,$E6&lt;EDATE(O$3,1)),"▼",""))</f>
        <v/>
      </c>
      <c r="P6" s="31" t="str">
        <f aca="false">IF(OR($AG6=0,P$3=""),"",IF(AND(INDEX(工程マスタ!$I:$I,$AG6)="○",$E6&gt;=P$3,$E6&lt;EDATE(P$3,1)),"▼",""))</f>
        <v/>
      </c>
      <c r="Q6" s="31" t="str">
        <f aca="false">IF(OR($AG6=0,Q$3=""),"",IF(AND(INDEX(工程マスタ!$I:$I,$AG6)="○",$E6&gt;=Q$3,$E6&lt;EDATE(Q$3,1)),"▼",""))</f>
        <v/>
      </c>
      <c r="R6" s="31" t="str">
        <f aca="false">IF(OR($AG6=0,R$3=""),"",IF(AND(INDEX(工程マスタ!$I:$I,$AG6)="○",$E6&gt;=R$3,$E6&lt;EDATE(R$3,1)),"▼",""))</f>
        <v/>
      </c>
      <c r="S6" s="31" t="str">
        <f aca="false">IF(OR($AG6=0,S$3=""),"",IF(AND(INDEX(工程マスタ!$I:$I,$AG6)="○",$E6&gt;=S$3,$E6&lt;EDATE(S$3,1)),"▼",""))</f>
        <v/>
      </c>
      <c r="T6" s="31" t="str">
        <f aca="false">IF(OR($AG6=0,T$3=""),"",IF(AND(INDEX(工程マスタ!$I:$I,$AG6)="○",$E6&gt;=T$3,$E6&lt;EDATE(T$3,1)),"▼",""))</f>
        <v/>
      </c>
      <c r="U6" s="31" t="str">
        <f aca="false">IF(OR($AG6=0,U$3=""),"",IF(AND(INDEX(工程マスタ!$I:$I,$AG6)="○",$E6&gt;=U$3,$E6&lt;EDATE(U$3,1)),"▼",""))</f>
        <v/>
      </c>
      <c r="V6" s="31" t="str">
        <f aca="false">IF(OR($AG6=0,V$3=""),"",IF(AND(INDEX(工程マスタ!$I:$I,$AG6)="○",$E6&gt;=V$3,$E6&lt;EDATE(V$3,1)),"▼",""))</f>
        <v/>
      </c>
      <c r="W6" s="31" t="str">
        <f aca="false">IF(OR($AG6=0,W$3=""),"",IF(AND(INDEX(工程マスタ!$I:$I,$AG6)="○",$E6&gt;=W$3,$E6&lt;EDATE(W$3,1)),"▼",""))</f>
        <v/>
      </c>
      <c r="X6" s="31" t="str">
        <f aca="false">IF(OR($AG6=0,X$3=""),"",IF(AND(INDEX(工程マスタ!$I:$I,$AG6)="○",$E6&gt;=X$3,$E6&lt;EDATE(X$3,1)),"▼",""))</f>
        <v/>
      </c>
      <c r="Y6" s="31" t="str">
        <f aca="false">IF(OR($AG6=0,Y$3=""),"",IF(AND(INDEX(工程マスタ!$I:$I,$AG6)="○",$E6&gt;=Y$3,$E6&lt;EDATE(Y$3,1)),"▼",""))</f>
        <v/>
      </c>
      <c r="Z6" s="31" t="str">
        <f aca="false">IF(OR($AG6=0,Z$3=""),"",IF(AND(INDEX(工程マスタ!$I:$I,$AG6)="○",$E6&gt;=Z$3,$E6&lt;EDATE(Z$3,1)),"▼",""))</f>
        <v/>
      </c>
      <c r="AA6" s="31" t="str">
        <f aca="false">IF(OR($AG6=0,AA$3=""),"",IF(AND(INDEX(工程マスタ!$I:$I,$AG6)="○",$E6&gt;=AA$3,$E6&lt;EDATE(AA$3,1)),"▼",""))</f>
        <v/>
      </c>
      <c r="AB6" s="31" t="str">
        <f aca="false">IF(OR($AG6=0,AB$3=""),"",IF(AND(INDEX(工程マスタ!$I:$I,$AG6)="○",$E6&gt;=AB$3,$E6&lt;EDATE(AB$3,1)),"▼",""))</f>
        <v/>
      </c>
      <c r="AC6" s="31" t="str">
        <f aca="false">IF(OR($AG6=0,AC$3=""),"",IF(AND(INDEX(工程マスタ!$I:$I,$AG6)="○",$E6&gt;=AC$3,$E6&lt;EDATE(AC$3,1)),"▼",""))</f>
        <v/>
      </c>
      <c r="AD6" s="31" t="str">
        <f aca="false">IF(OR($AG6=0,AD$3=""),"",IF(AND(INDEX(工程マスタ!$I:$I,$AG6)="○",$E6&gt;=AD$3,$E6&lt;EDATE(AD$3,1)),"▼",""))</f>
        <v/>
      </c>
      <c r="AE6" s="31" t="str">
        <f aca="false">IF(OR($AG6=0,AE$3=""),"",IF(AND(INDEX(工程マスタ!$I:$I,$AG6)="○",$E6&gt;=AE$3,$E6&lt;EDATE(AE$3,1)),"▼",""))</f>
        <v/>
      </c>
      <c r="AG6" s="27" t="n">
        <f aca="false" t="array" ref="AG6:AG6">IFERROR(SMALL(IF(工程マスタ!$K$5:$K$154&gt;0,ROW(工程マスタ!$C$5:$C$154)),1),0)</f>
        <v>5</v>
      </c>
      <c r="AH6" s="32" t="n">
        <f aca="false">IF($AG6=0,0,INDEX(工程マスタ!$M:$M,$AG6))</f>
        <v>46204</v>
      </c>
    </row>
    <row r="7" customFormat="false" ht="15" hidden="false" customHeight="false" outlineLevel="0" collapsed="false">
      <c r="A7" s="28" t="n">
        <f aca="false">IF($AG7=0,"",IF(INDEX(工程マスタ!$A:$A,$AG7)="","",INDEX(工程マスタ!$A:$A,$AG7)))</f>
        <v>2</v>
      </c>
      <c r="B7" s="21" t="str">
        <f aca="false">IF($AG7=0,"",IF(INDEX(工程マスタ!$B:$B,$AG7)="","",INDEX(工程マスタ!$B:$B,$AG7)))</f>
        <v>マイルストーン</v>
      </c>
      <c r="C7" s="21" t="str">
        <f aca="false">IF($AG7=0,"",IF(INDEX(工程マスタ!$C:$C,$AG7)="","",INDEX(工程マスタ!$C:$C,$AG7)))</f>
        <v>地鎮祭・安全祈願祭</v>
      </c>
      <c r="D7" s="21" t="str">
        <f aca="false">IF($AG7=0,"",IF(INDEX(工程マスタ!$D:$D,$AG7)="","",INDEX(工程マスタ!$D:$D,$AG7)))</f>
        <v/>
      </c>
      <c r="E7" s="29" t="n">
        <f aca="false">IF($AG7=0,"",IF(INDEX(工程マスタ!$E:$E,$AG7)="","",INDEX(工程マスタ!$E:$E,$AG7)))</f>
        <v>46207</v>
      </c>
      <c r="F7" s="29" t="n">
        <f aca="false">IF($AG7=0,"",IF(INDEX(工程マスタ!$F:$F,$AG7)="","",INDEX(工程マスタ!$F:$F,$AG7)))</f>
        <v>46207</v>
      </c>
      <c r="G7" s="30" t="str">
        <f aca="false">IF($AG7=0,"",IF(INDEX(工程マスタ!$H:$H,$AG7)="","",INDEX(工程マスタ!$H:$H,$AG7)))</f>
        <v/>
      </c>
      <c r="H7" s="31" t="str">
        <f aca="false">IF(OR($AG7=0,H$3=""),"",IF(AND(INDEX(工程マスタ!$I:$I,$AG7)="○",$E7&gt;=H$3,$E7&lt;EDATE(H$3,1)),"▼",""))</f>
        <v>▼</v>
      </c>
      <c r="I7" s="31" t="str">
        <f aca="false">IF(OR($AG7=0,I$3=""),"",IF(AND(INDEX(工程マスタ!$I:$I,$AG7)="○",$E7&gt;=I$3,$E7&lt;EDATE(I$3,1)),"▼",""))</f>
        <v/>
      </c>
      <c r="J7" s="31" t="str">
        <f aca="false">IF(OR($AG7=0,J$3=""),"",IF(AND(INDEX(工程マスタ!$I:$I,$AG7)="○",$E7&gt;=J$3,$E7&lt;EDATE(J$3,1)),"▼",""))</f>
        <v/>
      </c>
      <c r="K7" s="31" t="str">
        <f aca="false">IF(OR($AG7=0,K$3=""),"",IF(AND(INDEX(工程マスタ!$I:$I,$AG7)="○",$E7&gt;=K$3,$E7&lt;EDATE(K$3,1)),"▼",""))</f>
        <v/>
      </c>
      <c r="L7" s="31" t="str">
        <f aca="false">IF(OR($AG7=0,L$3=""),"",IF(AND(INDEX(工程マスタ!$I:$I,$AG7)="○",$E7&gt;=L$3,$E7&lt;EDATE(L$3,1)),"▼",""))</f>
        <v/>
      </c>
      <c r="M7" s="31" t="str">
        <f aca="false">IF(OR($AG7=0,M$3=""),"",IF(AND(INDEX(工程マスタ!$I:$I,$AG7)="○",$E7&gt;=M$3,$E7&lt;EDATE(M$3,1)),"▼",""))</f>
        <v/>
      </c>
      <c r="N7" s="31" t="str">
        <f aca="false">IF(OR($AG7=0,N$3=""),"",IF(AND(INDEX(工程マスタ!$I:$I,$AG7)="○",$E7&gt;=N$3,$E7&lt;EDATE(N$3,1)),"▼",""))</f>
        <v/>
      </c>
      <c r="O7" s="31" t="str">
        <f aca="false">IF(OR($AG7=0,O$3=""),"",IF(AND(INDEX(工程マスタ!$I:$I,$AG7)="○",$E7&gt;=O$3,$E7&lt;EDATE(O$3,1)),"▼",""))</f>
        <v/>
      </c>
      <c r="P7" s="31" t="str">
        <f aca="false">IF(OR($AG7=0,P$3=""),"",IF(AND(INDEX(工程マスタ!$I:$I,$AG7)="○",$E7&gt;=P$3,$E7&lt;EDATE(P$3,1)),"▼",""))</f>
        <v/>
      </c>
      <c r="Q7" s="31" t="str">
        <f aca="false">IF(OR($AG7=0,Q$3=""),"",IF(AND(INDEX(工程マスタ!$I:$I,$AG7)="○",$E7&gt;=Q$3,$E7&lt;EDATE(Q$3,1)),"▼",""))</f>
        <v/>
      </c>
      <c r="R7" s="31" t="str">
        <f aca="false">IF(OR($AG7=0,R$3=""),"",IF(AND(INDEX(工程マスタ!$I:$I,$AG7)="○",$E7&gt;=R$3,$E7&lt;EDATE(R$3,1)),"▼",""))</f>
        <v/>
      </c>
      <c r="S7" s="31" t="str">
        <f aca="false">IF(OR($AG7=0,S$3=""),"",IF(AND(INDEX(工程マスタ!$I:$I,$AG7)="○",$E7&gt;=S$3,$E7&lt;EDATE(S$3,1)),"▼",""))</f>
        <v/>
      </c>
      <c r="T7" s="31" t="str">
        <f aca="false">IF(OR($AG7=0,T$3=""),"",IF(AND(INDEX(工程マスタ!$I:$I,$AG7)="○",$E7&gt;=T$3,$E7&lt;EDATE(T$3,1)),"▼",""))</f>
        <v/>
      </c>
      <c r="U7" s="31" t="str">
        <f aca="false">IF(OR($AG7=0,U$3=""),"",IF(AND(INDEX(工程マスタ!$I:$I,$AG7)="○",$E7&gt;=U$3,$E7&lt;EDATE(U$3,1)),"▼",""))</f>
        <v/>
      </c>
      <c r="V7" s="31" t="str">
        <f aca="false">IF(OR($AG7=0,V$3=""),"",IF(AND(INDEX(工程マスタ!$I:$I,$AG7)="○",$E7&gt;=V$3,$E7&lt;EDATE(V$3,1)),"▼",""))</f>
        <v/>
      </c>
      <c r="W7" s="31" t="str">
        <f aca="false">IF(OR($AG7=0,W$3=""),"",IF(AND(INDEX(工程マスタ!$I:$I,$AG7)="○",$E7&gt;=W$3,$E7&lt;EDATE(W$3,1)),"▼",""))</f>
        <v/>
      </c>
      <c r="X7" s="31" t="str">
        <f aca="false">IF(OR($AG7=0,X$3=""),"",IF(AND(INDEX(工程マスタ!$I:$I,$AG7)="○",$E7&gt;=X$3,$E7&lt;EDATE(X$3,1)),"▼",""))</f>
        <v/>
      </c>
      <c r="Y7" s="31" t="str">
        <f aca="false">IF(OR($AG7=0,Y$3=""),"",IF(AND(INDEX(工程マスタ!$I:$I,$AG7)="○",$E7&gt;=Y$3,$E7&lt;EDATE(Y$3,1)),"▼",""))</f>
        <v/>
      </c>
      <c r="Z7" s="31" t="str">
        <f aca="false">IF(OR($AG7=0,Z$3=""),"",IF(AND(INDEX(工程マスタ!$I:$I,$AG7)="○",$E7&gt;=Z$3,$E7&lt;EDATE(Z$3,1)),"▼",""))</f>
        <v/>
      </c>
      <c r="AA7" s="31" t="str">
        <f aca="false">IF(OR($AG7=0,AA$3=""),"",IF(AND(INDEX(工程マスタ!$I:$I,$AG7)="○",$E7&gt;=AA$3,$E7&lt;EDATE(AA$3,1)),"▼",""))</f>
        <v/>
      </c>
      <c r="AB7" s="31" t="str">
        <f aca="false">IF(OR($AG7=0,AB$3=""),"",IF(AND(INDEX(工程マスタ!$I:$I,$AG7)="○",$E7&gt;=AB$3,$E7&lt;EDATE(AB$3,1)),"▼",""))</f>
        <v/>
      </c>
      <c r="AC7" s="31" t="str">
        <f aca="false">IF(OR($AG7=0,AC$3=""),"",IF(AND(INDEX(工程マスタ!$I:$I,$AG7)="○",$E7&gt;=AC$3,$E7&lt;EDATE(AC$3,1)),"▼",""))</f>
        <v/>
      </c>
      <c r="AD7" s="31" t="str">
        <f aca="false">IF(OR($AG7=0,AD$3=""),"",IF(AND(INDEX(工程マスタ!$I:$I,$AG7)="○",$E7&gt;=AD$3,$E7&lt;EDATE(AD$3,1)),"▼",""))</f>
        <v/>
      </c>
      <c r="AE7" s="31" t="str">
        <f aca="false">IF(OR($AG7=0,AE$3=""),"",IF(AND(INDEX(工程マスタ!$I:$I,$AG7)="○",$E7&gt;=AE$3,$E7&lt;EDATE(AE$3,1)),"▼",""))</f>
        <v/>
      </c>
      <c r="AG7" s="27" t="n">
        <f aca="false" t="array" ref="AG7:AG7">IFERROR(SMALL(IF(工程マスタ!$K$5:$K$154&gt;0,ROW(工程マスタ!$C$5:$C$154)),2),0)</f>
        <v>6</v>
      </c>
      <c r="AH7" s="32" t="n">
        <f aca="false">IF($AG7=0,0,INDEX(工程マスタ!$M:$M,$AG7))</f>
        <v>46207</v>
      </c>
    </row>
    <row r="8" customFormat="false" ht="15" hidden="false" customHeight="false" outlineLevel="0" collapsed="false">
      <c r="A8" s="28" t="n">
        <f aca="false">IF($AG8=0,"",IF(INDEX(工程マスタ!$A:$A,$AG8)="","",INDEX(工程マスタ!$A:$A,$AG8)))</f>
        <v>3</v>
      </c>
      <c r="B8" s="21" t="str">
        <f aca="false">IF($AG8=0,"",IF(INDEX(工程マスタ!$B:$B,$AG8)="","",INDEX(工程マスタ!$B:$B,$AG8)))</f>
        <v>仮設工事</v>
      </c>
      <c r="C8" s="21" t="str">
        <f aca="false">IF($AG8=0,"",IF(INDEX(工程マスタ!$C:$C,$AG8)="","",INDEX(工程マスタ!$C:$C,$AG8)))</f>
        <v>仮囲い・ゲート設置</v>
      </c>
      <c r="D8" s="21" t="str">
        <f aca="false">IF($AG8=0,"",IF(INDEX(工程マスタ!$D:$D,$AG8)="","",INDEX(工程マスタ!$D:$D,$AG8)))</f>
        <v>○○仮設工業</v>
      </c>
      <c r="E8" s="29" t="n">
        <f aca="false">IF($AG8=0,"",IF(INDEX(工程マスタ!$E:$E,$AG8)="","",INDEX(工程マスタ!$E:$E,$AG8)))</f>
        <v>46204</v>
      </c>
      <c r="F8" s="29" t="n">
        <f aca="false">IF($AG8=0,"",IF(INDEX(工程マスタ!$F:$F,$AG8)="","",INDEX(工程マスタ!$F:$F,$AG8)))</f>
        <v>46213</v>
      </c>
      <c r="G8" s="30" t="n">
        <f aca="false">IF($AG8=0,"",IF(INDEX(工程マスタ!$H:$H,$AG8)="","",INDEX(工程マスタ!$H:$H,$AG8)))</f>
        <v>1</v>
      </c>
      <c r="H8" s="31" t="str">
        <f aca="false">IF(OR($AG8=0,H$3=""),"",IF(AND(INDEX(工程マスタ!$I:$I,$AG8)="○",$E8&gt;=H$3,$E8&lt;EDATE(H$3,1)),"▼",""))</f>
        <v/>
      </c>
      <c r="I8" s="31" t="str">
        <f aca="false">IF(OR($AG8=0,I$3=""),"",IF(AND(INDEX(工程マスタ!$I:$I,$AG8)="○",$E8&gt;=I$3,$E8&lt;EDATE(I$3,1)),"▼",""))</f>
        <v/>
      </c>
      <c r="J8" s="31" t="str">
        <f aca="false">IF(OR($AG8=0,J$3=""),"",IF(AND(INDEX(工程マスタ!$I:$I,$AG8)="○",$E8&gt;=J$3,$E8&lt;EDATE(J$3,1)),"▼",""))</f>
        <v/>
      </c>
      <c r="K8" s="31" t="str">
        <f aca="false">IF(OR($AG8=0,K$3=""),"",IF(AND(INDEX(工程マスタ!$I:$I,$AG8)="○",$E8&gt;=K$3,$E8&lt;EDATE(K$3,1)),"▼",""))</f>
        <v/>
      </c>
      <c r="L8" s="31" t="str">
        <f aca="false">IF(OR($AG8=0,L$3=""),"",IF(AND(INDEX(工程マスタ!$I:$I,$AG8)="○",$E8&gt;=L$3,$E8&lt;EDATE(L$3,1)),"▼",""))</f>
        <v/>
      </c>
      <c r="M8" s="31" t="str">
        <f aca="false">IF(OR($AG8=0,M$3=""),"",IF(AND(INDEX(工程マスタ!$I:$I,$AG8)="○",$E8&gt;=M$3,$E8&lt;EDATE(M$3,1)),"▼",""))</f>
        <v/>
      </c>
      <c r="N8" s="31" t="str">
        <f aca="false">IF(OR($AG8=0,N$3=""),"",IF(AND(INDEX(工程マスタ!$I:$I,$AG8)="○",$E8&gt;=N$3,$E8&lt;EDATE(N$3,1)),"▼",""))</f>
        <v/>
      </c>
      <c r="O8" s="31" t="str">
        <f aca="false">IF(OR($AG8=0,O$3=""),"",IF(AND(INDEX(工程マスタ!$I:$I,$AG8)="○",$E8&gt;=O$3,$E8&lt;EDATE(O$3,1)),"▼",""))</f>
        <v/>
      </c>
      <c r="P8" s="31" t="str">
        <f aca="false">IF(OR($AG8=0,P$3=""),"",IF(AND(INDEX(工程マスタ!$I:$I,$AG8)="○",$E8&gt;=P$3,$E8&lt;EDATE(P$3,1)),"▼",""))</f>
        <v/>
      </c>
      <c r="Q8" s="31" t="str">
        <f aca="false">IF(OR($AG8=0,Q$3=""),"",IF(AND(INDEX(工程マスタ!$I:$I,$AG8)="○",$E8&gt;=Q$3,$E8&lt;EDATE(Q$3,1)),"▼",""))</f>
        <v/>
      </c>
      <c r="R8" s="31" t="str">
        <f aca="false">IF(OR($AG8=0,R$3=""),"",IF(AND(INDEX(工程マスタ!$I:$I,$AG8)="○",$E8&gt;=R$3,$E8&lt;EDATE(R$3,1)),"▼",""))</f>
        <v/>
      </c>
      <c r="S8" s="31" t="str">
        <f aca="false">IF(OR($AG8=0,S$3=""),"",IF(AND(INDEX(工程マスタ!$I:$I,$AG8)="○",$E8&gt;=S$3,$E8&lt;EDATE(S$3,1)),"▼",""))</f>
        <v/>
      </c>
      <c r="T8" s="31" t="str">
        <f aca="false">IF(OR($AG8=0,T$3=""),"",IF(AND(INDEX(工程マスタ!$I:$I,$AG8)="○",$E8&gt;=T$3,$E8&lt;EDATE(T$3,1)),"▼",""))</f>
        <v/>
      </c>
      <c r="U8" s="31" t="str">
        <f aca="false">IF(OR($AG8=0,U$3=""),"",IF(AND(INDEX(工程マスタ!$I:$I,$AG8)="○",$E8&gt;=U$3,$E8&lt;EDATE(U$3,1)),"▼",""))</f>
        <v/>
      </c>
      <c r="V8" s="31" t="str">
        <f aca="false">IF(OR($AG8=0,V$3=""),"",IF(AND(INDEX(工程マスタ!$I:$I,$AG8)="○",$E8&gt;=V$3,$E8&lt;EDATE(V$3,1)),"▼",""))</f>
        <v/>
      </c>
      <c r="W8" s="31" t="str">
        <f aca="false">IF(OR($AG8=0,W$3=""),"",IF(AND(INDEX(工程マスタ!$I:$I,$AG8)="○",$E8&gt;=W$3,$E8&lt;EDATE(W$3,1)),"▼",""))</f>
        <v/>
      </c>
      <c r="X8" s="31" t="str">
        <f aca="false">IF(OR($AG8=0,X$3=""),"",IF(AND(INDEX(工程マスタ!$I:$I,$AG8)="○",$E8&gt;=X$3,$E8&lt;EDATE(X$3,1)),"▼",""))</f>
        <v/>
      </c>
      <c r="Y8" s="31" t="str">
        <f aca="false">IF(OR($AG8=0,Y$3=""),"",IF(AND(INDEX(工程マスタ!$I:$I,$AG8)="○",$E8&gt;=Y$3,$E8&lt;EDATE(Y$3,1)),"▼",""))</f>
        <v/>
      </c>
      <c r="Z8" s="31" t="str">
        <f aca="false">IF(OR($AG8=0,Z$3=""),"",IF(AND(INDEX(工程マスタ!$I:$I,$AG8)="○",$E8&gt;=Z$3,$E8&lt;EDATE(Z$3,1)),"▼",""))</f>
        <v/>
      </c>
      <c r="AA8" s="31" t="str">
        <f aca="false">IF(OR($AG8=0,AA$3=""),"",IF(AND(INDEX(工程マスタ!$I:$I,$AG8)="○",$E8&gt;=AA$3,$E8&lt;EDATE(AA$3,1)),"▼",""))</f>
        <v/>
      </c>
      <c r="AB8" s="31" t="str">
        <f aca="false">IF(OR($AG8=0,AB$3=""),"",IF(AND(INDEX(工程マスタ!$I:$I,$AG8)="○",$E8&gt;=AB$3,$E8&lt;EDATE(AB$3,1)),"▼",""))</f>
        <v/>
      </c>
      <c r="AC8" s="31" t="str">
        <f aca="false">IF(OR($AG8=0,AC$3=""),"",IF(AND(INDEX(工程マスタ!$I:$I,$AG8)="○",$E8&gt;=AC$3,$E8&lt;EDATE(AC$3,1)),"▼",""))</f>
        <v/>
      </c>
      <c r="AD8" s="31" t="str">
        <f aca="false">IF(OR($AG8=0,AD$3=""),"",IF(AND(INDEX(工程マスタ!$I:$I,$AG8)="○",$E8&gt;=AD$3,$E8&lt;EDATE(AD$3,1)),"▼",""))</f>
        <v/>
      </c>
      <c r="AE8" s="31" t="str">
        <f aca="false">IF(OR($AG8=0,AE$3=""),"",IF(AND(INDEX(工程マスタ!$I:$I,$AG8)="○",$E8&gt;=AE$3,$E8&lt;EDATE(AE$3,1)),"▼",""))</f>
        <v/>
      </c>
      <c r="AG8" s="27" t="n">
        <f aca="false" t="array" ref="AG8:AG8">IFERROR(SMALL(IF(工程マスタ!$K$5:$K$154&gt;0,ROW(工程マスタ!$C$5:$C$154)),3),0)</f>
        <v>7</v>
      </c>
      <c r="AH8" s="27" t="n">
        <f aca="false">IF($AG8=0,0,INDEX(工程マスタ!$M:$M,$AG8))</f>
        <v>46214</v>
      </c>
    </row>
    <row r="9" customFormat="false" ht="15" hidden="false" customHeight="false" outlineLevel="0" collapsed="false">
      <c r="A9" s="28" t="n">
        <f aca="false">IF($AG9=0,"",IF(INDEX(工程マスタ!$A:$A,$AG9)="","",INDEX(工程マスタ!$A:$A,$AG9)))</f>
        <v>4</v>
      </c>
      <c r="B9" s="21" t="str">
        <f aca="false">IF($AG9=0,"",IF(INDEX(工程マスタ!$B:$B,$AG9)="","",INDEX(工程マスタ!$B:$B,$AG9)))</f>
        <v>仮設工事</v>
      </c>
      <c r="C9" s="21" t="str">
        <f aca="false">IF($AG9=0,"",IF(INDEX(工程マスタ!$C:$C,$AG9)="","",INDEX(工程マスタ!$C:$C,$AG9)))</f>
        <v>現場事務所・休憩所設置</v>
      </c>
      <c r="D9" s="21" t="str">
        <f aca="false">IF($AG9=0,"",IF(INDEX(工程マスタ!$D:$D,$AG9)="","",INDEX(工程マスタ!$D:$D,$AG9)))</f>
        <v>○○仮設工業</v>
      </c>
      <c r="E9" s="29" t="n">
        <f aca="false">IF($AG9=0,"",IF(INDEX(工程マスタ!$E:$E,$AG9)="","",INDEX(工程マスタ!$E:$E,$AG9)))</f>
        <v>46209</v>
      </c>
      <c r="F9" s="29" t="n">
        <f aca="false">IF($AG9=0,"",IF(INDEX(工程マスタ!$F:$F,$AG9)="","",INDEX(工程マスタ!$F:$F,$AG9)))</f>
        <v>46218</v>
      </c>
      <c r="G9" s="30" t="n">
        <f aca="false">IF($AG9=0,"",IF(INDEX(工程マスタ!$H:$H,$AG9)="","",INDEX(工程マスタ!$H:$H,$AG9)))</f>
        <v>1</v>
      </c>
      <c r="H9" s="31" t="str">
        <f aca="false">IF(OR($AG9=0,H$3=""),"",IF(AND(INDEX(工程マスタ!$I:$I,$AG9)="○",$E9&gt;=H$3,$E9&lt;EDATE(H$3,1)),"▼",""))</f>
        <v/>
      </c>
      <c r="I9" s="31" t="str">
        <f aca="false">IF(OR($AG9=0,I$3=""),"",IF(AND(INDEX(工程マスタ!$I:$I,$AG9)="○",$E9&gt;=I$3,$E9&lt;EDATE(I$3,1)),"▼",""))</f>
        <v/>
      </c>
      <c r="J9" s="31" t="str">
        <f aca="false">IF(OR($AG9=0,J$3=""),"",IF(AND(INDEX(工程マスタ!$I:$I,$AG9)="○",$E9&gt;=J$3,$E9&lt;EDATE(J$3,1)),"▼",""))</f>
        <v/>
      </c>
      <c r="K9" s="31" t="str">
        <f aca="false">IF(OR($AG9=0,K$3=""),"",IF(AND(INDEX(工程マスタ!$I:$I,$AG9)="○",$E9&gt;=K$3,$E9&lt;EDATE(K$3,1)),"▼",""))</f>
        <v/>
      </c>
      <c r="L9" s="31" t="str">
        <f aca="false">IF(OR($AG9=0,L$3=""),"",IF(AND(INDEX(工程マスタ!$I:$I,$AG9)="○",$E9&gt;=L$3,$E9&lt;EDATE(L$3,1)),"▼",""))</f>
        <v/>
      </c>
      <c r="M9" s="31" t="str">
        <f aca="false">IF(OR($AG9=0,M$3=""),"",IF(AND(INDEX(工程マスタ!$I:$I,$AG9)="○",$E9&gt;=M$3,$E9&lt;EDATE(M$3,1)),"▼",""))</f>
        <v/>
      </c>
      <c r="N9" s="31" t="str">
        <f aca="false">IF(OR($AG9=0,N$3=""),"",IF(AND(INDEX(工程マスタ!$I:$I,$AG9)="○",$E9&gt;=N$3,$E9&lt;EDATE(N$3,1)),"▼",""))</f>
        <v/>
      </c>
      <c r="O9" s="31" t="str">
        <f aca="false">IF(OR($AG9=0,O$3=""),"",IF(AND(INDEX(工程マスタ!$I:$I,$AG9)="○",$E9&gt;=O$3,$E9&lt;EDATE(O$3,1)),"▼",""))</f>
        <v/>
      </c>
      <c r="P9" s="31" t="str">
        <f aca="false">IF(OR($AG9=0,P$3=""),"",IF(AND(INDEX(工程マスタ!$I:$I,$AG9)="○",$E9&gt;=P$3,$E9&lt;EDATE(P$3,1)),"▼",""))</f>
        <v/>
      </c>
      <c r="Q9" s="31" t="str">
        <f aca="false">IF(OR($AG9=0,Q$3=""),"",IF(AND(INDEX(工程マスタ!$I:$I,$AG9)="○",$E9&gt;=Q$3,$E9&lt;EDATE(Q$3,1)),"▼",""))</f>
        <v/>
      </c>
      <c r="R9" s="31" t="str">
        <f aca="false">IF(OR($AG9=0,R$3=""),"",IF(AND(INDEX(工程マスタ!$I:$I,$AG9)="○",$E9&gt;=R$3,$E9&lt;EDATE(R$3,1)),"▼",""))</f>
        <v/>
      </c>
      <c r="S9" s="31" t="str">
        <f aca="false">IF(OR($AG9=0,S$3=""),"",IF(AND(INDEX(工程マスタ!$I:$I,$AG9)="○",$E9&gt;=S$3,$E9&lt;EDATE(S$3,1)),"▼",""))</f>
        <v/>
      </c>
      <c r="T9" s="31" t="str">
        <f aca="false">IF(OR($AG9=0,T$3=""),"",IF(AND(INDEX(工程マスタ!$I:$I,$AG9)="○",$E9&gt;=T$3,$E9&lt;EDATE(T$3,1)),"▼",""))</f>
        <v/>
      </c>
      <c r="U9" s="31" t="str">
        <f aca="false">IF(OR($AG9=0,U$3=""),"",IF(AND(INDEX(工程マスタ!$I:$I,$AG9)="○",$E9&gt;=U$3,$E9&lt;EDATE(U$3,1)),"▼",""))</f>
        <v/>
      </c>
      <c r="V9" s="31" t="str">
        <f aca="false">IF(OR($AG9=0,V$3=""),"",IF(AND(INDEX(工程マスタ!$I:$I,$AG9)="○",$E9&gt;=V$3,$E9&lt;EDATE(V$3,1)),"▼",""))</f>
        <v/>
      </c>
      <c r="W9" s="31" t="str">
        <f aca="false">IF(OR($AG9=0,W$3=""),"",IF(AND(INDEX(工程マスタ!$I:$I,$AG9)="○",$E9&gt;=W$3,$E9&lt;EDATE(W$3,1)),"▼",""))</f>
        <v/>
      </c>
      <c r="X9" s="31" t="str">
        <f aca="false">IF(OR($AG9=0,X$3=""),"",IF(AND(INDEX(工程マスタ!$I:$I,$AG9)="○",$E9&gt;=X$3,$E9&lt;EDATE(X$3,1)),"▼",""))</f>
        <v/>
      </c>
      <c r="Y9" s="31" t="str">
        <f aca="false">IF(OR($AG9=0,Y$3=""),"",IF(AND(INDEX(工程マスタ!$I:$I,$AG9)="○",$E9&gt;=Y$3,$E9&lt;EDATE(Y$3,1)),"▼",""))</f>
        <v/>
      </c>
      <c r="Z9" s="31" t="str">
        <f aca="false">IF(OR($AG9=0,Z$3=""),"",IF(AND(INDEX(工程マスタ!$I:$I,$AG9)="○",$E9&gt;=Z$3,$E9&lt;EDATE(Z$3,1)),"▼",""))</f>
        <v/>
      </c>
      <c r="AA9" s="31" t="str">
        <f aca="false">IF(OR($AG9=0,AA$3=""),"",IF(AND(INDEX(工程マスタ!$I:$I,$AG9)="○",$E9&gt;=AA$3,$E9&lt;EDATE(AA$3,1)),"▼",""))</f>
        <v/>
      </c>
      <c r="AB9" s="31" t="str">
        <f aca="false">IF(OR($AG9=0,AB$3=""),"",IF(AND(INDEX(工程マスタ!$I:$I,$AG9)="○",$E9&gt;=AB$3,$E9&lt;EDATE(AB$3,1)),"▼",""))</f>
        <v/>
      </c>
      <c r="AC9" s="31" t="str">
        <f aca="false">IF(OR($AG9=0,AC$3=""),"",IF(AND(INDEX(工程マスタ!$I:$I,$AG9)="○",$E9&gt;=AC$3,$E9&lt;EDATE(AC$3,1)),"▼",""))</f>
        <v/>
      </c>
      <c r="AD9" s="31" t="str">
        <f aca="false">IF(OR($AG9=0,AD$3=""),"",IF(AND(INDEX(工程マスタ!$I:$I,$AG9)="○",$E9&gt;=AD$3,$E9&lt;EDATE(AD$3,1)),"▼",""))</f>
        <v/>
      </c>
      <c r="AE9" s="31" t="str">
        <f aca="false">IF(OR($AG9=0,AE$3=""),"",IF(AND(INDEX(工程マスタ!$I:$I,$AG9)="○",$E9&gt;=AE$3,$E9&lt;EDATE(AE$3,1)),"▼",""))</f>
        <v/>
      </c>
      <c r="AG9" s="27" t="n">
        <f aca="false" t="array" ref="AG9:AG9">IFERROR(SMALL(IF(工程マスタ!$K$5:$K$154&gt;0,ROW(工程マスタ!$C$5:$C$154)),4),0)</f>
        <v>8</v>
      </c>
      <c r="AH9" s="27" t="n">
        <f aca="false">IF($AG9=0,0,INDEX(工程マスタ!$M:$M,$AG9))</f>
        <v>46219</v>
      </c>
    </row>
    <row r="10" customFormat="false" ht="15" hidden="false" customHeight="false" outlineLevel="0" collapsed="false">
      <c r="A10" s="28" t="n">
        <f aca="false">IF($AG10=0,"",IF(INDEX(工程マスタ!$A:$A,$AG10)="","",INDEX(工程マスタ!$A:$A,$AG10)))</f>
        <v>5</v>
      </c>
      <c r="B10" s="21" t="str">
        <f aca="false">IF($AG10=0,"",IF(INDEX(工程マスタ!$B:$B,$AG10)="","",INDEX(工程マスタ!$B:$B,$AG10)))</f>
        <v>仮設工事</v>
      </c>
      <c r="C10" s="21" t="str">
        <f aca="false">IF($AG10=0,"",IF(INDEX(工程マスタ!$C:$C,$AG10)="","",INDEX(工程マスタ!$C:$C,$AG10)))</f>
        <v>仮設電気・給排水引込み</v>
      </c>
      <c r="D10" s="21" t="str">
        <f aca="false">IF($AG10=0,"",IF(INDEX(工程マスタ!$D:$D,$AG10)="","",INDEX(工程マスタ!$D:$D,$AG10)))</f>
        <v>△△電設</v>
      </c>
      <c r="E10" s="29" t="n">
        <f aca="false">IF($AG10=0,"",IF(INDEX(工程マスタ!$E:$E,$AG10)="","",INDEX(工程マスタ!$E:$E,$AG10)))</f>
        <v>46216</v>
      </c>
      <c r="F10" s="29" t="n">
        <f aca="false">IF($AG10=0,"",IF(INDEX(工程マスタ!$F:$F,$AG10)="","",INDEX(工程マスタ!$F:$F,$AG10)))</f>
        <v>46225</v>
      </c>
      <c r="G10" s="30" t="n">
        <f aca="false">IF($AG10=0,"",IF(INDEX(工程マスタ!$H:$H,$AG10)="","",INDEX(工程マスタ!$H:$H,$AG10)))</f>
        <v>0.6</v>
      </c>
      <c r="H10" s="31" t="str">
        <f aca="false">IF(OR($AG10=0,H$3=""),"",IF(AND(INDEX(工程マスタ!$I:$I,$AG10)="○",$E10&gt;=H$3,$E10&lt;EDATE(H$3,1)),"▼",""))</f>
        <v/>
      </c>
      <c r="I10" s="31" t="str">
        <f aca="false">IF(OR($AG10=0,I$3=""),"",IF(AND(INDEX(工程マスタ!$I:$I,$AG10)="○",$E10&gt;=I$3,$E10&lt;EDATE(I$3,1)),"▼",""))</f>
        <v/>
      </c>
      <c r="J10" s="31" t="str">
        <f aca="false">IF(OR($AG10=0,J$3=""),"",IF(AND(INDEX(工程マスタ!$I:$I,$AG10)="○",$E10&gt;=J$3,$E10&lt;EDATE(J$3,1)),"▼",""))</f>
        <v/>
      </c>
      <c r="K10" s="31" t="str">
        <f aca="false">IF(OR($AG10=0,K$3=""),"",IF(AND(INDEX(工程マスタ!$I:$I,$AG10)="○",$E10&gt;=K$3,$E10&lt;EDATE(K$3,1)),"▼",""))</f>
        <v/>
      </c>
      <c r="L10" s="31" t="str">
        <f aca="false">IF(OR($AG10=0,L$3=""),"",IF(AND(INDEX(工程マスタ!$I:$I,$AG10)="○",$E10&gt;=L$3,$E10&lt;EDATE(L$3,1)),"▼",""))</f>
        <v/>
      </c>
      <c r="M10" s="31" t="str">
        <f aca="false">IF(OR($AG10=0,M$3=""),"",IF(AND(INDEX(工程マスタ!$I:$I,$AG10)="○",$E10&gt;=M$3,$E10&lt;EDATE(M$3,1)),"▼",""))</f>
        <v/>
      </c>
      <c r="N10" s="31" t="str">
        <f aca="false">IF(OR($AG10=0,N$3=""),"",IF(AND(INDEX(工程マスタ!$I:$I,$AG10)="○",$E10&gt;=N$3,$E10&lt;EDATE(N$3,1)),"▼",""))</f>
        <v/>
      </c>
      <c r="O10" s="31" t="str">
        <f aca="false">IF(OR($AG10=0,O$3=""),"",IF(AND(INDEX(工程マスタ!$I:$I,$AG10)="○",$E10&gt;=O$3,$E10&lt;EDATE(O$3,1)),"▼",""))</f>
        <v/>
      </c>
      <c r="P10" s="31" t="str">
        <f aca="false">IF(OR($AG10=0,P$3=""),"",IF(AND(INDEX(工程マスタ!$I:$I,$AG10)="○",$E10&gt;=P$3,$E10&lt;EDATE(P$3,1)),"▼",""))</f>
        <v/>
      </c>
      <c r="Q10" s="31" t="str">
        <f aca="false">IF(OR($AG10=0,Q$3=""),"",IF(AND(INDEX(工程マスタ!$I:$I,$AG10)="○",$E10&gt;=Q$3,$E10&lt;EDATE(Q$3,1)),"▼",""))</f>
        <v/>
      </c>
      <c r="R10" s="31" t="str">
        <f aca="false">IF(OR($AG10=0,R$3=""),"",IF(AND(INDEX(工程マスタ!$I:$I,$AG10)="○",$E10&gt;=R$3,$E10&lt;EDATE(R$3,1)),"▼",""))</f>
        <v/>
      </c>
      <c r="S10" s="31" t="str">
        <f aca="false">IF(OR($AG10=0,S$3=""),"",IF(AND(INDEX(工程マスタ!$I:$I,$AG10)="○",$E10&gt;=S$3,$E10&lt;EDATE(S$3,1)),"▼",""))</f>
        <v/>
      </c>
      <c r="T10" s="31" t="str">
        <f aca="false">IF(OR($AG10=0,T$3=""),"",IF(AND(INDEX(工程マスタ!$I:$I,$AG10)="○",$E10&gt;=T$3,$E10&lt;EDATE(T$3,1)),"▼",""))</f>
        <v/>
      </c>
      <c r="U10" s="31" t="str">
        <f aca="false">IF(OR($AG10=0,U$3=""),"",IF(AND(INDEX(工程マスタ!$I:$I,$AG10)="○",$E10&gt;=U$3,$E10&lt;EDATE(U$3,1)),"▼",""))</f>
        <v/>
      </c>
      <c r="V10" s="31" t="str">
        <f aca="false">IF(OR($AG10=0,V$3=""),"",IF(AND(INDEX(工程マスタ!$I:$I,$AG10)="○",$E10&gt;=V$3,$E10&lt;EDATE(V$3,1)),"▼",""))</f>
        <v/>
      </c>
      <c r="W10" s="31" t="str">
        <f aca="false">IF(OR($AG10=0,W$3=""),"",IF(AND(INDEX(工程マスタ!$I:$I,$AG10)="○",$E10&gt;=W$3,$E10&lt;EDATE(W$3,1)),"▼",""))</f>
        <v/>
      </c>
      <c r="X10" s="31" t="str">
        <f aca="false">IF(OR($AG10=0,X$3=""),"",IF(AND(INDEX(工程マスタ!$I:$I,$AG10)="○",$E10&gt;=X$3,$E10&lt;EDATE(X$3,1)),"▼",""))</f>
        <v/>
      </c>
      <c r="Y10" s="31" t="str">
        <f aca="false">IF(OR($AG10=0,Y$3=""),"",IF(AND(INDEX(工程マスタ!$I:$I,$AG10)="○",$E10&gt;=Y$3,$E10&lt;EDATE(Y$3,1)),"▼",""))</f>
        <v/>
      </c>
      <c r="Z10" s="31" t="str">
        <f aca="false">IF(OR($AG10=0,Z$3=""),"",IF(AND(INDEX(工程マスタ!$I:$I,$AG10)="○",$E10&gt;=Z$3,$E10&lt;EDATE(Z$3,1)),"▼",""))</f>
        <v/>
      </c>
      <c r="AA10" s="31" t="str">
        <f aca="false">IF(OR($AG10=0,AA$3=""),"",IF(AND(INDEX(工程マスタ!$I:$I,$AG10)="○",$E10&gt;=AA$3,$E10&lt;EDATE(AA$3,1)),"▼",""))</f>
        <v/>
      </c>
      <c r="AB10" s="31" t="str">
        <f aca="false">IF(OR($AG10=0,AB$3=""),"",IF(AND(INDEX(工程マスタ!$I:$I,$AG10)="○",$E10&gt;=AB$3,$E10&lt;EDATE(AB$3,1)),"▼",""))</f>
        <v/>
      </c>
      <c r="AC10" s="31" t="str">
        <f aca="false">IF(OR($AG10=0,AC$3=""),"",IF(AND(INDEX(工程マスタ!$I:$I,$AG10)="○",$E10&gt;=AC$3,$E10&lt;EDATE(AC$3,1)),"▼",""))</f>
        <v/>
      </c>
      <c r="AD10" s="31" t="str">
        <f aca="false">IF(OR($AG10=0,AD$3=""),"",IF(AND(INDEX(工程マスタ!$I:$I,$AG10)="○",$E10&gt;=AD$3,$E10&lt;EDATE(AD$3,1)),"▼",""))</f>
        <v/>
      </c>
      <c r="AE10" s="31" t="str">
        <f aca="false">IF(OR($AG10=0,AE$3=""),"",IF(AND(INDEX(工程マスタ!$I:$I,$AG10)="○",$E10&gt;=AE$3,$E10&lt;EDATE(AE$3,1)),"▼",""))</f>
        <v/>
      </c>
      <c r="AG10" s="27" t="n">
        <f aca="false" t="array" ref="AG10:AG10">IFERROR(SMALL(IF(工程マスタ!$K$5:$K$154&gt;0,ROW(工程マスタ!$C$5:$C$154)),5),0)</f>
        <v>9</v>
      </c>
      <c r="AH10" s="27" t="n">
        <f aca="false">IF($AG10=0,0,INDEX(工程マスタ!$M:$M,$AG10))</f>
        <v>46222</v>
      </c>
    </row>
    <row r="11" customFormat="false" ht="15" hidden="false" customHeight="false" outlineLevel="0" collapsed="false">
      <c r="A11" s="28" t="n">
        <f aca="false">IF($AG11=0,"",IF(INDEX(工程マスタ!$A:$A,$AG11)="","",INDEX(工程マスタ!$A:$A,$AG11)))</f>
        <v>6</v>
      </c>
      <c r="B11" s="21" t="str">
        <f aca="false">IF($AG11=0,"",IF(INDEX(工程マスタ!$B:$B,$AG11)="","",INDEX(工程マスタ!$B:$B,$AG11)))</f>
        <v>地業基礎工事</v>
      </c>
      <c r="C11" s="21" t="str">
        <f aca="false">IF($AG11=0,"",IF(INDEX(工程マスタ!$C:$C,$AG11)="","",INDEX(工程マスタ!$C:$C,$AG11)))</f>
        <v>杭工事</v>
      </c>
      <c r="D11" s="21" t="str">
        <f aca="false">IF($AG11=0,"",IF(INDEX(工程マスタ!$D:$D,$AG11)="","",INDEX(工程マスタ!$D:$D,$AG11)))</f>
        <v>□□基礎工業</v>
      </c>
      <c r="E11" s="29" t="n">
        <f aca="false">IF($AG11=0,"",IF(INDEX(工程マスタ!$E:$E,$AG11)="","",INDEX(工程マスタ!$E:$E,$AG11)))</f>
        <v>46216</v>
      </c>
      <c r="F11" s="29" t="n">
        <f aca="false">IF($AG11=0,"",IF(INDEX(工程マスタ!$F:$F,$AG11)="","",INDEX(工程マスタ!$F:$F,$AG11)))</f>
        <v>46234</v>
      </c>
      <c r="G11" s="30" t="n">
        <f aca="false">IF($AG11=0,"",IF(INDEX(工程マスタ!$H:$H,$AG11)="","",INDEX(工程マスタ!$H:$H,$AG11)))</f>
        <v>0.35</v>
      </c>
      <c r="H11" s="31" t="str">
        <f aca="false">IF(OR($AG11=0,H$3=""),"",IF(AND(INDEX(工程マスタ!$I:$I,$AG11)="○",$E11&gt;=H$3,$E11&lt;EDATE(H$3,1)),"▼",""))</f>
        <v/>
      </c>
      <c r="I11" s="31" t="str">
        <f aca="false">IF(OR($AG11=0,I$3=""),"",IF(AND(INDEX(工程マスタ!$I:$I,$AG11)="○",$E11&gt;=I$3,$E11&lt;EDATE(I$3,1)),"▼",""))</f>
        <v/>
      </c>
      <c r="J11" s="31" t="str">
        <f aca="false">IF(OR($AG11=0,J$3=""),"",IF(AND(INDEX(工程マスタ!$I:$I,$AG11)="○",$E11&gt;=J$3,$E11&lt;EDATE(J$3,1)),"▼",""))</f>
        <v/>
      </c>
      <c r="K11" s="31" t="str">
        <f aca="false">IF(OR($AG11=0,K$3=""),"",IF(AND(INDEX(工程マスタ!$I:$I,$AG11)="○",$E11&gt;=K$3,$E11&lt;EDATE(K$3,1)),"▼",""))</f>
        <v/>
      </c>
      <c r="L11" s="31" t="str">
        <f aca="false">IF(OR($AG11=0,L$3=""),"",IF(AND(INDEX(工程マスタ!$I:$I,$AG11)="○",$E11&gt;=L$3,$E11&lt;EDATE(L$3,1)),"▼",""))</f>
        <v/>
      </c>
      <c r="M11" s="31" t="str">
        <f aca="false">IF(OR($AG11=0,M$3=""),"",IF(AND(INDEX(工程マスタ!$I:$I,$AG11)="○",$E11&gt;=M$3,$E11&lt;EDATE(M$3,1)),"▼",""))</f>
        <v/>
      </c>
      <c r="N11" s="31" t="str">
        <f aca="false">IF(OR($AG11=0,N$3=""),"",IF(AND(INDEX(工程マスタ!$I:$I,$AG11)="○",$E11&gt;=N$3,$E11&lt;EDATE(N$3,1)),"▼",""))</f>
        <v/>
      </c>
      <c r="O11" s="31" t="str">
        <f aca="false">IF(OR($AG11=0,O$3=""),"",IF(AND(INDEX(工程マスタ!$I:$I,$AG11)="○",$E11&gt;=O$3,$E11&lt;EDATE(O$3,1)),"▼",""))</f>
        <v/>
      </c>
      <c r="P11" s="31" t="str">
        <f aca="false">IF(OR($AG11=0,P$3=""),"",IF(AND(INDEX(工程マスタ!$I:$I,$AG11)="○",$E11&gt;=P$3,$E11&lt;EDATE(P$3,1)),"▼",""))</f>
        <v/>
      </c>
      <c r="Q11" s="31" t="str">
        <f aca="false">IF(OR($AG11=0,Q$3=""),"",IF(AND(INDEX(工程マスタ!$I:$I,$AG11)="○",$E11&gt;=Q$3,$E11&lt;EDATE(Q$3,1)),"▼",""))</f>
        <v/>
      </c>
      <c r="R11" s="31" t="str">
        <f aca="false">IF(OR($AG11=0,R$3=""),"",IF(AND(INDEX(工程マスタ!$I:$I,$AG11)="○",$E11&gt;=R$3,$E11&lt;EDATE(R$3,1)),"▼",""))</f>
        <v/>
      </c>
      <c r="S11" s="31" t="str">
        <f aca="false">IF(OR($AG11=0,S$3=""),"",IF(AND(INDEX(工程マスタ!$I:$I,$AG11)="○",$E11&gt;=S$3,$E11&lt;EDATE(S$3,1)),"▼",""))</f>
        <v/>
      </c>
      <c r="T11" s="31" t="str">
        <f aca="false">IF(OR($AG11=0,T$3=""),"",IF(AND(INDEX(工程マスタ!$I:$I,$AG11)="○",$E11&gt;=T$3,$E11&lt;EDATE(T$3,1)),"▼",""))</f>
        <v/>
      </c>
      <c r="U11" s="31" t="str">
        <f aca="false">IF(OR($AG11=0,U$3=""),"",IF(AND(INDEX(工程マスタ!$I:$I,$AG11)="○",$E11&gt;=U$3,$E11&lt;EDATE(U$3,1)),"▼",""))</f>
        <v/>
      </c>
      <c r="V11" s="31" t="str">
        <f aca="false">IF(OR($AG11=0,V$3=""),"",IF(AND(INDEX(工程マスタ!$I:$I,$AG11)="○",$E11&gt;=V$3,$E11&lt;EDATE(V$3,1)),"▼",""))</f>
        <v/>
      </c>
      <c r="W11" s="31" t="str">
        <f aca="false">IF(OR($AG11=0,W$3=""),"",IF(AND(INDEX(工程マスタ!$I:$I,$AG11)="○",$E11&gt;=W$3,$E11&lt;EDATE(W$3,1)),"▼",""))</f>
        <v/>
      </c>
      <c r="X11" s="31" t="str">
        <f aca="false">IF(OR($AG11=0,X$3=""),"",IF(AND(INDEX(工程マスタ!$I:$I,$AG11)="○",$E11&gt;=X$3,$E11&lt;EDATE(X$3,1)),"▼",""))</f>
        <v/>
      </c>
      <c r="Y11" s="31" t="str">
        <f aca="false">IF(OR($AG11=0,Y$3=""),"",IF(AND(INDEX(工程マスタ!$I:$I,$AG11)="○",$E11&gt;=Y$3,$E11&lt;EDATE(Y$3,1)),"▼",""))</f>
        <v/>
      </c>
      <c r="Z11" s="31" t="str">
        <f aca="false">IF(OR($AG11=0,Z$3=""),"",IF(AND(INDEX(工程マスタ!$I:$I,$AG11)="○",$E11&gt;=Z$3,$E11&lt;EDATE(Z$3,1)),"▼",""))</f>
        <v/>
      </c>
      <c r="AA11" s="31" t="str">
        <f aca="false">IF(OR($AG11=0,AA$3=""),"",IF(AND(INDEX(工程マスタ!$I:$I,$AG11)="○",$E11&gt;=AA$3,$E11&lt;EDATE(AA$3,1)),"▼",""))</f>
        <v/>
      </c>
      <c r="AB11" s="31" t="str">
        <f aca="false">IF(OR($AG11=0,AB$3=""),"",IF(AND(INDEX(工程マスタ!$I:$I,$AG11)="○",$E11&gt;=AB$3,$E11&lt;EDATE(AB$3,1)),"▼",""))</f>
        <v/>
      </c>
      <c r="AC11" s="31" t="str">
        <f aca="false">IF(OR($AG11=0,AC$3=""),"",IF(AND(INDEX(工程マスタ!$I:$I,$AG11)="○",$E11&gt;=AC$3,$E11&lt;EDATE(AC$3,1)),"▼",""))</f>
        <v/>
      </c>
      <c r="AD11" s="31" t="str">
        <f aca="false">IF(OR($AG11=0,AD$3=""),"",IF(AND(INDEX(工程マスタ!$I:$I,$AG11)="○",$E11&gt;=AD$3,$E11&lt;EDATE(AD$3,1)),"▼",""))</f>
        <v/>
      </c>
      <c r="AE11" s="31" t="str">
        <f aca="false">IF(OR($AG11=0,AE$3=""),"",IF(AND(INDEX(工程マスタ!$I:$I,$AG11)="○",$E11&gt;=AE$3,$E11&lt;EDATE(AE$3,1)),"▼",""))</f>
        <v/>
      </c>
      <c r="AG11" s="27" t="n">
        <f aca="false" t="array" ref="AG11:AG11">IFERROR(SMALL(IF(工程マスタ!$K$5:$K$154&gt;0,ROW(工程マスタ!$C$5:$C$154)),6),0)</f>
        <v>10</v>
      </c>
      <c r="AH11" s="27" t="n">
        <f aca="false">IF($AG11=0,0,INDEX(工程マスタ!$M:$M,$AG11))</f>
        <v>46222.65</v>
      </c>
    </row>
    <row r="12" customFormat="false" ht="15" hidden="false" customHeight="false" outlineLevel="0" collapsed="false">
      <c r="A12" s="28" t="n">
        <f aca="false">IF($AG12=0,"",IF(INDEX(工程マスタ!$A:$A,$AG12)="","",INDEX(工程マスタ!$A:$A,$AG12)))</f>
        <v>7</v>
      </c>
      <c r="B12" s="21" t="str">
        <f aca="false">IF($AG12=0,"",IF(INDEX(工程マスタ!$B:$B,$AG12)="","",INDEX(工程マスタ!$B:$B,$AG12)))</f>
        <v>土工事・山留</v>
      </c>
      <c r="C12" s="21" t="str">
        <f aca="false">IF($AG12=0,"",IF(INDEX(工程マスタ!$C:$C,$AG12)="","",INDEX(工程マスタ!$C:$C,$AG12)))</f>
        <v>山留工事</v>
      </c>
      <c r="D12" s="21" t="str">
        <f aca="false">IF($AG12=0,"",IF(INDEX(工程マスタ!$D:$D,$AG12)="","",INDEX(工程マスタ!$D:$D,$AG12)))</f>
        <v>▲▲土木</v>
      </c>
      <c r="E12" s="29" t="n">
        <f aca="false">IF($AG12=0,"",IF(INDEX(工程マスタ!$E:$E,$AG12)="","",INDEX(工程マスタ!$E:$E,$AG12)))</f>
        <v>46230</v>
      </c>
      <c r="F12" s="29" t="n">
        <f aca="false">IF($AG12=0,"",IF(INDEX(工程マスタ!$F:$F,$AG12)="","",INDEX(工程マスタ!$F:$F,$AG12)))</f>
        <v>46242</v>
      </c>
      <c r="G12" s="30" t="n">
        <f aca="false">IF($AG12=0,"",IF(INDEX(工程マスタ!$H:$H,$AG12)="","",INDEX(工程マスタ!$H:$H,$AG12)))</f>
        <v>0</v>
      </c>
      <c r="H12" s="31" t="str">
        <f aca="false">IF(OR($AG12=0,H$3=""),"",IF(AND(INDEX(工程マスタ!$I:$I,$AG12)="○",$E12&gt;=H$3,$E12&lt;EDATE(H$3,1)),"▼",""))</f>
        <v/>
      </c>
      <c r="I12" s="31" t="str">
        <f aca="false">IF(OR($AG12=0,I$3=""),"",IF(AND(INDEX(工程マスタ!$I:$I,$AG12)="○",$E12&gt;=I$3,$E12&lt;EDATE(I$3,1)),"▼",""))</f>
        <v/>
      </c>
      <c r="J12" s="31" t="str">
        <f aca="false">IF(OR($AG12=0,J$3=""),"",IF(AND(INDEX(工程マスタ!$I:$I,$AG12)="○",$E12&gt;=J$3,$E12&lt;EDATE(J$3,1)),"▼",""))</f>
        <v/>
      </c>
      <c r="K12" s="31" t="str">
        <f aca="false">IF(OR($AG12=0,K$3=""),"",IF(AND(INDEX(工程マスタ!$I:$I,$AG12)="○",$E12&gt;=K$3,$E12&lt;EDATE(K$3,1)),"▼",""))</f>
        <v/>
      </c>
      <c r="L12" s="31" t="str">
        <f aca="false">IF(OR($AG12=0,L$3=""),"",IF(AND(INDEX(工程マスタ!$I:$I,$AG12)="○",$E12&gt;=L$3,$E12&lt;EDATE(L$3,1)),"▼",""))</f>
        <v/>
      </c>
      <c r="M12" s="31" t="str">
        <f aca="false">IF(OR($AG12=0,M$3=""),"",IF(AND(INDEX(工程マスタ!$I:$I,$AG12)="○",$E12&gt;=M$3,$E12&lt;EDATE(M$3,1)),"▼",""))</f>
        <v/>
      </c>
      <c r="N12" s="31" t="str">
        <f aca="false">IF(OR($AG12=0,N$3=""),"",IF(AND(INDEX(工程マスタ!$I:$I,$AG12)="○",$E12&gt;=N$3,$E12&lt;EDATE(N$3,1)),"▼",""))</f>
        <v/>
      </c>
      <c r="O12" s="31" t="str">
        <f aca="false">IF(OR($AG12=0,O$3=""),"",IF(AND(INDEX(工程マスタ!$I:$I,$AG12)="○",$E12&gt;=O$3,$E12&lt;EDATE(O$3,1)),"▼",""))</f>
        <v/>
      </c>
      <c r="P12" s="31" t="str">
        <f aca="false">IF(OR($AG12=0,P$3=""),"",IF(AND(INDEX(工程マスタ!$I:$I,$AG12)="○",$E12&gt;=P$3,$E12&lt;EDATE(P$3,1)),"▼",""))</f>
        <v/>
      </c>
      <c r="Q12" s="31" t="str">
        <f aca="false">IF(OR($AG12=0,Q$3=""),"",IF(AND(INDEX(工程マスタ!$I:$I,$AG12)="○",$E12&gt;=Q$3,$E12&lt;EDATE(Q$3,1)),"▼",""))</f>
        <v/>
      </c>
      <c r="R12" s="31" t="str">
        <f aca="false">IF(OR($AG12=0,R$3=""),"",IF(AND(INDEX(工程マスタ!$I:$I,$AG12)="○",$E12&gt;=R$3,$E12&lt;EDATE(R$3,1)),"▼",""))</f>
        <v/>
      </c>
      <c r="S12" s="31" t="str">
        <f aca="false">IF(OR($AG12=0,S$3=""),"",IF(AND(INDEX(工程マスタ!$I:$I,$AG12)="○",$E12&gt;=S$3,$E12&lt;EDATE(S$3,1)),"▼",""))</f>
        <v/>
      </c>
      <c r="T12" s="31" t="str">
        <f aca="false">IF(OR($AG12=0,T$3=""),"",IF(AND(INDEX(工程マスタ!$I:$I,$AG12)="○",$E12&gt;=T$3,$E12&lt;EDATE(T$3,1)),"▼",""))</f>
        <v/>
      </c>
      <c r="U12" s="31" t="str">
        <f aca="false">IF(OR($AG12=0,U$3=""),"",IF(AND(INDEX(工程マスタ!$I:$I,$AG12)="○",$E12&gt;=U$3,$E12&lt;EDATE(U$3,1)),"▼",""))</f>
        <v/>
      </c>
      <c r="V12" s="31" t="str">
        <f aca="false">IF(OR($AG12=0,V$3=""),"",IF(AND(INDEX(工程マスタ!$I:$I,$AG12)="○",$E12&gt;=V$3,$E12&lt;EDATE(V$3,1)),"▼",""))</f>
        <v/>
      </c>
      <c r="W12" s="31" t="str">
        <f aca="false">IF(OR($AG12=0,W$3=""),"",IF(AND(INDEX(工程マスタ!$I:$I,$AG12)="○",$E12&gt;=W$3,$E12&lt;EDATE(W$3,1)),"▼",""))</f>
        <v/>
      </c>
      <c r="X12" s="31" t="str">
        <f aca="false">IF(OR($AG12=0,X$3=""),"",IF(AND(INDEX(工程マスタ!$I:$I,$AG12)="○",$E12&gt;=X$3,$E12&lt;EDATE(X$3,1)),"▼",""))</f>
        <v/>
      </c>
      <c r="Y12" s="31" t="str">
        <f aca="false">IF(OR($AG12=0,Y$3=""),"",IF(AND(INDEX(工程マスタ!$I:$I,$AG12)="○",$E12&gt;=Y$3,$E12&lt;EDATE(Y$3,1)),"▼",""))</f>
        <v/>
      </c>
      <c r="Z12" s="31" t="str">
        <f aca="false">IF(OR($AG12=0,Z$3=""),"",IF(AND(INDEX(工程マスタ!$I:$I,$AG12)="○",$E12&gt;=Z$3,$E12&lt;EDATE(Z$3,1)),"▼",""))</f>
        <v/>
      </c>
      <c r="AA12" s="31" t="str">
        <f aca="false">IF(OR($AG12=0,AA$3=""),"",IF(AND(INDEX(工程マスタ!$I:$I,$AG12)="○",$E12&gt;=AA$3,$E12&lt;EDATE(AA$3,1)),"▼",""))</f>
        <v/>
      </c>
      <c r="AB12" s="31" t="str">
        <f aca="false">IF(OR($AG12=0,AB$3=""),"",IF(AND(INDEX(工程マスタ!$I:$I,$AG12)="○",$E12&gt;=AB$3,$E12&lt;EDATE(AB$3,1)),"▼",""))</f>
        <v/>
      </c>
      <c r="AC12" s="31" t="str">
        <f aca="false">IF(OR($AG12=0,AC$3=""),"",IF(AND(INDEX(工程マスタ!$I:$I,$AG12)="○",$E12&gt;=AC$3,$E12&lt;EDATE(AC$3,1)),"▼",""))</f>
        <v/>
      </c>
      <c r="AD12" s="31" t="str">
        <f aca="false">IF(OR($AG12=0,AD$3=""),"",IF(AND(INDEX(工程マスタ!$I:$I,$AG12)="○",$E12&gt;=AD$3,$E12&lt;EDATE(AD$3,1)),"▼",""))</f>
        <v/>
      </c>
      <c r="AE12" s="31" t="str">
        <f aca="false">IF(OR($AG12=0,AE$3=""),"",IF(AND(INDEX(工程マスタ!$I:$I,$AG12)="○",$E12&gt;=AE$3,$E12&lt;EDATE(AE$3,1)),"▼",""))</f>
        <v/>
      </c>
      <c r="AG12" s="27" t="n">
        <f aca="false" t="array" ref="AG12:AG12">IFERROR(SMALL(IF(工程マスタ!$K$5:$K$154&gt;0,ROW(工程マスタ!$C$5:$C$154)),7),0)</f>
        <v>11</v>
      </c>
      <c r="AH12" s="27" t="n">
        <f aca="false">IF($AG12=0,0,INDEX(工程マスタ!$M:$M,$AG12))</f>
        <v>46230</v>
      </c>
    </row>
    <row r="13" customFormat="false" ht="15" hidden="false" customHeight="false" outlineLevel="0" collapsed="false">
      <c r="A13" s="28" t="n">
        <f aca="false">IF($AG13=0,"",IF(INDEX(工程マスタ!$A:$A,$AG13)="","",INDEX(工程マスタ!$A:$A,$AG13)))</f>
        <v>8</v>
      </c>
      <c r="B13" s="21" t="str">
        <f aca="false">IF($AG13=0,"",IF(INDEX(工程マスタ!$B:$B,$AG13)="","",INDEX(工程マスタ!$B:$B,$AG13)))</f>
        <v>土工事・山留</v>
      </c>
      <c r="C13" s="21" t="str">
        <f aca="false">IF($AG13=0,"",IF(INDEX(工程マスタ!$C:$C,$AG13)="","",INDEX(工程マスタ!$C:$C,$AG13)))</f>
        <v>根切り・掘削</v>
      </c>
      <c r="D13" s="21" t="str">
        <f aca="false">IF($AG13=0,"",IF(INDEX(工程マスタ!$D:$D,$AG13)="","",INDEX(工程マスタ!$D:$D,$AG13)))</f>
        <v>▲▲土木</v>
      </c>
      <c r="E13" s="29" t="n">
        <f aca="false">IF($AG13=0,"",IF(INDEX(工程マスタ!$E:$E,$AG13)="","",INDEX(工程マスタ!$E:$E,$AG13)))</f>
        <v>46237</v>
      </c>
      <c r="F13" s="29" t="n">
        <f aca="false">IF($AG13=0,"",IF(INDEX(工程マスタ!$F:$F,$AG13)="","",INDEX(工程マスタ!$F:$F,$AG13)))</f>
        <v>46259</v>
      </c>
      <c r="G13" s="30" t="n">
        <f aca="false">IF($AG13=0,"",IF(INDEX(工程マスタ!$H:$H,$AG13)="","",INDEX(工程マスタ!$H:$H,$AG13)))</f>
        <v>0</v>
      </c>
      <c r="H13" s="31" t="str">
        <f aca="false">IF(OR($AG13=0,H$3=""),"",IF(AND(INDEX(工程マスタ!$I:$I,$AG13)="○",$E13&gt;=H$3,$E13&lt;EDATE(H$3,1)),"▼",""))</f>
        <v/>
      </c>
      <c r="I13" s="31" t="str">
        <f aca="false">IF(OR($AG13=0,I$3=""),"",IF(AND(INDEX(工程マスタ!$I:$I,$AG13)="○",$E13&gt;=I$3,$E13&lt;EDATE(I$3,1)),"▼",""))</f>
        <v/>
      </c>
      <c r="J13" s="31" t="str">
        <f aca="false">IF(OR($AG13=0,J$3=""),"",IF(AND(INDEX(工程マスタ!$I:$I,$AG13)="○",$E13&gt;=J$3,$E13&lt;EDATE(J$3,1)),"▼",""))</f>
        <v/>
      </c>
      <c r="K13" s="31" t="str">
        <f aca="false">IF(OR($AG13=0,K$3=""),"",IF(AND(INDEX(工程マスタ!$I:$I,$AG13)="○",$E13&gt;=K$3,$E13&lt;EDATE(K$3,1)),"▼",""))</f>
        <v/>
      </c>
      <c r="L13" s="31" t="str">
        <f aca="false">IF(OR($AG13=0,L$3=""),"",IF(AND(INDEX(工程マスタ!$I:$I,$AG13)="○",$E13&gt;=L$3,$E13&lt;EDATE(L$3,1)),"▼",""))</f>
        <v/>
      </c>
      <c r="M13" s="31" t="str">
        <f aca="false">IF(OR($AG13=0,M$3=""),"",IF(AND(INDEX(工程マスタ!$I:$I,$AG13)="○",$E13&gt;=M$3,$E13&lt;EDATE(M$3,1)),"▼",""))</f>
        <v/>
      </c>
      <c r="N13" s="31" t="str">
        <f aca="false">IF(OR($AG13=0,N$3=""),"",IF(AND(INDEX(工程マスタ!$I:$I,$AG13)="○",$E13&gt;=N$3,$E13&lt;EDATE(N$3,1)),"▼",""))</f>
        <v/>
      </c>
      <c r="O13" s="31" t="str">
        <f aca="false">IF(OR($AG13=0,O$3=""),"",IF(AND(INDEX(工程マスタ!$I:$I,$AG13)="○",$E13&gt;=O$3,$E13&lt;EDATE(O$3,1)),"▼",""))</f>
        <v/>
      </c>
      <c r="P13" s="31" t="str">
        <f aca="false">IF(OR($AG13=0,P$3=""),"",IF(AND(INDEX(工程マスタ!$I:$I,$AG13)="○",$E13&gt;=P$3,$E13&lt;EDATE(P$3,1)),"▼",""))</f>
        <v/>
      </c>
      <c r="Q13" s="31" t="str">
        <f aca="false">IF(OR($AG13=0,Q$3=""),"",IF(AND(INDEX(工程マスタ!$I:$I,$AG13)="○",$E13&gt;=Q$3,$E13&lt;EDATE(Q$3,1)),"▼",""))</f>
        <v/>
      </c>
      <c r="R13" s="31" t="str">
        <f aca="false">IF(OR($AG13=0,R$3=""),"",IF(AND(INDEX(工程マスタ!$I:$I,$AG13)="○",$E13&gt;=R$3,$E13&lt;EDATE(R$3,1)),"▼",""))</f>
        <v/>
      </c>
      <c r="S13" s="31" t="str">
        <f aca="false">IF(OR($AG13=0,S$3=""),"",IF(AND(INDEX(工程マスタ!$I:$I,$AG13)="○",$E13&gt;=S$3,$E13&lt;EDATE(S$3,1)),"▼",""))</f>
        <v/>
      </c>
      <c r="T13" s="31" t="str">
        <f aca="false">IF(OR($AG13=0,T$3=""),"",IF(AND(INDEX(工程マスタ!$I:$I,$AG13)="○",$E13&gt;=T$3,$E13&lt;EDATE(T$3,1)),"▼",""))</f>
        <v/>
      </c>
      <c r="U13" s="31" t="str">
        <f aca="false">IF(OR($AG13=0,U$3=""),"",IF(AND(INDEX(工程マスタ!$I:$I,$AG13)="○",$E13&gt;=U$3,$E13&lt;EDATE(U$3,1)),"▼",""))</f>
        <v/>
      </c>
      <c r="V13" s="31" t="str">
        <f aca="false">IF(OR($AG13=0,V$3=""),"",IF(AND(INDEX(工程マスタ!$I:$I,$AG13)="○",$E13&gt;=V$3,$E13&lt;EDATE(V$3,1)),"▼",""))</f>
        <v/>
      </c>
      <c r="W13" s="31" t="str">
        <f aca="false">IF(OR($AG13=0,W$3=""),"",IF(AND(INDEX(工程マスタ!$I:$I,$AG13)="○",$E13&gt;=W$3,$E13&lt;EDATE(W$3,1)),"▼",""))</f>
        <v/>
      </c>
      <c r="X13" s="31" t="str">
        <f aca="false">IF(OR($AG13=0,X$3=""),"",IF(AND(INDEX(工程マスタ!$I:$I,$AG13)="○",$E13&gt;=X$3,$E13&lt;EDATE(X$3,1)),"▼",""))</f>
        <v/>
      </c>
      <c r="Y13" s="31" t="str">
        <f aca="false">IF(OR($AG13=0,Y$3=""),"",IF(AND(INDEX(工程マスタ!$I:$I,$AG13)="○",$E13&gt;=Y$3,$E13&lt;EDATE(Y$3,1)),"▼",""))</f>
        <v/>
      </c>
      <c r="Z13" s="31" t="str">
        <f aca="false">IF(OR($AG13=0,Z$3=""),"",IF(AND(INDEX(工程マスタ!$I:$I,$AG13)="○",$E13&gt;=Z$3,$E13&lt;EDATE(Z$3,1)),"▼",""))</f>
        <v/>
      </c>
      <c r="AA13" s="31" t="str">
        <f aca="false">IF(OR($AG13=0,AA$3=""),"",IF(AND(INDEX(工程マスタ!$I:$I,$AG13)="○",$E13&gt;=AA$3,$E13&lt;EDATE(AA$3,1)),"▼",""))</f>
        <v/>
      </c>
      <c r="AB13" s="31" t="str">
        <f aca="false">IF(OR($AG13=0,AB$3=""),"",IF(AND(INDEX(工程マスタ!$I:$I,$AG13)="○",$E13&gt;=AB$3,$E13&lt;EDATE(AB$3,1)),"▼",""))</f>
        <v/>
      </c>
      <c r="AC13" s="31" t="str">
        <f aca="false">IF(OR($AG13=0,AC$3=""),"",IF(AND(INDEX(工程マスタ!$I:$I,$AG13)="○",$E13&gt;=AC$3,$E13&lt;EDATE(AC$3,1)),"▼",""))</f>
        <v/>
      </c>
      <c r="AD13" s="31" t="str">
        <f aca="false">IF(OR($AG13=0,AD$3=""),"",IF(AND(INDEX(工程マスタ!$I:$I,$AG13)="○",$E13&gt;=AD$3,$E13&lt;EDATE(AD$3,1)),"▼",""))</f>
        <v/>
      </c>
      <c r="AE13" s="31" t="str">
        <f aca="false">IF(OR($AG13=0,AE$3=""),"",IF(AND(INDEX(工程マスタ!$I:$I,$AG13)="○",$E13&gt;=AE$3,$E13&lt;EDATE(AE$3,1)),"▼",""))</f>
        <v/>
      </c>
      <c r="AG13" s="27" t="n">
        <f aca="false" t="array" ref="AG13:AG13">IFERROR(SMALL(IF(工程マスタ!$K$5:$K$154&gt;0,ROW(工程マスタ!$C$5:$C$154)),8),0)</f>
        <v>12</v>
      </c>
      <c r="AH13" s="27" t="n">
        <f aca="false">IF($AG13=0,0,INDEX(工程マスタ!$M:$M,$AG13))</f>
        <v>46237</v>
      </c>
    </row>
    <row r="14" customFormat="false" ht="15" hidden="false" customHeight="false" outlineLevel="0" collapsed="false">
      <c r="A14" s="28" t="n">
        <f aca="false">IF($AG14=0,"",IF(INDEX(工程マスタ!$A:$A,$AG14)="","",INDEX(工程マスタ!$A:$A,$AG14)))</f>
        <v>9</v>
      </c>
      <c r="B14" s="21" t="str">
        <f aca="false">IF($AG14=0,"",IF(INDEX(工程マスタ!$B:$B,$AG14)="","",INDEX(工程マスタ!$B:$B,$AG14)))</f>
        <v>土工事・山留</v>
      </c>
      <c r="C14" s="21" t="str">
        <f aca="false">IF($AG14=0,"",IF(INDEX(工程マスタ!$C:$C,$AG14)="","",INDEX(工程マスタ!$C:$C,$AG14)))</f>
        <v>床付け・捨てコンクリート</v>
      </c>
      <c r="D14" s="21" t="str">
        <f aca="false">IF($AG14=0,"",IF(INDEX(工程マスタ!$D:$D,$AG14)="","",INDEX(工程マスタ!$D:$D,$AG14)))</f>
        <v>▲▲土木</v>
      </c>
      <c r="E14" s="29" t="n">
        <f aca="false">IF($AG14=0,"",IF(INDEX(工程マスタ!$E:$E,$AG14)="","",INDEX(工程マスタ!$E:$E,$AG14)))</f>
        <v>46258</v>
      </c>
      <c r="F14" s="29" t="n">
        <f aca="false">IF($AG14=0,"",IF(INDEX(工程マスタ!$F:$F,$AG14)="","",INDEX(工程マスタ!$F:$F,$AG14)))</f>
        <v>46263</v>
      </c>
      <c r="G14" s="30" t="n">
        <f aca="false">IF($AG14=0,"",IF(INDEX(工程マスタ!$H:$H,$AG14)="","",INDEX(工程マスタ!$H:$H,$AG14)))</f>
        <v>0</v>
      </c>
      <c r="H14" s="31" t="str">
        <f aca="false">IF(OR($AG14=0,H$3=""),"",IF(AND(INDEX(工程マスタ!$I:$I,$AG14)="○",$E14&gt;=H$3,$E14&lt;EDATE(H$3,1)),"▼",""))</f>
        <v/>
      </c>
      <c r="I14" s="31" t="str">
        <f aca="false">IF(OR($AG14=0,I$3=""),"",IF(AND(INDEX(工程マスタ!$I:$I,$AG14)="○",$E14&gt;=I$3,$E14&lt;EDATE(I$3,1)),"▼",""))</f>
        <v/>
      </c>
      <c r="J14" s="31" t="str">
        <f aca="false">IF(OR($AG14=0,J$3=""),"",IF(AND(INDEX(工程マスタ!$I:$I,$AG14)="○",$E14&gt;=J$3,$E14&lt;EDATE(J$3,1)),"▼",""))</f>
        <v/>
      </c>
      <c r="K14" s="31" t="str">
        <f aca="false">IF(OR($AG14=0,K$3=""),"",IF(AND(INDEX(工程マスタ!$I:$I,$AG14)="○",$E14&gt;=K$3,$E14&lt;EDATE(K$3,1)),"▼",""))</f>
        <v/>
      </c>
      <c r="L14" s="31" t="str">
        <f aca="false">IF(OR($AG14=0,L$3=""),"",IF(AND(INDEX(工程マスタ!$I:$I,$AG14)="○",$E14&gt;=L$3,$E14&lt;EDATE(L$3,1)),"▼",""))</f>
        <v/>
      </c>
      <c r="M14" s="31" t="str">
        <f aca="false">IF(OR($AG14=0,M$3=""),"",IF(AND(INDEX(工程マスタ!$I:$I,$AG14)="○",$E14&gt;=M$3,$E14&lt;EDATE(M$3,1)),"▼",""))</f>
        <v/>
      </c>
      <c r="N14" s="31" t="str">
        <f aca="false">IF(OR($AG14=0,N$3=""),"",IF(AND(INDEX(工程マスタ!$I:$I,$AG14)="○",$E14&gt;=N$3,$E14&lt;EDATE(N$3,1)),"▼",""))</f>
        <v/>
      </c>
      <c r="O14" s="31" t="str">
        <f aca="false">IF(OR($AG14=0,O$3=""),"",IF(AND(INDEX(工程マスタ!$I:$I,$AG14)="○",$E14&gt;=O$3,$E14&lt;EDATE(O$3,1)),"▼",""))</f>
        <v/>
      </c>
      <c r="P14" s="31" t="str">
        <f aca="false">IF(OR($AG14=0,P$3=""),"",IF(AND(INDEX(工程マスタ!$I:$I,$AG14)="○",$E14&gt;=P$3,$E14&lt;EDATE(P$3,1)),"▼",""))</f>
        <v/>
      </c>
      <c r="Q14" s="31" t="str">
        <f aca="false">IF(OR($AG14=0,Q$3=""),"",IF(AND(INDEX(工程マスタ!$I:$I,$AG14)="○",$E14&gt;=Q$3,$E14&lt;EDATE(Q$3,1)),"▼",""))</f>
        <v/>
      </c>
      <c r="R14" s="31" t="str">
        <f aca="false">IF(OR($AG14=0,R$3=""),"",IF(AND(INDEX(工程マスタ!$I:$I,$AG14)="○",$E14&gt;=R$3,$E14&lt;EDATE(R$3,1)),"▼",""))</f>
        <v/>
      </c>
      <c r="S14" s="31" t="str">
        <f aca="false">IF(OR($AG14=0,S$3=""),"",IF(AND(INDEX(工程マスタ!$I:$I,$AG14)="○",$E14&gt;=S$3,$E14&lt;EDATE(S$3,1)),"▼",""))</f>
        <v/>
      </c>
      <c r="T14" s="31" t="str">
        <f aca="false">IF(OR($AG14=0,T$3=""),"",IF(AND(INDEX(工程マスタ!$I:$I,$AG14)="○",$E14&gt;=T$3,$E14&lt;EDATE(T$3,1)),"▼",""))</f>
        <v/>
      </c>
      <c r="U14" s="31" t="str">
        <f aca="false">IF(OR($AG14=0,U$3=""),"",IF(AND(INDEX(工程マスタ!$I:$I,$AG14)="○",$E14&gt;=U$3,$E14&lt;EDATE(U$3,1)),"▼",""))</f>
        <v/>
      </c>
      <c r="V14" s="31" t="str">
        <f aca="false">IF(OR($AG14=0,V$3=""),"",IF(AND(INDEX(工程マスタ!$I:$I,$AG14)="○",$E14&gt;=V$3,$E14&lt;EDATE(V$3,1)),"▼",""))</f>
        <v/>
      </c>
      <c r="W14" s="31" t="str">
        <f aca="false">IF(OR($AG14=0,W$3=""),"",IF(AND(INDEX(工程マスタ!$I:$I,$AG14)="○",$E14&gt;=W$3,$E14&lt;EDATE(W$3,1)),"▼",""))</f>
        <v/>
      </c>
      <c r="X14" s="31" t="str">
        <f aca="false">IF(OR($AG14=0,X$3=""),"",IF(AND(INDEX(工程マスタ!$I:$I,$AG14)="○",$E14&gt;=X$3,$E14&lt;EDATE(X$3,1)),"▼",""))</f>
        <v/>
      </c>
      <c r="Y14" s="31" t="str">
        <f aca="false">IF(OR($AG14=0,Y$3=""),"",IF(AND(INDEX(工程マスタ!$I:$I,$AG14)="○",$E14&gt;=Y$3,$E14&lt;EDATE(Y$3,1)),"▼",""))</f>
        <v/>
      </c>
      <c r="Z14" s="31" t="str">
        <f aca="false">IF(OR($AG14=0,Z$3=""),"",IF(AND(INDEX(工程マスタ!$I:$I,$AG14)="○",$E14&gt;=Z$3,$E14&lt;EDATE(Z$3,1)),"▼",""))</f>
        <v/>
      </c>
      <c r="AA14" s="31" t="str">
        <f aca="false">IF(OR($AG14=0,AA$3=""),"",IF(AND(INDEX(工程マスタ!$I:$I,$AG14)="○",$E14&gt;=AA$3,$E14&lt;EDATE(AA$3,1)),"▼",""))</f>
        <v/>
      </c>
      <c r="AB14" s="31" t="str">
        <f aca="false">IF(OR($AG14=0,AB$3=""),"",IF(AND(INDEX(工程マスタ!$I:$I,$AG14)="○",$E14&gt;=AB$3,$E14&lt;EDATE(AB$3,1)),"▼",""))</f>
        <v/>
      </c>
      <c r="AC14" s="31" t="str">
        <f aca="false">IF(OR($AG14=0,AC$3=""),"",IF(AND(INDEX(工程マスタ!$I:$I,$AG14)="○",$E14&gt;=AC$3,$E14&lt;EDATE(AC$3,1)),"▼",""))</f>
        <v/>
      </c>
      <c r="AD14" s="31" t="str">
        <f aca="false">IF(OR($AG14=0,AD$3=""),"",IF(AND(INDEX(工程マスタ!$I:$I,$AG14)="○",$E14&gt;=AD$3,$E14&lt;EDATE(AD$3,1)),"▼",""))</f>
        <v/>
      </c>
      <c r="AE14" s="31" t="str">
        <f aca="false">IF(OR($AG14=0,AE$3=""),"",IF(AND(INDEX(工程マスタ!$I:$I,$AG14)="○",$E14&gt;=AE$3,$E14&lt;EDATE(AE$3,1)),"▼",""))</f>
        <v/>
      </c>
      <c r="AG14" s="27" t="n">
        <f aca="false" t="array" ref="AG14:AG14">IFERROR(SMALL(IF(工程マスタ!$K$5:$K$154&gt;0,ROW(工程マスタ!$C$5:$C$154)),9),0)</f>
        <v>13</v>
      </c>
      <c r="AH14" s="27" t="n">
        <f aca="false">IF($AG14=0,0,INDEX(工程マスタ!$M:$M,$AG14))</f>
        <v>46258</v>
      </c>
    </row>
    <row r="15" customFormat="false" ht="15" hidden="false" customHeight="false" outlineLevel="0" collapsed="false">
      <c r="A15" s="28" t="n">
        <f aca="false">IF($AG15=0,"",IF(INDEX(工程マスタ!$A:$A,$AG15)="","",INDEX(工程マスタ!$A:$A,$AG15)))</f>
        <v>10</v>
      </c>
      <c r="B15" s="21" t="str">
        <f aca="false">IF($AG15=0,"",IF(INDEX(工程マスタ!$B:$B,$AG15)="","",INDEX(工程マスタ!$B:$B,$AG15)))</f>
        <v>地業基礎工事</v>
      </c>
      <c r="C15" s="21" t="str">
        <f aca="false">IF($AG15=0,"",IF(INDEX(工程マスタ!$C:$C,$AG15)="","",INDEX(工程マスタ!$C:$C,$AG15)))</f>
        <v>基礎配筋・型枠</v>
      </c>
      <c r="D15" s="21" t="str">
        <f aca="false">IF($AG15=0,"",IF(INDEX(工程マスタ!$D:$D,$AG15)="","",INDEX(工程マスタ!$D:$D,$AG15)))</f>
        <v>◇◇建設</v>
      </c>
      <c r="E15" s="29" t="n">
        <f aca="false">IF($AG15=0,"",IF(INDEX(工程マスタ!$E:$E,$AG15)="","",INDEX(工程マスタ!$E:$E,$AG15)))</f>
        <v>46265</v>
      </c>
      <c r="F15" s="29" t="n">
        <f aca="false">IF($AG15=0,"",IF(INDEX(工程マスタ!$F:$F,$AG15)="","",INDEX(工程マスタ!$F:$F,$AG15)))</f>
        <v>46277</v>
      </c>
      <c r="G15" s="30" t="n">
        <f aca="false">IF($AG15=0,"",IF(INDEX(工程マスタ!$H:$H,$AG15)="","",INDEX(工程マスタ!$H:$H,$AG15)))</f>
        <v>0</v>
      </c>
      <c r="H15" s="31" t="str">
        <f aca="false">IF(OR($AG15=0,H$3=""),"",IF(AND(INDEX(工程マスタ!$I:$I,$AG15)="○",$E15&gt;=H$3,$E15&lt;EDATE(H$3,1)),"▼",""))</f>
        <v/>
      </c>
      <c r="I15" s="31" t="str">
        <f aca="false">IF(OR($AG15=0,I$3=""),"",IF(AND(INDEX(工程マスタ!$I:$I,$AG15)="○",$E15&gt;=I$3,$E15&lt;EDATE(I$3,1)),"▼",""))</f>
        <v/>
      </c>
      <c r="J15" s="31" t="str">
        <f aca="false">IF(OR($AG15=0,J$3=""),"",IF(AND(INDEX(工程マスタ!$I:$I,$AG15)="○",$E15&gt;=J$3,$E15&lt;EDATE(J$3,1)),"▼",""))</f>
        <v/>
      </c>
      <c r="K15" s="31" t="str">
        <f aca="false">IF(OR($AG15=0,K$3=""),"",IF(AND(INDEX(工程マスタ!$I:$I,$AG15)="○",$E15&gt;=K$3,$E15&lt;EDATE(K$3,1)),"▼",""))</f>
        <v/>
      </c>
      <c r="L15" s="31" t="str">
        <f aca="false">IF(OR($AG15=0,L$3=""),"",IF(AND(INDEX(工程マスタ!$I:$I,$AG15)="○",$E15&gt;=L$3,$E15&lt;EDATE(L$3,1)),"▼",""))</f>
        <v/>
      </c>
      <c r="M15" s="31" t="str">
        <f aca="false">IF(OR($AG15=0,M$3=""),"",IF(AND(INDEX(工程マスタ!$I:$I,$AG15)="○",$E15&gt;=M$3,$E15&lt;EDATE(M$3,1)),"▼",""))</f>
        <v/>
      </c>
      <c r="N15" s="31" t="str">
        <f aca="false">IF(OR($AG15=0,N$3=""),"",IF(AND(INDEX(工程マスタ!$I:$I,$AG15)="○",$E15&gt;=N$3,$E15&lt;EDATE(N$3,1)),"▼",""))</f>
        <v/>
      </c>
      <c r="O15" s="31" t="str">
        <f aca="false">IF(OR($AG15=0,O$3=""),"",IF(AND(INDEX(工程マスタ!$I:$I,$AG15)="○",$E15&gt;=O$3,$E15&lt;EDATE(O$3,1)),"▼",""))</f>
        <v/>
      </c>
      <c r="P15" s="31" t="str">
        <f aca="false">IF(OR($AG15=0,P$3=""),"",IF(AND(INDEX(工程マスタ!$I:$I,$AG15)="○",$E15&gt;=P$3,$E15&lt;EDATE(P$3,1)),"▼",""))</f>
        <v/>
      </c>
      <c r="Q15" s="31" t="str">
        <f aca="false">IF(OR($AG15=0,Q$3=""),"",IF(AND(INDEX(工程マスタ!$I:$I,$AG15)="○",$E15&gt;=Q$3,$E15&lt;EDATE(Q$3,1)),"▼",""))</f>
        <v/>
      </c>
      <c r="R15" s="31" t="str">
        <f aca="false">IF(OR($AG15=0,R$3=""),"",IF(AND(INDEX(工程マスタ!$I:$I,$AG15)="○",$E15&gt;=R$3,$E15&lt;EDATE(R$3,1)),"▼",""))</f>
        <v/>
      </c>
      <c r="S15" s="31" t="str">
        <f aca="false">IF(OR($AG15=0,S$3=""),"",IF(AND(INDEX(工程マスタ!$I:$I,$AG15)="○",$E15&gt;=S$3,$E15&lt;EDATE(S$3,1)),"▼",""))</f>
        <v/>
      </c>
      <c r="T15" s="31" t="str">
        <f aca="false">IF(OR($AG15=0,T$3=""),"",IF(AND(INDEX(工程マスタ!$I:$I,$AG15)="○",$E15&gt;=T$3,$E15&lt;EDATE(T$3,1)),"▼",""))</f>
        <v/>
      </c>
      <c r="U15" s="31" t="str">
        <f aca="false">IF(OR($AG15=0,U$3=""),"",IF(AND(INDEX(工程マスタ!$I:$I,$AG15)="○",$E15&gt;=U$3,$E15&lt;EDATE(U$3,1)),"▼",""))</f>
        <v/>
      </c>
      <c r="V15" s="31" t="str">
        <f aca="false">IF(OR($AG15=0,V$3=""),"",IF(AND(INDEX(工程マスタ!$I:$I,$AG15)="○",$E15&gt;=V$3,$E15&lt;EDATE(V$3,1)),"▼",""))</f>
        <v/>
      </c>
      <c r="W15" s="31" t="str">
        <f aca="false">IF(OR($AG15=0,W$3=""),"",IF(AND(INDEX(工程マスタ!$I:$I,$AG15)="○",$E15&gt;=W$3,$E15&lt;EDATE(W$3,1)),"▼",""))</f>
        <v/>
      </c>
      <c r="X15" s="31" t="str">
        <f aca="false">IF(OR($AG15=0,X$3=""),"",IF(AND(INDEX(工程マスタ!$I:$I,$AG15)="○",$E15&gt;=X$3,$E15&lt;EDATE(X$3,1)),"▼",""))</f>
        <v/>
      </c>
      <c r="Y15" s="31" t="str">
        <f aca="false">IF(OR($AG15=0,Y$3=""),"",IF(AND(INDEX(工程マスタ!$I:$I,$AG15)="○",$E15&gt;=Y$3,$E15&lt;EDATE(Y$3,1)),"▼",""))</f>
        <v/>
      </c>
      <c r="Z15" s="31" t="str">
        <f aca="false">IF(OR($AG15=0,Z$3=""),"",IF(AND(INDEX(工程マスタ!$I:$I,$AG15)="○",$E15&gt;=Z$3,$E15&lt;EDATE(Z$3,1)),"▼",""))</f>
        <v/>
      </c>
      <c r="AA15" s="31" t="str">
        <f aca="false">IF(OR($AG15=0,AA$3=""),"",IF(AND(INDEX(工程マスタ!$I:$I,$AG15)="○",$E15&gt;=AA$3,$E15&lt;EDATE(AA$3,1)),"▼",""))</f>
        <v/>
      </c>
      <c r="AB15" s="31" t="str">
        <f aca="false">IF(OR($AG15=0,AB$3=""),"",IF(AND(INDEX(工程マスタ!$I:$I,$AG15)="○",$E15&gt;=AB$3,$E15&lt;EDATE(AB$3,1)),"▼",""))</f>
        <v/>
      </c>
      <c r="AC15" s="31" t="str">
        <f aca="false">IF(OR($AG15=0,AC$3=""),"",IF(AND(INDEX(工程マスタ!$I:$I,$AG15)="○",$E15&gt;=AC$3,$E15&lt;EDATE(AC$3,1)),"▼",""))</f>
        <v/>
      </c>
      <c r="AD15" s="31" t="str">
        <f aca="false">IF(OR($AG15=0,AD$3=""),"",IF(AND(INDEX(工程マスタ!$I:$I,$AG15)="○",$E15&gt;=AD$3,$E15&lt;EDATE(AD$3,1)),"▼",""))</f>
        <v/>
      </c>
      <c r="AE15" s="31" t="str">
        <f aca="false">IF(OR($AG15=0,AE$3=""),"",IF(AND(INDEX(工程マスタ!$I:$I,$AG15)="○",$E15&gt;=AE$3,$E15&lt;EDATE(AE$3,1)),"▼",""))</f>
        <v/>
      </c>
      <c r="AG15" s="27" t="n">
        <f aca="false" t="array" ref="AG15:AG15">IFERROR(SMALL(IF(工程マスタ!$K$5:$K$154&gt;0,ROW(工程マスタ!$C$5:$C$154)),10),0)</f>
        <v>14</v>
      </c>
      <c r="AH15" s="27" t="n">
        <f aca="false">IF($AG15=0,0,INDEX(工程マスタ!$M:$M,$AG15))</f>
        <v>46265</v>
      </c>
    </row>
    <row r="16" customFormat="false" ht="15" hidden="false" customHeight="false" outlineLevel="0" collapsed="false">
      <c r="A16" s="28" t="n">
        <f aca="false">IF($AG16=0,"",IF(INDEX(工程マスタ!$A:$A,$AG16)="","",INDEX(工程マスタ!$A:$A,$AG16)))</f>
        <v>11</v>
      </c>
      <c r="B16" s="21" t="str">
        <f aca="false">IF($AG16=0,"",IF(INDEX(工程マスタ!$B:$B,$AG16)="","",INDEX(工程マスタ!$B:$B,$AG16)))</f>
        <v>地業基礎工事</v>
      </c>
      <c r="C16" s="21" t="str">
        <f aca="false">IF($AG16=0,"",IF(INDEX(工程マスタ!$C:$C,$AG16)="","",INDEX(工程マスタ!$C:$C,$AG16)))</f>
        <v>基礎コンクリート打設</v>
      </c>
      <c r="D16" s="21" t="str">
        <f aca="false">IF($AG16=0,"",IF(INDEX(工程マスタ!$D:$D,$AG16)="","",INDEX(工程マスタ!$D:$D,$AG16)))</f>
        <v>◇◇建設</v>
      </c>
      <c r="E16" s="29" t="n">
        <f aca="false">IF($AG16=0,"",IF(INDEX(工程マスタ!$E:$E,$AG16)="","",INDEX(工程マスタ!$E:$E,$AG16)))</f>
        <v>46279</v>
      </c>
      <c r="F16" s="29" t="n">
        <f aca="false">IF($AG16=0,"",IF(INDEX(工程マスタ!$F:$F,$AG16)="","",INDEX(工程マスタ!$F:$F,$AG16)))</f>
        <v>46281</v>
      </c>
      <c r="G16" s="30" t="n">
        <f aca="false">IF($AG16=0,"",IF(INDEX(工程マスタ!$H:$H,$AG16)="","",INDEX(工程マスタ!$H:$H,$AG16)))</f>
        <v>0</v>
      </c>
      <c r="H16" s="31" t="str">
        <f aca="false">IF(OR($AG16=0,H$3=""),"",IF(AND(INDEX(工程マスタ!$I:$I,$AG16)="○",$E16&gt;=H$3,$E16&lt;EDATE(H$3,1)),"▼",""))</f>
        <v/>
      </c>
      <c r="I16" s="31" t="str">
        <f aca="false">IF(OR($AG16=0,I$3=""),"",IF(AND(INDEX(工程マスタ!$I:$I,$AG16)="○",$E16&gt;=I$3,$E16&lt;EDATE(I$3,1)),"▼",""))</f>
        <v/>
      </c>
      <c r="J16" s="31" t="str">
        <f aca="false">IF(OR($AG16=0,J$3=""),"",IF(AND(INDEX(工程マスタ!$I:$I,$AG16)="○",$E16&gt;=J$3,$E16&lt;EDATE(J$3,1)),"▼",""))</f>
        <v/>
      </c>
      <c r="K16" s="31" t="str">
        <f aca="false">IF(OR($AG16=0,K$3=""),"",IF(AND(INDEX(工程マスタ!$I:$I,$AG16)="○",$E16&gt;=K$3,$E16&lt;EDATE(K$3,1)),"▼",""))</f>
        <v/>
      </c>
      <c r="L16" s="31" t="str">
        <f aca="false">IF(OR($AG16=0,L$3=""),"",IF(AND(INDEX(工程マスタ!$I:$I,$AG16)="○",$E16&gt;=L$3,$E16&lt;EDATE(L$3,1)),"▼",""))</f>
        <v/>
      </c>
      <c r="M16" s="31" t="str">
        <f aca="false">IF(OR($AG16=0,M$3=""),"",IF(AND(INDEX(工程マスタ!$I:$I,$AG16)="○",$E16&gt;=M$3,$E16&lt;EDATE(M$3,1)),"▼",""))</f>
        <v/>
      </c>
      <c r="N16" s="31" t="str">
        <f aca="false">IF(OR($AG16=0,N$3=""),"",IF(AND(INDEX(工程マスタ!$I:$I,$AG16)="○",$E16&gt;=N$3,$E16&lt;EDATE(N$3,1)),"▼",""))</f>
        <v/>
      </c>
      <c r="O16" s="31" t="str">
        <f aca="false">IF(OR($AG16=0,O$3=""),"",IF(AND(INDEX(工程マスタ!$I:$I,$AG16)="○",$E16&gt;=O$3,$E16&lt;EDATE(O$3,1)),"▼",""))</f>
        <v/>
      </c>
      <c r="P16" s="31" t="str">
        <f aca="false">IF(OR($AG16=0,P$3=""),"",IF(AND(INDEX(工程マスタ!$I:$I,$AG16)="○",$E16&gt;=P$3,$E16&lt;EDATE(P$3,1)),"▼",""))</f>
        <v/>
      </c>
      <c r="Q16" s="31" t="str">
        <f aca="false">IF(OR($AG16=0,Q$3=""),"",IF(AND(INDEX(工程マスタ!$I:$I,$AG16)="○",$E16&gt;=Q$3,$E16&lt;EDATE(Q$3,1)),"▼",""))</f>
        <v/>
      </c>
      <c r="R16" s="31" t="str">
        <f aca="false">IF(OR($AG16=0,R$3=""),"",IF(AND(INDEX(工程マスタ!$I:$I,$AG16)="○",$E16&gt;=R$3,$E16&lt;EDATE(R$3,1)),"▼",""))</f>
        <v/>
      </c>
      <c r="S16" s="31" t="str">
        <f aca="false">IF(OR($AG16=0,S$3=""),"",IF(AND(INDEX(工程マスタ!$I:$I,$AG16)="○",$E16&gt;=S$3,$E16&lt;EDATE(S$3,1)),"▼",""))</f>
        <v/>
      </c>
      <c r="T16" s="31" t="str">
        <f aca="false">IF(OR($AG16=0,T$3=""),"",IF(AND(INDEX(工程マスタ!$I:$I,$AG16)="○",$E16&gt;=T$3,$E16&lt;EDATE(T$3,1)),"▼",""))</f>
        <v/>
      </c>
      <c r="U16" s="31" t="str">
        <f aca="false">IF(OR($AG16=0,U$3=""),"",IF(AND(INDEX(工程マスタ!$I:$I,$AG16)="○",$E16&gt;=U$3,$E16&lt;EDATE(U$3,1)),"▼",""))</f>
        <v/>
      </c>
      <c r="V16" s="31" t="str">
        <f aca="false">IF(OR($AG16=0,V$3=""),"",IF(AND(INDEX(工程マスタ!$I:$I,$AG16)="○",$E16&gt;=V$3,$E16&lt;EDATE(V$3,1)),"▼",""))</f>
        <v/>
      </c>
      <c r="W16" s="31" t="str">
        <f aca="false">IF(OR($AG16=0,W$3=""),"",IF(AND(INDEX(工程マスタ!$I:$I,$AG16)="○",$E16&gt;=W$3,$E16&lt;EDATE(W$3,1)),"▼",""))</f>
        <v/>
      </c>
      <c r="X16" s="31" t="str">
        <f aca="false">IF(OR($AG16=0,X$3=""),"",IF(AND(INDEX(工程マスタ!$I:$I,$AG16)="○",$E16&gt;=X$3,$E16&lt;EDATE(X$3,1)),"▼",""))</f>
        <v/>
      </c>
      <c r="Y16" s="31" t="str">
        <f aca="false">IF(OR($AG16=0,Y$3=""),"",IF(AND(INDEX(工程マスタ!$I:$I,$AG16)="○",$E16&gt;=Y$3,$E16&lt;EDATE(Y$3,1)),"▼",""))</f>
        <v/>
      </c>
      <c r="Z16" s="31" t="str">
        <f aca="false">IF(OR($AG16=0,Z$3=""),"",IF(AND(INDEX(工程マスタ!$I:$I,$AG16)="○",$E16&gt;=Z$3,$E16&lt;EDATE(Z$3,1)),"▼",""))</f>
        <v/>
      </c>
      <c r="AA16" s="31" t="str">
        <f aca="false">IF(OR($AG16=0,AA$3=""),"",IF(AND(INDEX(工程マスタ!$I:$I,$AG16)="○",$E16&gt;=AA$3,$E16&lt;EDATE(AA$3,1)),"▼",""))</f>
        <v/>
      </c>
      <c r="AB16" s="31" t="str">
        <f aca="false">IF(OR($AG16=0,AB$3=""),"",IF(AND(INDEX(工程マスタ!$I:$I,$AG16)="○",$E16&gt;=AB$3,$E16&lt;EDATE(AB$3,1)),"▼",""))</f>
        <v/>
      </c>
      <c r="AC16" s="31" t="str">
        <f aca="false">IF(OR($AG16=0,AC$3=""),"",IF(AND(INDEX(工程マスタ!$I:$I,$AG16)="○",$E16&gt;=AC$3,$E16&lt;EDATE(AC$3,1)),"▼",""))</f>
        <v/>
      </c>
      <c r="AD16" s="31" t="str">
        <f aca="false">IF(OR($AG16=0,AD$3=""),"",IF(AND(INDEX(工程マスタ!$I:$I,$AG16)="○",$E16&gt;=AD$3,$E16&lt;EDATE(AD$3,1)),"▼",""))</f>
        <v/>
      </c>
      <c r="AE16" s="31" t="str">
        <f aca="false">IF(OR($AG16=0,AE$3=""),"",IF(AND(INDEX(工程マスタ!$I:$I,$AG16)="○",$E16&gt;=AE$3,$E16&lt;EDATE(AE$3,1)),"▼",""))</f>
        <v/>
      </c>
      <c r="AG16" s="27" t="n">
        <f aca="false" t="array" ref="AG16:AG16">IFERROR(SMALL(IF(工程マスタ!$K$5:$K$154&gt;0,ROW(工程マスタ!$C$5:$C$154)),11),0)</f>
        <v>15</v>
      </c>
      <c r="AH16" s="27" t="n">
        <f aca="false">IF($AG16=0,0,INDEX(工程マスタ!$M:$M,$AG16))</f>
        <v>46279</v>
      </c>
    </row>
    <row r="17" customFormat="false" ht="15" hidden="false" customHeight="false" outlineLevel="0" collapsed="false">
      <c r="A17" s="28" t="n">
        <f aca="false">IF($AG17=0,"",IF(INDEX(工程マスタ!$A:$A,$AG17)="","",INDEX(工程マスタ!$A:$A,$AG17)))</f>
        <v>12</v>
      </c>
      <c r="B17" s="21" t="str">
        <f aca="false">IF($AG17=0,"",IF(INDEX(工程マスタ!$B:$B,$AG17)="","",INDEX(工程マスタ!$B:$B,$AG17)))</f>
        <v>地業基礎工事</v>
      </c>
      <c r="C17" s="21" t="str">
        <f aca="false">IF($AG17=0,"",IF(INDEX(工程マスタ!$C:$C,$AG17)="","",INDEX(工程マスタ!$C:$C,$AG17)))</f>
        <v>養生・埋戻し</v>
      </c>
      <c r="D17" s="21" t="str">
        <f aca="false">IF($AG17=0,"",IF(INDEX(工程マスタ!$D:$D,$AG17)="","",INDEX(工程マスタ!$D:$D,$AG17)))</f>
        <v>▲▲土木</v>
      </c>
      <c r="E17" s="29" t="n">
        <f aca="false">IF($AG17=0,"",IF(INDEX(工程マスタ!$E:$E,$AG17)="","",INDEX(工程マスタ!$E:$E,$AG17)))</f>
        <v>46282</v>
      </c>
      <c r="F17" s="29" t="n">
        <f aca="false">IF($AG17=0,"",IF(INDEX(工程マスタ!$F:$F,$AG17)="","",INDEX(工程マスタ!$F:$F,$AG17)))</f>
        <v>46291</v>
      </c>
      <c r="G17" s="30" t="n">
        <f aca="false">IF($AG17=0,"",IF(INDEX(工程マスタ!$H:$H,$AG17)="","",INDEX(工程マスタ!$H:$H,$AG17)))</f>
        <v>0</v>
      </c>
      <c r="H17" s="31" t="str">
        <f aca="false">IF(OR($AG17=0,H$3=""),"",IF(AND(INDEX(工程マスタ!$I:$I,$AG17)="○",$E17&gt;=H$3,$E17&lt;EDATE(H$3,1)),"▼",""))</f>
        <v/>
      </c>
      <c r="I17" s="31" t="str">
        <f aca="false">IF(OR($AG17=0,I$3=""),"",IF(AND(INDEX(工程マスタ!$I:$I,$AG17)="○",$E17&gt;=I$3,$E17&lt;EDATE(I$3,1)),"▼",""))</f>
        <v/>
      </c>
      <c r="J17" s="31" t="str">
        <f aca="false">IF(OR($AG17=0,J$3=""),"",IF(AND(INDEX(工程マスタ!$I:$I,$AG17)="○",$E17&gt;=J$3,$E17&lt;EDATE(J$3,1)),"▼",""))</f>
        <v/>
      </c>
      <c r="K17" s="31" t="str">
        <f aca="false">IF(OR($AG17=0,K$3=""),"",IF(AND(INDEX(工程マスタ!$I:$I,$AG17)="○",$E17&gt;=K$3,$E17&lt;EDATE(K$3,1)),"▼",""))</f>
        <v/>
      </c>
      <c r="L17" s="31" t="str">
        <f aca="false">IF(OR($AG17=0,L$3=""),"",IF(AND(INDEX(工程マスタ!$I:$I,$AG17)="○",$E17&gt;=L$3,$E17&lt;EDATE(L$3,1)),"▼",""))</f>
        <v/>
      </c>
      <c r="M17" s="31" t="str">
        <f aca="false">IF(OR($AG17=0,M$3=""),"",IF(AND(INDEX(工程マスタ!$I:$I,$AG17)="○",$E17&gt;=M$3,$E17&lt;EDATE(M$3,1)),"▼",""))</f>
        <v/>
      </c>
      <c r="N17" s="31" t="str">
        <f aca="false">IF(OR($AG17=0,N$3=""),"",IF(AND(INDEX(工程マスタ!$I:$I,$AG17)="○",$E17&gt;=N$3,$E17&lt;EDATE(N$3,1)),"▼",""))</f>
        <v/>
      </c>
      <c r="O17" s="31" t="str">
        <f aca="false">IF(OR($AG17=0,O$3=""),"",IF(AND(INDEX(工程マスタ!$I:$I,$AG17)="○",$E17&gt;=O$3,$E17&lt;EDATE(O$3,1)),"▼",""))</f>
        <v/>
      </c>
      <c r="P17" s="31" t="str">
        <f aca="false">IF(OR($AG17=0,P$3=""),"",IF(AND(INDEX(工程マスタ!$I:$I,$AG17)="○",$E17&gt;=P$3,$E17&lt;EDATE(P$3,1)),"▼",""))</f>
        <v/>
      </c>
      <c r="Q17" s="31" t="str">
        <f aca="false">IF(OR($AG17=0,Q$3=""),"",IF(AND(INDEX(工程マスタ!$I:$I,$AG17)="○",$E17&gt;=Q$3,$E17&lt;EDATE(Q$3,1)),"▼",""))</f>
        <v/>
      </c>
      <c r="R17" s="31" t="str">
        <f aca="false">IF(OR($AG17=0,R$3=""),"",IF(AND(INDEX(工程マスタ!$I:$I,$AG17)="○",$E17&gt;=R$3,$E17&lt;EDATE(R$3,1)),"▼",""))</f>
        <v/>
      </c>
      <c r="S17" s="31" t="str">
        <f aca="false">IF(OR($AG17=0,S$3=""),"",IF(AND(INDEX(工程マスタ!$I:$I,$AG17)="○",$E17&gt;=S$3,$E17&lt;EDATE(S$3,1)),"▼",""))</f>
        <v/>
      </c>
      <c r="T17" s="31" t="str">
        <f aca="false">IF(OR($AG17=0,T$3=""),"",IF(AND(INDEX(工程マスタ!$I:$I,$AG17)="○",$E17&gt;=T$3,$E17&lt;EDATE(T$3,1)),"▼",""))</f>
        <v/>
      </c>
      <c r="U17" s="31" t="str">
        <f aca="false">IF(OR($AG17=0,U$3=""),"",IF(AND(INDEX(工程マスタ!$I:$I,$AG17)="○",$E17&gt;=U$3,$E17&lt;EDATE(U$3,1)),"▼",""))</f>
        <v/>
      </c>
      <c r="V17" s="31" t="str">
        <f aca="false">IF(OR($AG17=0,V$3=""),"",IF(AND(INDEX(工程マスタ!$I:$I,$AG17)="○",$E17&gt;=V$3,$E17&lt;EDATE(V$3,1)),"▼",""))</f>
        <v/>
      </c>
      <c r="W17" s="31" t="str">
        <f aca="false">IF(OR($AG17=0,W$3=""),"",IF(AND(INDEX(工程マスタ!$I:$I,$AG17)="○",$E17&gt;=W$3,$E17&lt;EDATE(W$3,1)),"▼",""))</f>
        <v/>
      </c>
      <c r="X17" s="31" t="str">
        <f aca="false">IF(OR($AG17=0,X$3=""),"",IF(AND(INDEX(工程マスタ!$I:$I,$AG17)="○",$E17&gt;=X$3,$E17&lt;EDATE(X$3,1)),"▼",""))</f>
        <v/>
      </c>
      <c r="Y17" s="31" t="str">
        <f aca="false">IF(OR($AG17=0,Y$3=""),"",IF(AND(INDEX(工程マスタ!$I:$I,$AG17)="○",$E17&gt;=Y$3,$E17&lt;EDATE(Y$3,1)),"▼",""))</f>
        <v/>
      </c>
      <c r="Z17" s="31" t="str">
        <f aca="false">IF(OR($AG17=0,Z$3=""),"",IF(AND(INDEX(工程マスタ!$I:$I,$AG17)="○",$E17&gt;=Z$3,$E17&lt;EDATE(Z$3,1)),"▼",""))</f>
        <v/>
      </c>
      <c r="AA17" s="31" t="str">
        <f aca="false">IF(OR($AG17=0,AA$3=""),"",IF(AND(INDEX(工程マスタ!$I:$I,$AG17)="○",$E17&gt;=AA$3,$E17&lt;EDATE(AA$3,1)),"▼",""))</f>
        <v/>
      </c>
      <c r="AB17" s="31" t="str">
        <f aca="false">IF(OR($AG17=0,AB$3=""),"",IF(AND(INDEX(工程マスタ!$I:$I,$AG17)="○",$E17&gt;=AB$3,$E17&lt;EDATE(AB$3,1)),"▼",""))</f>
        <v/>
      </c>
      <c r="AC17" s="31" t="str">
        <f aca="false">IF(OR($AG17=0,AC$3=""),"",IF(AND(INDEX(工程マスタ!$I:$I,$AG17)="○",$E17&gt;=AC$3,$E17&lt;EDATE(AC$3,1)),"▼",""))</f>
        <v/>
      </c>
      <c r="AD17" s="31" t="str">
        <f aca="false">IF(OR($AG17=0,AD$3=""),"",IF(AND(INDEX(工程マスタ!$I:$I,$AG17)="○",$E17&gt;=AD$3,$E17&lt;EDATE(AD$3,1)),"▼",""))</f>
        <v/>
      </c>
      <c r="AE17" s="31" t="str">
        <f aca="false">IF(OR($AG17=0,AE$3=""),"",IF(AND(INDEX(工程マスタ!$I:$I,$AG17)="○",$E17&gt;=AE$3,$E17&lt;EDATE(AE$3,1)),"▼",""))</f>
        <v/>
      </c>
      <c r="AG17" s="27" t="n">
        <f aca="false" t="array" ref="AG17:AG17">IFERROR(SMALL(IF(工程マスタ!$K$5:$K$154&gt;0,ROW(工程マスタ!$C$5:$C$154)),12),0)</f>
        <v>16</v>
      </c>
      <c r="AH17" s="27" t="n">
        <f aca="false">IF($AG17=0,0,INDEX(工程マスタ!$M:$M,$AG17))</f>
        <v>46282</v>
      </c>
    </row>
    <row r="18" customFormat="false" ht="15" hidden="false" customHeight="false" outlineLevel="0" collapsed="false">
      <c r="A18" s="28" t="n">
        <f aca="false">IF($AG18=0,"",IF(INDEX(工程マスタ!$A:$A,$AG18)="","",INDEX(工程マスタ!$A:$A,$AG18)))</f>
        <v>13</v>
      </c>
      <c r="B18" s="21" t="str">
        <f aca="false">IF($AG18=0,"",IF(INDEX(工程マスタ!$B:$B,$AG18)="","",INDEX(工程マスタ!$B:$B,$AG18)))</f>
        <v>躯体工事</v>
      </c>
      <c r="C18" s="21" t="str">
        <f aca="false">IF($AG18=0,"",IF(INDEX(工程マスタ!$C:$C,$AG18)="","",INDEX(工程マスタ!$C:$C,$AG18)))</f>
        <v>鉄骨製作(工場)</v>
      </c>
      <c r="D18" s="21" t="str">
        <f aca="false">IF($AG18=0,"",IF(INDEX(工程マスタ!$D:$D,$AG18)="","",INDEX(工程マスタ!$D:$D,$AG18)))</f>
        <v>☆☆鉄工所</v>
      </c>
      <c r="E18" s="29" t="n">
        <f aca="false">IF($AG18=0,"",IF(INDEX(工程マスタ!$E:$E,$AG18)="","",INDEX(工程マスタ!$E:$E,$AG18)))</f>
        <v>46237</v>
      </c>
      <c r="F18" s="29" t="n">
        <f aca="false">IF($AG18=0,"",IF(INDEX(工程マスタ!$F:$F,$AG18)="","",INDEX(工程マスタ!$F:$F,$AG18)))</f>
        <v>46290</v>
      </c>
      <c r="G18" s="30" t="n">
        <f aca="false">IF($AG18=0,"",IF(INDEX(工程マスタ!$H:$H,$AG18)="","",INDEX(工程マスタ!$H:$H,$AG18)))</f>
        <v>0</v>
      </c>
      <c r="H18" s="31" t="str">
        <f aca="false">IF(OR($AG18=0,H$3=""),"",IF(AND(INDEX(工程マスタ!$I:$I,$AG18)="○",$E18&gt;=H$3,$E18&lt;EDATE(H$3,1)),"▼",""))</f>
        <v/>
      </c>
      <c r="I18" s="31" t="str">
        <f aca="false">IF(OR($AG18=0,I$3=""),"",IF(AND(INDEX(工程マスタ!$I:$I,$AG18)="○",$E18&gt;=I$3,$E18&lt;EDATE(I$3,1)),"▼",""))</f>
        <v/>
      </c>
      <c r="J18" s="31" t="str">
        <f aca="false">IF(OR($AG18=0,J$3=""),"",IF(AND(INDEX(工程マスタ!$I:$I,$AG18)="○",$E18&gt;=J$3,$E18&lt;EDATE(J$3,1)),"▼",""))</f>
        <v/>
      </c>
      <c r="K18" s="31" t="str">
        <f aca="false">IF(OR($AG18=0,K$3=""),"",IF(AND(INDEX(工程マスタ!$I:$I,$AG18)="○",$E18&gt;=K$3,$E18&lt;EDATE(K$3,1)),"▼",""))</f>
        <v/>
      </c>
      <c r="L18" s="31" t="str">
        <f aca="false">IF(OR($AG18=0,L$3=""),"",IF(AND(INDEX(工程マスタ!$I:$I,$AG18)="○",$E18&gt;=L$3,$E18&lt;EDATE(L$3,1)),"▼",""))</f>
        <v/>
      </c>
      <c r="M18" s="31" t="str">
        <f aca="false">IF(OR($AG18=0,M$3=""),"",IF(AND(INDEX(工程マスタ!$I:$I,$AG18)="○",$E18&gt;=M$3,$E18&lt;EDATE(M$3,1)),"▼",""))</f>
        <v/>
      </c>
      <c r="N18" s="31" t="str">
        <f aca="false">IF(OR($AG18=0,N$3=""),"",IF(AND(INDEX(工程マスタ!$I:$I,$AG18)="○",$E18&gt;=N$3,$E18&lt;EDATE(N$3,1)),"▼",""))</f>
        <v/>
      </c>
      <c r="O18" s="31" t="str">
        <f aca="false">IF(OR($AG18=0,O$3=""),"",IF(AND(INDEX(工程マスタ!$I:$I,$AG18)="○",$E18&gt;=O$3,$E18&lt;EDATE(O$3,1)),"▼",""))</f>
        <v/>
      </c>
      <c r="P18" s="31" t="str">
        <f aca="false">IF(OR($AG18=0,P$3=""),"",IF(AND(INDEX(工程マスタ!$I:$I,$AG18)="○",$E18&gt;=P$3,$E18&lt;EDATE(P$3,1)),"▼",""))</f>
        <v/>
      </c>
      <c r="Q18" s="31" t="str">
        <f aca="false">IF(OR($AG18=0,Q$3=""),"",IF(AND(INDEX(工程マスタ!$I:$I,$AG18)="○",$E18&gt;=Q$3,$E18&lt;EDATE(Q$3,1)),"▼",""))</f>
        <v/>
      </c>
      <c r="R18" s="31" t="str">
        <f aca="false">IF(OR($AG18=0,R$3=""),"",IF(AND(INDEX(工程マスタ!$I:$I,$AG18)="○",$E18&gt;=R$3,$E18&lt;EDATE(R$3,1)),"▼",""))</f>
        <v/>
      </c>
      <c r="S18" s="31" t="str">
        <f aca="false">IF(OR($AG18=0,S$3=""),"",IF(AND(INDEX(工程マスタ!$I:$I,$AG18)="○",$E18&gt;=S$3,$E18&lt;EDATE(S$3,1)),"▼",""))</f>
        <v/>
      </c>
      <c r="T18" s="31" t="str">
        <f aca="false">IF(OR($AG18=0,T$3=""),"",IF(AND(INDEX(工程マスタ!$I:$I,$AG18)="○",$E18&gt;=T$3,$E18&lt;EDATE(T$3,1)),"▼",""))</f>
        <v/>
      </c>
      <c r="U18" s="31" t="str">
        <f aca="false">IF(OR($AG18=0,U$3=""),"",IF(AND(INDEX(工程マスタ!$I:$I,$AG18)="○",$E18&gt;=U$3,$E18&lt;EDATE(U$3,1)),"▼",""))</f>
        <v/>
      </c>
      <c r="V18" s="31" t="str">
        <f aca="false">IF(OR($AG18=0,V$3=""),"",IF(AND(INDEX(工程マスタ!$I:$I,$AG18)="○",$E18&gt;=V$3,$E18&lt;EDATE(V$3,1)),"▼",""))</f>
        <v/>
      </c>
      <c r="W18" s="31" t="str">
        <f aca="false">IF(OR($AG18=0,W$3=""),"",IF(AND(INDEX(工程マスタ!$I:$I,$AG18)="○",$E18&gt;=W$3,$E18&lt;EDATE(W$3,1)),"▼",""))</f>
        <v/>
      </c>
      <c r="X18" s="31" t="str">
        <f aca="false">IF(OR($AG18=0,X$3=""),"",IF(AND(INDEX(工程マスタ!$I:$I,$AG18)="○",$E18&gt;=X$3,$E18&lt;EDATE(X$3,1)),"▼",""))</f>
        <v/>
      </c>
      <c r="Y18" s="31" t="str">
        <f aca="false">IF(OR($AG18=0,Y$3=""),"",IF(AND(INDEX(工程マスタ!$I:$I,$AG18)="○",$E18&gt;=Y$3,$E18&lt;EDATE(Y$3,1)),"▼",""))</f>
        <v/>
      </c>
      <c r="Z18" s="31" t="str">
        <f aca="false">IF(OR($AG18=0,Z$3=""),"",IF(AND(INDEX(工程マスタ!$I:$I,$AG18)="○",$E18&gt;=Z$3,$E18&lt;EDATE(Z$3,1)),"▼",""))</f>
        <v/>
      </c>
      <c r="AA18" s="31" t="str">
        <f aca="false">IF(OR($AG18=0,AA$3=""),"",IF(AND(INDEX(工程マスタ!$I:$I,$AG18)="○",$E18&gt;=AA$3,$E18&lt;EDATE(AA$3,1)),"▼",""))</f>
        <v/>
      </c>
      <c r="AB18" s="31" t="str">
        <f aca="false">IF(OR($AG18=0,AB$3=""),"",IF(AND(INDEX(工程マスタ!$I:$I,$AG18)="○",$E18&gt;=AB$3,$E18&lt;EDATE(AB$3,1)),"▼",""))</f>
        <v/>
      </c>
      <c r="AC18" s="31" t="str">
        <f aca="false">IF(OR($AG18=0,AC$3=""),"",IF(AND(INDEX(工程マスタ!$I:$I,$AG18)="○",$E18&gt;=AC$3,$E18&lt;EDATE(AC$3,1)),"▼",""))</f>
        <v/>
      </c>
      <c r="AD18" s="31" t="str">
        <f aca="false">IF(OR($AG18=0,AD$3=""),"",IF(AND(INDEX(工程マスタ!$I:$I,$AG18)="○",$E18&gt;=AD$3,$E18&lt;EDATE(AD$3,1)),"▼",""))</f>
        <v/>
      </c>
      <c r="AE18" s="31" t="str">
        <f aca="false">IF(OR($AG18=0,AE$3=""),"",IF(AND(INDEX(工程マスタ!$I:$I,$AG18)="○",$E18&gt;=AE$3,$E18&lt;EDATE(AE$3,1)),"▼",""))</f>
        <v/>
      </c>
      <c r="AG18" s="27" t="n">
        <f aca="false" t="array" ref="AG18:AG18">IFERROR(SMALL(IF(工程マスタ!$K$5:$K$154&gt;0,ROW(工程マスタ!$C$5:$C$154)),13),0)</f>
        <v>17</v>
      </c>
      <c r="AH18" s="27" t="n">
        <f aca="false">IF($AG18=0,0,INDEX(工程マスタ!$M:$M,$AG18))</f>
        <v>46237</v>
      </c>
    </row>
    <row r="19" customFormat="false" ht="15" hidden="false" customHeight="false" outlineLevel="0" collapsed="false">
      <c r="A19" s="28" t="n">
        <f aca="false">IF($AG19=0,"",IF(INDEX(工程マスタ!$A:$A,$AG19)="","",INDEX(工程マスタ!$A:$A,$AG19)))</f>
        <v>14</v>
      </c>
      <c r="B19" s="21" t="str">
        <f aca="false">IF($AG19=0,"",IF(INDEX(工程マスタ!$B:$B,$AG19)="","",INDEX(工程マスタ!$B:$B,$AG19)))</f>
        <v>マイルストーン</v>
      </c>
      <c r="C19" s="21" t="str">
        <f aca="false">IF($AG19=0,"",IF(INDEX(工程マスタ!$C:$C,$AG19)="","",INDEX(工程マスタ!$C:$C,$AG19)))</f>
        <v>鉄骨建方開始</v>
      </c>
      <c r="D19" s="21" t="str">
        <f aca="false">IF($AG19=0,"",IF(INDEX(工程マスタ!$D:$D,$AG19)="","",INDEX(工程マスタ!$D:$D,$AG19)))</f>
        <v/>
      </c>
      <c r="E19" s="29" t="n">
        <f aca="false">IF($AG19=0,"",IF(INDEX(工程マスタ!$E:$E,$AG19)="","",INDEX(工程マスタ!$E:$E,$AG19)))</f>
        <v>46293</v>
      </c>
      <c r="F19" s="29" t="n">
        <f aca="false">IF($AG19=0,"",IF(INDEX(工程マスタ!$F:$F,$AG19)="","",INDEX(工程マスタ!$F:$F,$AG19)))</f>
        <v>46293</v>
      </c>
      <c r="G19" s="30" t="str">
        <f aca="false">IF($AG19=0,"",IF(INDEX(工程マスタ!$H:$H,$AG19)="","",INDEX(工程マスタ!$H:$H,$AG19)))</f>
        <v/>
      </c>
      <c r="H19" s="31" t="str">
        <f aca="false">IF(OR($AG19=0,H$3=""),"",IF(AND(INDEX(工程マスタ!$I:$I,$AG19)="○",$E19&gt;=H$3,$E19&lt;EDATE(H$3,1)),"▼",""))</f>
        <v/>
      </c>
      <c r="I19" s="31" t="str">
        <f aca="false">IF(OR($AG19=0,I$3=""),"",IF(AND(INDEX(工程マスタ!$I:$I,$AG19)="○",$E19&gt;=I$3,$E19&lt;EDATE(I$3,1)),"▼",""))</f>
        <v/>
      </c>
      <c r="J19" s="31" t="str">
        <f aca="false">IF(OR($AG19=0,J$3=""),"",IF(AND(INDEX(工程マスタ!$I:$I,$AG19)="○",$E19&gt;=J$3,$E19&lt;EDATE(J$3,1)),"▼",""))</f>
        <v>▼</v>
      </c>
      <c r="K19" s="31" t="str">
        <f aca="false">IF(OR($AG19=0,K$3=""),"",IF(AND(INDEX(工程マスタ!$I:$I,$AG19)="○",$E19&gt;=K$3,$E19&lt;EDATE(K$3,1)),"▼",""))</f>
        <v/>
      </c>
      <c r="L19" s="31" t="str">
        <f aca="false">IF(OR($AG19=0,L$3=""),"",IF(AND(INDEX(工程マスタ!$I:$I,$AG19)="○",$E19&gt;=L$3,$E19&lt;EDATE(L$3,1)),"▼",""))</f>
        <v/>
      </c>
      <c r="M19" s="31" t="str">
        <f aca="false">IF(OR($AG19=0,M$3=""),"",IF(AND(INDEX(工程マスタ!$I:$I,$AG19)="○",$E19&gt;=M$3,$E19&lt;EDATE(M$3,1)),"▼",""))</f>
        <v/>
      </c>
      <c r="N19" s="31" t="str">
        <f aca="false">IF(OR($AG19=0,N$3=""),"",IF(AND(INDEX(工程マスタ!$I:$I,$AG19)="○",$E19&gt;=N$3,$E19&lt;EDATE(N$3,1)),"▼",""))</f>
        <v/>
      </c>
      <c r="O19" s="31" t="str">
        <f aca="false">IF(OR($AG19=0,O$3=""),"",IF(AND(INDEX(工程マスタ!$I:$I,$AG19)="○",$E19&gt;=O$3,$E19&lt;EDATE(O$3,1)),"▼",""))</f>
        <v/>
      </c>
      <c r="P19" s="31" t="str">
        <f aca="false">IF(OR($AG19=0,P$3=""),"",IF(AND(INDEX(工程マスタ!$I:$I,$AG19)="○",$E19&gt;=P$3,$E19&lt;EDATE(P$3,1)),"▼",""))</f>
        <v/>
      </c>
      <c r="Q19" s="31" t="str">
        <f aca="false">IF(OR($AG19=0,Q$3=""),"",IF(AND(INDEX(工程マスタ!$I:$I,$AG19)="○",$E19&gt;=Q$3,$E19&lt;EDATE(Q$3,1)),"▼",""))</f>
        <v/>
      </c>
      <c r="R19" s="31" t="str">
        <f aca="false">IF(OR($AG19=0,R$3=""),"",IF(AND(INDEX(工程マスタ!$I:$I,$AG19)="○",$E19&gt;=R$3,$E19&lt;EDATE(R$3,1)),"▼",""))</f>
        <v/>
      </c>
      <c r="S19" s="31" t="str">
        <f aca="false">IF(OR($AG19=0,S$3=""),"",IF(AND(INDEX(工程マスタ!$I:$I,$AG19)="○",$E19&gt;=S$3,$E19&lt;EDATE(S$3,1)),"▼",""))</f>
        <v/>
      </c>
      <c r="T19" s="31" t="str">
        <f aca="false">IF(OR($AG19=0,T$3=""),"",IF(AND(INDEX(工程マスタ!$I:$I,$AG19)="○",$E19&gt;=T$3,$E19&lt;EDATE(T$3,1)),"▼",""))</f>
        <v/>
      </c>
      <c r="U19" s="31" t="str">
        <f aca="false">IF(OR($AG19=0,U$3=""),"",IF(AND(INDEX(工程マスタ!$I:$I,$AG19)="○",$E19&gt;=U$3,$E19&lt;EDATE(U$3,1)),"▼",""))</f>
        <v/>
      </c>
      <c r="V19" s="31" t="str">
        <f aca="false">IF(OR($AG19=0,V$3=""),"",IF(AND(INDEX(工程マスタ!$I:$I,$AG19)="○",$E19&gt;=V$3,$E19&lt;EDATE(V$3,1)),"▼",""))</f>
        <v/>
      </c>
      <c r="W19" s="31" t="str">
        <f aca="false">IF(OR($AG19=0,W$3=""),"",IF(AND(INDEX(工程マスタ!$I:$I,$AG19)="○",$E19&gt;=W$3,$E19&lt;EDATE(W$3,1)),"▼",""))</f>
        <v/>
      </c>
      <c r="X19" s="31" t="str">
        <f aca="false">IF(OR($AG19=0,X$3=""),"",IF(AND(INDEX(工程マスタ!$I:$I,$AG19)="○",$E19&gt;=X$3,$E19&lt;EDATE(X$3,1)),"▼",""))</f>
        <v/>
      </c>
      <c r="Y19" s="31" t="str">
        <f aca="false">IF(OR($AG19=0,Y$3=""),"",IF(AND(INDEX(工程マスタ!$I:$I,$AG19)="○",$E19&gt;=Y$3,$E19&lt;EDATE(Y$3,1)),"▼",""))</f>
        <v/>
      </c>
      <c r="Z19" s="31" t="str">
        <f aca="false">IF(OR($AG19=0,Z$3=""),"",IF(AND(INDEX(工程マスタ!$I:$I,$AG19)="○",$E19&gt;=Z$3,$E19&lt;EDATE(Z$3,1)),"▼",""))</f>
        <v/>
      </c>
      <c r="AA19" s="31" t="str">
        <f aca="false">IF(OR($AG19=0,AA$3=""),"",IF(AND(INDEX(工程マスタ!$I:$I,$AG19)="○",$E19&gt;=AA$3,$E19&lt;EDATE(AA$3,1)),"▼",""))</f>
        <v/>
      </c>
      <c r="AB19" s="31" t="str">
        <f aca="false">IF(OR($AG19=0,AB$3=""),"",IF(AND(INDEX(工程マスタ!$I:$I,$AG19)="○",$E19&gt;=AB$3,$E19&lt;EDATE(AB$3,1)),"▼",""))</f>
        <v/>
      </c>
      <c r="AC19" s="31" t="str">
        <f aca="false">IF(OR($AG19=0,AC$3=""),"",IF(AND(INDEX(工程マスタ!$I:$I,$AG19)="○",$E19&gt;=AC$3,$E19&lt;EDATE(AC$3,1)),"▼",""))</f>
        <v/>
      </c>
      <c r="AD19" s="31" t="str">
        <f aca="false">IF(OR($AG19=0,AD$3=""),"",IF(AND(INDEX(工程マスタ!$I:$I,$AG19)="○",$E19&gt;=AD$3,$E19&lt;EDATE(AD$3,1)),"▼",""))</f>
        <v/>
      </c>
      <c r="AE19" s="31" t="str">
        <f aca="false">IF(OR($AG19=0,AE$3=""),"",IF(AND(INDEX(工程マスタ!$I:$I,$AG19)="○",$E19&gt;=AE$3,$E19&lt;EDATE(AE$3,1)),"▼",""))</f>
        <v/>
      </c>
      <c r="AG19" s="27" t="n">
        <f aca="false" t="array" ref="AG19:AG19">IFERROR(SMALL(IF(工程マスタ!$K$5:$K$154&gt;0,ROW(工程マスタ!$C$5:$C$154)),14),0)</f>
        <v>18</v>
      </c>
      <c r="AH19" s="32" t="n">
        <f aca="false">IF($AG19=0,0,INDEX(工程マスタ!$M:$M,$AG19))</f>
        <v>46293</v>
      </c>
    </row>
    <row r="20" customFormat="false" ht="15" hidden="false" customHeight="false" outlineLevel="0" collapsed="false">
      <c r="A20" s="28" t="n">
        <f aca="false">IF($AG20=0,"",IF(INDEX(工程マスタ!$A:$A,$AG20)="","",INDEX(工程マスタ!$A:$A,$AG20)))</f>
        <v>15</v>
      </c>
      <c r="B20" s="21" t="str">
        <f aca="false">IF($AG20=0,"",IF(INDEX(工程マスタ!$B:$B,$AG20)="","",INDEX(工程マスタ!$B:$B,$AG20)))</f>
        <v>仮設工事</v>
      </c>
      <c r="C20" s="21" t="str">
        <f aca="false">IF($AG20=0,"",IF(INDEX(工程マスタ!$C:$C,$AG20)="","",INDEX(工程マスタ!$C:$C,$AG20)))</f>
        <v>外部足場組立</v>
      </c>
      <c r="D20" s="21" t="str">
        <f aca="false">IF($AG20=0,"",IF(INDEX(工程マスタ!$D:$D,$AG20)="","",INDEX(工程マスタ!$D:$D,$AG20)))</f>
        <v>○○仮設工業</v>
      </c>
      <c r="E20" s="29" t="n">
        <f aca="false">IF($AG20=0,"",IF(INDEX(工程マスタ!$E:$E,$AG20)="","",INDEX(工程マスタ!$E:$E,$AG20)))</f>
        <v>46289</v>
      </c>
      <c r="F20" s="29" t="n">
        <f aca="false">IF($AG20=0,"",IF(INDEX(工程マスタ!$F:$F,$AG20)="","",INDEX(工程マスタ!$F:$F,$AG20)))</f>
        <v>46301</v>
      </c>
      <c r="G20" s="30" t="n">
        <f aca="false">IF($AG20=0,"",IF(INDEX(工程マスタ!$H:$H,$AG20)="","",INDEX(工程マスタ!$H:$H,$AG20)))</f>
        <v>0</v>
      </c>
      <c r="H20" s="31" t="str">
        <f aca="false">IF(OR($AG20=0,H$3=""),"",IF(AND(INDEX(工程マスタ!$I:$I,$AG20)="○",$E20&gt;=H$3,$E20&lt;EDATE(H$3,1)),"▼",""))</f>
        <v/>
      </c>
      <c r="I20" s="31" t="str">
        <f aca="false">IF(OR($AG20=0,I$3=""),"",IF(AND(INDEX(工程マスタ!$I:$I,$AG20)="○",$E20&gt;=I$3,$E20&lt;EDATE(I$3,1)),"▼",""))</f>
        <v/>
      </c>
      <c r="J20" s="31" t="str">
        <f aca="false">IF(OR($AG20=0,J$3=""),"",IF(AND(INDEX(工程マスタ!$I:$I,$AG20)="○",$E20&gt;=J$3,$E20&lt;EDATE(J$3,1)),"▼",""))</f>
        <v/>
      </c>
      <c r="K20" s="31" t="str">
        <f aca="false">IF(OR($AG20=0,K$3=""),"",IF(AND(INDEX(工程マスタ!$I:$I,$AG20)="○",$E20&gt;=K$3,$E20&lt;EDATE(K$3,1)),"▼",""))</f>
        <v/>
      </c>
      <c r="L20" s="31" t="str">
        <f aca="false">IF(OR($AG20=0,L$3=""),"",IF(AND(INDEX(工程マスタ!$I:$I,$AG20)="○",$E20&gt;=L$3,$E20&lt;EDATE(L$3,1)),"▼",""))</f>
        <v/>
      </c>
      <c r="M20" s="31" t="str">
        <f aca="false">IF(OR($AG20=0,M$3=""),"",IF(AND(INDEX(工程マスタ!$I:$I,$AG20)="○",$E20&gt;=M$3,$E20&lt;EDATE(M$3,1)),"▼",""))</f>
        <v/>
      </c>
      <c r="N20" s="31" t="str">
        <f aca="false">IF(OR($AG20=0,N$3=""),"",IF(AND(INDEX(工程マスタ!$I:$I,$AG20)="○",$E20&gt;=N$3,$E20&lt;EDATE(N$3,1)),"▼",""))</f>
        <v/>
      </c>
      <c r="O20" s="31" t="str">
        <f aca="false">IF(OR($AG20=0,O$3=""),"",IF(AND(INDEX(工程マスタ!$I:$I,$AG20)="○",$E20&gt;=O$3,$E20&lt;EDATE(O$3,1)),"▼",""))</f>
        <v/>
      </c>
      <c r="P20" s="31" t="str">
        <f aca="false">IF(OR($AG20=0,P$3=""),"",IF(AND(INDEX(工程マスタ!$I:$I,$AG20)="○",$E20&gt;=P$3,$E20&lt;EDATE(P$3,1)),"▼",""))</f>
        <v/>
      </c>
      <c r="Q20" s="31" t="str">
        <f aca="false">IF(OR($AG20=0,Q$3=""),"",IF(AND(INDEX(工程マスタ!$I:$I,$AG20)="○",$E20&gt;=Q$3,$E20&lt;EDATE(Q$3,1)),"▼",""))</f>
        <v/>
      </c>
      <c r="R20" s="31" t="str">
        <f aca="false">IF(OR($AG20=0,R$3=""),"",IF(AND(INDEX(工程マスタ!$I:$I,$AG20)="○",$E20&gt;=R$3,$E20&lt;EDATE(R$3,1)),"▼",""))</f>
        <v/>
      </c>
      <c r="S20" s="31" t="str">
        <f aca="false">IF(OR($AG20=0,S$3=""),"",IF(AND(INDEX(工程マスタ!$I:$I,$AG20)="○",$E20&gt;=S$3,$E20&lt;EDATE(S$3,1)),"▼",""))</f>
        <v/>
      </c>
      <c r="T20" s="31" t="str">
        <f aca="false">IF(OR($AG20=0,T$3=""),"",IF(AND(INDEX(工程マスタ!$I:$I,$AG20)="○",$E20&gt;=T$3,$E20&lt;EDATE(T$3,1)),"▼",""))</f>
        <v/>
      </c>
      <c r="U20" s="31" t="str">
        <f aca="false">IF(OR($AG20=0,U$3=""),"",IF(AND(INDEX(工程マスタ!$I:$I,$AG20)="○",$E20&gt;=U$3,$E20&lt;EDATE(U$3,1)),"▼",""))</f>
        <v/>
      </c>
      <c r="V20" s="31" t="str">
        <f aca="false">IF(OR($AG20=0,V$3=""),"",IF(AND(INDEX(工程マスタ!$I:$I,$AG20)="○",$E20&gt;=V$3,$E20&lt;EDATE(V$3,1)),"▼",""))</f>
        <v/>
      </c>
      <c r="W20" s="31" t="str">
        <f aca="false">IF(OR($AG20=0,W$3=""),"",IF(AND(INDEX(工程マスタ!$I:$I,$AG20)="○",$E20&gt;=W$3,$E20&lt;EDATE(W$3,1)),"▼",""))</f>
        <v/>
      </c>
      <c r="X20" s="31" t="str">
        <f aca="false">IF(OR($AG20=0,X$3=""),"",IF(AND(INDEX(工程マスタ!$I:$I,$AG20)="○",$E20&gt;=X$3,$E20&lt;EDATE(X$3,1)),"▼",""))</f>
        <v/>
      </c>
      <c r="Y20" s="31" t="str">
        <f aca="false">IF(OR($AG20=0,Y$3=""),"",IF(AND(INDEX(工程マスタ!$I:$I,$AG20)="○",$E20&gt;=Y$3,$E20&lt;EDATE(Y$3,1)),"▼",""))</f>
        <v/>
      </c>
      <c r="Z20" s="31" t="str">
        <f aca="false">IF(OR($AG20=0,Z$3=""),"",IF(AND(INDEX(工程マスタ!$I:$I,$AG20)="○",$E20&gt;=Z$3,$E20&lt;EDATE(Z$3,1)),"▼",""))</f>
        <v/>
      </c>
      <c r="AA20" s="31" t="str">
        <f aca="false">IF(OR($AG20=0,AA$3=""),"",IF(AND(INDEX(工程マスタ!$I:$I,$AG20)="○",$E20&gt;=AA$3,$E20&lt;EDATE(AA$3,1)),"▼",""))</f>
        <v/>
      </c>
      <c r="AB20" s="31" t="str">
        <f aca="false">IF(OR($AG20=0,AB$3=""),"",IF(AND(INDEX(工程マスタ!$I:$I,$AG20)="○",$E20&gt;=AB$3,$E20&lt;EDATE(AB$3,1)),"▼",""))</f>
        <v/>
      </c>
      <c r="AC20" s="31" t="str">
        <f aca="false">IF(OR($AG20=0,AC$3=""),"",IF(AND(INDEX(工程マスタ!$I:$I,$AG20)="○",$E20&gt;=AC$3,$E20&lt;EDATE(AC$3,1)),"▼",""))</f>
        <v/>
      </c>
      <c r="AD20" s="31" t="str">
        <f aca="false">IF(OR($AG20=0,AD$3=""),"",IF(AND(INDEX(工程マスタ!$I:$I,$AG20)="○",$E20&gt;=AD$3,$E20&lt;EDATE(AD$3,1)),"▼",""))</f>
        <v/>
      </c>
      <c r="AE20" s="31" t="str">
        <f aca="false">IF(OR($AG20=0,AE$3=""),"",IF(AND(INDEX(工程マスタ!$I:$I,$AG20)="○",$E20&gt;=AE$3,$E20&lt;EDATE(AE$3,1)),"▼",""))</f>
        <v/>
      </c>
      <c r="AG20" s="27" t="n">
        <f aca="false" t="array" ref="AG20:AG20">IFERROR(SMALL(IF(工程マスタ!$K$5:$K$154&gt;0,ROW(工程マスタ!$C$5:$C$154)),15),0)</f>
        <v>19</v>
      </c>
      <c r="AH20" s="27" t="n">
        <f aca="false">IF($AG20=0,0,INDEX(工程マスタ!$M:$M,$AG20))</f>
        <v>46289</v>
      </c>
    </row>
    <row r="21" customFormat="false" ht="15" hidden="false" customHeight="false" outlineLevel="0" collapsed="false">
      <c r="A21" s="28" t="n">
        <f aca="false">IF($AG21=0,"",IF(INDEX(工程マスタ!$A:$A,$AG21)="","",INDEX(工程マスタ!$A:$A,$AG21)))</f>
        <v>16</v>
      </c>
      <c r="B21" s="21" t="str">
        <f aca="false">IF($AG21=0,"",IF(INDEX(工程マスタ!$B:$B,$AG21)="","",INDEX(工程マスタ!$B:$B,$AG21)))</f>
        <v>躯体工事</v>
      </c>
      <c r="C21" s="21" t="str">
        <f aca="false">IF($AG21=0,"",IF(INDEX(工程マスタ!$C:$C,$AG21)="","",INDEX(工程マスタ!$C:$C,$AG21)))</f>
        <v>鉄骨建方</v>
      </c>
      <c r="D21" s="21" t="str">
        <f aca="false">IF($AG21=0,"",IF(INDEX(工程マスタ!$D:$D,$AG21)="","",INDEX(工程マスタ!$D:$D,$AG21)))</f>
        <v>☆☆鉄工所</v>
      </c>
      <c r="E21" s="29" t="n">
        <f aca="false">IF($AG21=0,"",IF(INDEX(工程マスタ!$E:$E,$AG21)="","",INDEX(工程マスタ!$E:$E,$AG21)))</f>
        <v>46293</v>
      </c>
      <c r="F21" s="29" t="n">
        <f aca="false">IF($AG21=0,"",IF(INDEX(工程マスタ!$F:$F,$AG21)="","",INDEX(工程マスタ!$F:$F,$AG21)))</f>
        <v>46318</v>
      </c>
      <c r="G21" s="30" t="n">
        <f aca="false">IF($AG21=0,"",IF(INDEX(工程マスタ!$H:$H,$AG21)="","",INDEX(工程マスタ!$H:$H,$AG21)))</f>
        <v>0</v>
      </c>
      <c r="H21" s="31" t="str">
        <f aca="false">IF(OR($AG21=0,H$3=""),"",IF(AND(INDEX(工程マスタ!$I:$I,$AG21)="○",$E21&gt;=H$3,$E21&lt;EDATE(H$3,1)),"▼",""))</f>
        <v/>
      </c>
      <c r="I21" s="31" t="str">
        <f aca="false">IF(OR($AG21=0,I$3=""),"",IF(AND(INDEX(工程マスタ!$I:$I,$AG21)="○",$E21&gt;=I$3,$E21&lt;EDATE(I$3,1)),"▼",""))</f>
        <v/>
      </c>
      <c r="J21" s="31" t="str">
        <f aca="false">IF(OR($AG21=0,J$3=""),"",IF(AND(INDEX(工程マスタ!$I:$I,$AG21)="○",$E21&gt;=J$3,$E21&lt;EDATE(J$3,1)),"▼",""))</f>
        <v/>
      </c>
      <c r="K21" s="31" t="str">
        <f aca="false">IF(OR($AG21=0,K$3=""),"",IF(AND(INDEX(工程マスタ!$I:$I,$AG21)="○",$E21&gt;=K$3,$E21&lt;EDATE(K$3,1)),"▼",""))</f>
        <v/>
      </c>
      <c r="L21" s="31" t="str">
        <f aca="false">IF(OR($AG21=0,L$3=""),"",IF(AND(INDEX(工程マスタ!$I:$I,$AG21)="○",$E21&gt;=L$3,$E21&lt;EDATE(L$3,1)),"▼",""))</f>
        <v/>
      </c>
      <c r="M21" s="31" t="str">
        <f aca="false">IF(OR($AG21=0,M$3=""),"",IF(AND(INDEX(工程マスタ!$I:$I,$AG21)="○",$E21&gt;=M$3,$E21&lt;EDATE(M$3,1)),"▼",""))</f>
        <v/>
      </c>
      <c r="N21" s="31" t="str">
        <f aca="false">IF(OR($AG21=0,N$3=""),"",IF(AND(INDEX(工程マスタ!$I:$I,$AG21)="○",$E21&gt;=N$3,$E21&lt;EDATE(N$3,1)),"▼",""))</f>
        <v/>
      </c>
      <c r="O21" s="31" t="str">
        <f aca="false">IF(OR($AG21=0,O$3=""),"",IF(AND(INDEX(工程マスタ!$I:$I,$AG21)="○",$E21&gt;=O$3,$E21&lt;EDATE(O$3,1)),"▼",""))</f>
        <v/>
      </c>
      <c r="P21" s="31" t="str">
        <f aca="false">IF(OR($AG21=0,P$3=""),"",IF(AND(INDEX(工程マスタ!$I:$I,$AG21)="○",$E21&gt;=P$3,$E21&lt;EDATE(P$3,1)),"▼",""))</f>
        <v/>
      </c>
      <c r="Q21" s="31" t="str">
        <f aca="false">IF(OR($AG21=0,Q$3=""),"",IF(AND(INDEX(工程マスタ!$I:$I,$AG21)="○",$E21&gt;=Q$3,$E21&lt;EDATE(Q$3,1)),"▼",""))</f>
        <v/>
      </c>
      <c r="R21" s="31" t="str">
        <f aca="false">IF(OR($AG21=0,R$3=""),"",IF(AND(INDEX(工程マスタ!$I:$I,$AG21)="○",$E21&gt;=R$3,$E21&lt;EDATE(R$3,1)),"▼",""))</f>
        <v/>
      </c>
      <c r="S21" s="31" t="str">
        <f aca="false">IF(OR($AG21=0,S$3=""),"",IF(AND(INDEX(工程マスタ!$I:$I,$AG21)="○",$E21&gt;=S$3,$E21&lt;EDATE(S$3,1)),"▼",""))</f>
        <v/>
      </c>
      <c r="T21" s="31" t="str">
        <f aca="false">IF(OR($AG21=0,T$3=""),"",IF(AND(INDEX(工程マスタ!$I:$I,$AG21)="○",$E21&gt;=T$3,$E21&lt;EDATE(T$3,1)),"▼",""))</f>
        <v/>
      </c>
      <c r="U21" s="31" t="str">
        <f aca="false">IF(OR($AG21=0,U$3=""),"",IF(AND(INDEX(工程マスタ!$I:$I,$AG21)="○",$E21&gt;=U$3,$E21&lt;EDATE(U$3,1)),"▼",""))</f>
        <v/>
      </c>
      <c r="V21" s="31" t="str">
        <f aca="false">IF(OR($AG21=0,V$3=""),"",IF(AND(INDEX(工程マスタ!$I:$I,$AG21)="○",$E21&gt;=V$3,$E21&lt;EDATE(V$3,1)),"▼",""))</f>
        <v/>
      </c>
      <c r="W21" s="31" t="str">
        <f aca="false">IF(OR($AG21=0,W$3=""),"",IF(AND(INDEX(工程マスタ!$I:$I,$AG21)="○",$E21&gt;=W$3,$E21&lt;EDATE(W$3,1)),"▼",""))</f>
        <v/>
      </c>
      <c r="X21" s="31" t="str">
        <f aca="false">IF(OR($AG21=0,X$3=""),"",IF(AND(INDEX(工程マスタ!$I:$I,$AG21)="○",$E21&gt;=X$3,$E21&lt;EDATE(X$3,1)),"▼",""))</f>
        <v/>
      </c>
      <c r="Y21" s="31" t="str">
        <f aca="false">IF(OR($AG21=0,Y$3=""),"",IF(AND(INDEX(工程マスタ!$I:$I,$AG21)="○",$E21&gt;=Y$3,$E21&lt;EDATE(Y$3,1)),"▼",""))</f>
        <v/>
      </c>
      <c r="Z21" s="31" t="str">
        <f aca="false">IF(OR($AG21=0,Z$3=""),"",IF(AND(INDEX(工程マスタ!$I:$I,$AG21)="○",$E21&gt;=Z$3,$E21&lt;EDATE(Z$3,1)),"▼",""))</f>
        <v/>
      </c>
      <c r="AA21" s="31" t="str">
        <f aca="false">IF(OR($AG21=0,AA$3=""),"",IF(AND(INDEX(工程マスタ!$I:$I,$AG21)="○",$E21&gt;=AA$3,$E21&lt;EDATE(AA$3,1)),"▼",""))</f>
        <v/>
      </c>
      <c r="AB21" s="31" t="str">
        <f aca="false">IF(OR($AG21=0,AB$3=""),"",IF(AND(INDEX(工程マスタ!$I:$I,$AG21)="○",$E21&gt;=AB$3,$E21&lt;EDATE(AB$3,1)),"▼",""))</f>
        <v/>
      </c>
      <c r="AC21" s="31" t="str">
        <f aca="false">IF(OR($AG21=0,AC$3=""),"",IF(AND(INDEX(工程マスタ!$I:$I,$AG21)="○",$E21&gt;=AC$3,$E21&lt;EDATE(AC$3,1)),"▼",""))</f>
        <v/>
      </c>
      <c r="AD21" s="31" t="str">
        <f aca="false">IF(OR($AG21=0,AD$3=""),"",IF(AND(INDEX(工程マスタ!$I:$I,$AG21)="○",$E21&gt;=AD$3,$E21&lt;EDATE(AD$3,1)),"▼",""))</f>
        <v/>
      </c>
      <c r="AE21" s="31" t="str">
        <f aca="false">IF(OR($AG21=0,AE$3=""),"",IF(AND(INDEX(工程マスタ!$I:$I,$AG21)="○",$E21&gt;=AE$3,$E21&lt;EDATE(AE$3,1)),"▼",""))</f>
        <v/>
      </c>
      <c r="AG21" s="27" t="n">
        <f aca="false" t="array" ref="AG21:AG21">IFERROR(SMALL(IF(工程マスタ!$K$5:$K$154&gt;0,ROW(工程マスタ!$C$5:$C$154)),16),0)</f>
        <v>20</v>
      </c>
      <c r="AH21" s="27" t="n">
        <f aca="false">IF($AG21=0,0,INDEX(工程マスタ!$M:$M,$AG21))</f>
        <v>46293</v>
      </c>
    </row>
    <row r="22" customFormat="false" ht="15" hidden="false" customHeight="false" outlineLevel="0" collapsed="false">
      <c r="A22" s="28" t="n">
        <f aca="false">IF($AG22=0,"",IF(INDEX(工程マスタ!$A:$A,$AG22)="","",INDEX(工程マスタ!$A:$A,$AG22)))</f>
        <v>17</v>
      </c>
      <c r="B22" s="21" t="str">
        <f aca="false">IF($AG22=0,"",IF(INDEX(工程マスタ!$B:$B,$AG22)="","",INDEX(工程マスタ!$B:$B,$AG22)))</f>
        <v>マイルストーン</v>
      </c>
      <c r="C22" s="21" t="str">
        <f aca="false">IF($AG22=0,"",IF(INDEX(工程マスタ!$C:$C,$AG22)="","",INDEX(工程マスタ!$C:$C,$AG22)))</f>
        <v>上棟</v>
      </c>
      <c r="D22" s="21" t="str">
        <f aca="false">IF($AG22=0,"",IF(INDEX(工程マスタ!$D:$D,$AG22)="","",INDEX(工程マスタ!$D:$D,$AG22)))</f>
        <v/>
      </c>
      <c r="E22" s="29" t="n">
        <f aca="false">IF($AG22=0,"",IF(INDEX(工程マスタ!$E:$E,$AG22)="","",INDEX(工程マスタ!$E:$E,$AG22)))</f>
        <v>46318</v>
      </c>
      <c r="F22" s="29" t="n">
        <f aca="false">IF($AG22=0,"",IF(INDEX(工程マスタ!$F:$F,$AG22)="","",INDEX(工程マスタ!$F:$F,$AG22)))</f>
        <v>46318</v>
      </c>
      <c r="G22" s="30" t="str">
        <f aca="false">IF($AG22=0,"",IF(INDEX(工程マスタ!$H:$H,$AG22)="","",INDEX(工程マスタ!$H:$H,$AG22)))</f>
        <v/>
      </c>
      <c r="H22" s="31" t="str">
        <f aca="false">IF(OR($AG22=0,H$3=""),"",IF(AND(INDEX(工程マスタ!$I:$I,$AG22)="○",$E22&gt;=H$3,$E22&lt;EDATE(H$3,1)),"▼",""))</f>
        <v/>
      </c>
      <c r="I22" s="31" t="str">
        <f aca="false">IF(OR($AG22=0,I$3=""),"",IF(AND(INDEX(工程マスタ!$I:$I,$AG22)="○",$E22&gt;=I$3,$E22&lt;EDATE(I$3,1)),"▼",""))</f>
        <v/>
      </c>
      <c r="J22" s="31" t="str">
        <f aca="false">IF(OR($AG22=0,J$3=""),"",IF(AND(INDEX(工程マスタ!$I:$I,$AG22)="○",$E22&gt;=J$3,$E22&lt;EDATE(J$3,1)),"▼",""))</f>
        <v/>
      </c>
      <c r="K22" s="31" t="str">
        <f aca="false">IF(OR($AG22=0,K$3=""),"",IF(AND(INDEX(工程マスタ!$I:$I,$AG22)="○",$E22&gt;=K$3,$E22&lt;EDATE(K$3,1)),"▼",""))</f>
        <v>▼</v>
      </c>
      <c r="L22" s="31" t="str">
        <f aca="false">IF(OR($AG22=0,L$3=""),"",IF(AND(INDEX(工程マスタ!$I:$I,$AG22)="○",$E22&gt;=L$3,$E22&lt;EDATE(L$3,1)),"▼",""))</f>
        <v/>
      </c>
      <c r="M22" s="31" t="str">
        <f aca="false">IF(OR($AG22=0,M$3=""),"",IF(AND(INDEX(工程マスタ!$I:$I,$AG22)="○",$E22&gt;=M$3,$E22&lt;EDATE(M$3,1)),"▼",""))</f>
        <v/>
      </c>
      <c r="N22" s="31" t="str">
        <f aca="false">IF(OR($AG22=0,N$3=""),"",IF(AND(INDEX(工程マスタ!$I:$I,$AG22)="○",$E22&gt;=N$3,$E22&lt;EDATE(N$3,1)),"▼",""))</f>
        <v/>
      </c>
      <c r="O22" s="31" t="str">
        <f aca="false">IF(OR($AG22=0,O$3=""),"",IF(AND(INDEX(工程マスタ!$I:$I,$AG22)="○",$E22&gt;=O$3,$E22&lt;EDATE(O$3,1)),"▼",""))</f>
        <v/>
      </c>
      <c r="P22" s="31" t="str">
        <f aca="false">IF(OR($AG22=0,P$3=""),"",IF(AND(INDEX(工程マスタ!$I:$I,$AG22)="○",$E22&gt;=P$3,$E22&lt;EDATE(P$3,1)),"▼",""))</f>
        <v/>
      </c>
      <c r="Q22" s="31" t="str">
        <f aca="false">IF(OR($AG22=0,Q$3=""),"",IF(AND(INDEX(工程マスタ!$I:$I,$AG22)="○",$E22&gt;=Q$3,$E22&lt;EDATE(Q$3,1)),"▼",""))</f>
        <v/>
      </c>
      <c r="R22" s="31" t="str">
        <f aca="false">IF(OR($AG22=0,R$3=""),"",IF(AND(INDEX(工程マスタ!$I:$I,$AG22)="○",$E22&gt;=R$3,$E22&lt;EDATE(R$3,1)),"▼",""))</f>
        <v/>
      </c>
      <c r="S22" s="31" t="str">
        <f aca="false">IF(OR($AG22=0,S$3=""),"",IF(AND(INDEX(工程マスタ!$I:$I,$AG22)="○",$E22&gt;=S$3,$E22&lt;EDATE(S$3,1)),"▼",""))</f>
        <v/>
      </c>
      <c r="T22" s="31" t="str">
        <f aca="false">IF(OR($AG22=0,T$3=""),"",IF(AND(INDEX(工程マスタ!$I:$I,$AG22)="○",$E22&gt;=T$3,$E22&lt;EDATE(T$3,1)),"▼",""))</f>
        <v/>
      </c>
      <c r="U22" s="31" t="str">
        <f aca="false">IF(OR($AG22=0,U$3=""),"",IF(AND(INDEX(工程マスタ!$I:$I,$AG22)="○",$E22&gt;=U$3,$E22&lt;EDATE(U$3,1)),"▼",""))</f>
        <v/>
      </c>
      <c r="V22" s="31" t="str">
        <f aca="false">IF(OR($AG22=0,V$3=""),"",IF(AND(INDEX(工程マスタ!$I:$I,$AG22)="○",$E22&gt;=V$3,$E22&lt;EDATE(V$3,1)),"▼",""))</f>
        <v/>
      </c>
      <c r="W22" s="31" t="str">
        <f aca="false">IF(OR($AG22=0,W$3=""),"",IF(AND(INDEX(工程マスタ!$I:$I,$AG22)="○",$E22&gt;=W$3,$E22&lt;EDATE(W$3,1)),"▼",""))</f>
        <v/>
      </c>
      <c r="X22" s="31" t="str">
        <f aca="false">IF(OR($AG22=0,X$3=""),"",IF(AND(INDEX(工程マスタ!$I:$I,$AG22)="○",$E22&gt;=X$3,$E22&lt;EDATE(X$3,1)),"▼",""))</f>
        <v/>
      </c>
      <c r="Y22" s="31" t="str">
        <f aca="false">IF(OR($AG22=0,Y$3=""),"",IF(AND(INDEX(工程マスタ!$I:$I,$AG22)="○",$E22&gt;=Y$3,$E22&lt;EDATE(Y$3,1)),"▼",""))</f>
        <v/>
      </c>
      <c r="Z22" s="31" t="str">
        <f aca="false">IF(OR($AG22=0,Z$3=""),"",IF(AND(INDEX(工程マスタ!$I:$I,$AG22)="○",$E22&gt;=Z$3,$E22&lt;EDATE(Z$3,1)),"▼",""))</f>
        <v/>
      </c>
      <c r="AA22" s="31" t="str">
        <f aca="false">IF(OR($AG22=0,AA$3=""),"",IF(AND(INDEX(工程マスタ!$I:$I,$AG22)="○",$E22&gt;=AA$3,$E22&lt;EDATE(AA$3,1)),"▼",""))</f>
        <v/>
      </c>
      <c r="AB22" s="31" t="str">
        <f aca="false">IF(OR($AG22=0,AB$3=""),"",IF(AND(INDEX(工程マスタ!$I:$I,$AG22)="○",$E22&gt;=AB$3,$E22&lt;EDATE(AB$3,1)),"▼",""))</f>
        <v/>
      </c>
      <c r="AC22" s="31" t="str">
        <f aca="false">IF(OR($AG22=0,AC$3=""),"",IF(AND(INDEX(工程マスタ!$I:$I,$AG22)="○",$E22&gt;=AC$3,$E22&lt;EDATE(AC$3,1)),"▼",""))</f>
        <v/>
      </c>
      <c r="AD22" s="31" t="str">
        <f aca="false">IF(OR($AG22=0,AD$3=""),"",IF(AND(INDEX(工程マスタ!$I:$I,$AG22)="○",$E22&gt;=AD$3,$E22&lt;EDATE(AD$3,1)),"▼",""))</f>
        <v/>
      </c>
      <c r="AE22" s="31" t="str">
        <f aca="false">IF(OR($AG22=0,AE$3=""),"",IF(AND(INDEX(工程マスタ!$I:$I,$AG22)="○",$E22&gt;=AE$3,$E22&lt;EDATE(AE$3,1)),"▼",""))</f>
        <v/>
      </c>
      <c r="AG22" s="27" t="n">
        <f aca="false" t="array" ref="AG22:AG22">IFERROR(SMALL(IF(工程マスタ!$K$5:$K$154&gt;0,ROW(工程マスタ!$C$5:$C$154)),17),0)</f>
        <v>21</v>
      </c>
      <c r="AH22" s="32" t="n">
        <f aca="false">IF($AG22=0,0,INDEX(工程マスタ!$M:$M,$AG22))</f>
        <v>46318</v>
      </c>
    </row>
    <row r="23" customFormat="false" ht="15" hidden="false" customHeight="false" outlineLevel="0" collapsed="false">
      <c r="A23" s="28" t="n">
        <f aca="false">IF($AG23=0,"",IF(INDEX(工程マスタ!$A:$A,$AG23)="","",INDEX(工程マスタ!$A:$A,$AG23)))</f>
        <v>18</v>
      </c>
      <c r="B23" s="21" t="str">
        <f aca="false">IF($AG23=0,"",IF(INDEX(工程マスタ!$B:$B,$AG23)="","",INDEX(工程マスタ!$B:$B,$AG23)))</f>
        <v>躯体工事</v>
      </c>
      <c r="C23" s="21" t="str">
        <f aca="false">IF($AG23=0,"",IF(INDEX(工程マスタ!$C:$C,$AG23)="","",INDEX(工程マスタ!$C:$C,$AG23)))</f>
        <v>本締め・建入れ検査</v>
      </c>
      <c r="D23" s="21" t="str">
        <f aca="false">IF($AG23=0,"",IF(INDEX(工程マスタ!$D:$D,$AG23)="","",INDEX(工程マスタ!$D:$D,$AG23)))</f>
        <v>☆☆鉄工所</v>
      </c>
      <c r="E23" s="29" t="n">
        <f aca="false">IF($AG23=0,"",IF(INDEX(工程マスタ!$E:$E,$AG23)="","",INDEX(工程マスタ!$E:$E,$AG23)))</f>
        <v>46321</v>
      </c>
      <c r="F23" s="29" t="n">
        <f aca="false">IF($AG23=0,"",IF(INDEX(工程マスタ!$F:$F,$AG23)="","",INDEX(工程マスタ!$F:$F,$AG23)))</f>
        <v>46332</v>
      </c>
      <c r="G23" s="30" t="n">
        <f aca="false">IF($AG23=0,"",IF(INDEX(工程マスタ!$H:$H,$AG23)="","",INDEX(工程マスタ!$H:$H,$AG23)))</f>
        <v>0</v>
      </c>
      <c r="H23" s="31" t="str">
        <f aca="false">IF(OR($AG23=0,H$3=""),"",IF(AND(INDEX(工程マスタ!$I:$I,$AG23)="○",$E23&gt;=H$3,$E23&lt;EDATE(H$3,1)),"▼",""))</f>
        <v/>
      </c>
      <c r="I23" s="31" t="str">
        <f aca="false">IF(OR($AG23=0,I$3=""),"",IF(AND(INDEX(工程マスタ!$I:$I,$AG23)="○",$E23&gt;=I$3,$E23&lt;EDATE(I$3,1)),"▼",""))</f>
        <v/>
      </c>
      <c r="J23" s="31" t="str">
        <f aca="false">IF(OR($AG23=0,J$3=""),"",IF(AND(INDEX(工程マスタ!$I:$I,$AG23)="○",$E23&gt;=J$3,$E23&lt;EDATE(J$3,1)),"▼",""))</f>
        <v/>
      </c>
      <c r="K23" s="31" t="str">
        <f aca="false">IF(OR($AG23=0,K$3=""),"",IF(AND(INDEX(工程マスタ!$I:$I,$AG23)="○",$E23&gt;=K$3,$E23&lt;EDATE(K$3,1)),"▼",""))</f>
        <v/>
      </c>
      <c r="L23" s="31" t="str">
        <f aca="false">IF(OR($AG23=0,L$3=""),"",IF(AND(INDEX(工程マスタ!$I:$I,$AG23)="○",$E23&gt;=L$3,$E23&lt;EDATE(L$3,1)),"▼",""))</f>
        <v/>
      </c>
      <c r="M23" s="31" t="str">
        <f aca="false">IF(OR($AG23=0,M$3=""),"",IF(AND(INDEX(工程マスタ!$I:$I,$AG23)="○",$E23&gt;=M$3,$E23&lt;EDATE(M$3,1)),"▼",""))</f>
        <v/>
      </c>
      <c r="N23" s="31" t="str">
        <f aca="false">IF(OR($AG23=0,N$3=""),"",IF(AND(INDEX(工程マスタ!$I:$I,$AG23)="○",$E23&gt;=N$3,$E23&lt;EDATE(N$3,1)),"▼",""))</f>
        <v/>
      </c>
      <c r="O23" s="31" t="str">
        <f aca="false">IF(OR($AG23=0,O$3=""),"",IF(AND(INDEX(工程マスタ!$I:$I,$AG23)="○",$E23&gt;=O$3,$E23&lt;EDATE(O$3,1)),"▼",""))</f>
        <v/>
      </c>
      <c r="P23" s="31" t="str">
        <f aca="false">IF(OR($AG23=0,P$3=""),"",IF(AND(INDEX(工程マスタ!$I:$I,$AG23)="○",$E23&gt;=P$3,$E23&lt;EDATE(P$3,1)),"▼",""))</f>
        <v/>
      </c>
      <c r="Q23" s="31" t="str">
        <f aca="false">IF(OR($AG23=0,Q$3=""),"",IF(AND(INDEX(工程マスタ!$I:$I,$AG23)="○",$E23&gt;=Q$3,$E23&lt;EDATE(Q$3,1)),"▼",""))</f>
        <v/>
      </c>
      <c r="R23" s="31" t="str">
        <f aca="false">IF(OR($AG23=0,R$3=""),"",IF(AND(INDEX(工程マスタ!$I:$I,$AG23)="○",$E23&gt;=R$3,$E23&lt;EDATE(R$3,1)),"▼",""))</f>
        <v/>
      </c>
      <c r="S23" s="31" t="str">
        <f aca="false">IF(OR($AG23=0,S$3=""),"",IF(AND(INDEX(工程マスタ!$I:$I,$AG23)="○",$E23&gt;=S$3,$E23&lt;EDATE(S$3,1)),"▼",""))</f>
        <v/>
      </c>
      <c r="T23" s="31" t="str">
        <f aca="false">IF(OR($AG23=0,T$3=""),"",IF(AND(INDEX(工程マスタ!$I:$I,$AG23)="○",$E23&gt;=T$3,$E23&lt;EDATE(T$3,1)),"▼",""))</f>
        <v/>
      </c>
      <c r="U23" s="31" t="str">
        <f aca="false">IF(OR($AG23=0,U$3=""),"",IF(AND(INDEX(工程マスタ!$I:$I,$AG23)="○",$E23&gt;=U$3,$E23&lt;EDATE(U$3,1)),"▼",""))</f>
        <v/>
      </c>
      <c r="V23" s="31" t="str">
        <f aca="false">IF(OR($AG23=0,V$3=""),"",IF(AND(INDEX(工程マスタ!$I:$I,$AG23)="○",$E23&gt;=V$3,$E23&lt;EDATE(V$3,1)),"▼",""))</f>
        <v/>
      </c>
      <c r="W23" s="31" t="str">
        <f aca="false">IF(OR($AG23=0,W$3=""),"",IF(AND(INDEX(工程マスタ!$I:$I,$AG23)="○",$E23&gt;=W$3,$E23&lt;EDATE(W$3,1)),"▼",""))</f>
        <v/>
      </c>
      <c r="X23" s="31" t="str">
        <f aca="false">IF(OR($AG23=0,X$3=""),"",IF(AND(INDEX(工程マスタ!$I:$I,$AG23)="○",$E23&gt;=X$3,$E23&lt;EDATE(X$3,1)),"▼",""))</f>
        <v/>
      </c>
      <c r="Y23" s="31" t="str">
        <f aca="false">IF(OR($AG23=0,Y$3=""),"",IF(AND(INDEX(工程マスタ!$I:$I,$AG23)="○",$E23&gt;=Y$3,$E23&lt;EDATE(Y$3,1)),"▼",""))</f>
        <v/>
      </c>
      <c r="Z23" s="31" t="str">
        <f aca="false">IF(OR($AG23=0,Z$3=""),"",IF(AND(INDEX(工程マスタ!$I:$I,$AG23)="○",$E23&gt;=Z$3,$E23&lt;EDATE(Z$3,1)),"▼",""))</f>
        <v/>
      </c>
      <c r="AA23" s="31" t="str">
        <f aca="false">IF(OR($AG23=0,AA$3=""),"",IF(AND(INDEX(工程マスタ!$I:$I,$AG23)="○",$E23&gt;=AA$3,$E23&lt;EDATE(AA$3,1)),"▼",""))</f>
        <v/>
      </c>
      <c r="AB23" s="31" t="str">
        <f aca="false">IF(OR($AG23=0,AB$3=""),"",IF(AND(INDEX(工程マスタ!$I:$I,$AG23)="○",$E23&gt;=AB$3,$E23&lt;EDATE(AB$3,1)),"▼",""))</f>
        <v/>
      </c>
      <c r="AC23" s="31" t="str">
        <f aca="false">IF(OR($AG23=0,AC$3=""),"",IF(AND(INDEX(工程マスタ!$I:$I,$AG23)="○",$E23&gt;=AC$3,$E23&lt;EDATE(AC$3,1)),"▼",""))</f>
        <v/>
      </c>
      <c r="AD23" s="31" t="str">
        <f aca="false">IF(OR($AG23=0,AD$3=""),"",IF(AND(INDEX(工程マスタ!$I:$I,$AG23)="○",$E23&gt;=AD$3,$E23&lt;EDATE(AD$3,1)),"▼",""))</f>
        <v/>
      </c>
      <c r="AE23" s="31" t="str">
        <f aca="false">IF(OR($AG23=0,AE$3=""),"",IF(AND(INDEX(工程マスタ!$I:$I,$AG23)="○",$E23&gt;=AE$3,$E23&lt;EDATE(AE$3,1)),"▼",""))</f>
        <v/>
      </c>
      <c r="AG23" s="27" t="n">
        <f aca="false" t="array" ref="AG23:AG23">IFERROR(SMALL(IF(工程マスタ!$K$5:$K$154&gt;0,ROW(工程マスタ!$C$5:$C$154)),18),0)</f>
        <v>22</v>
      </c>
      <c r="AH23" s="27" t="n">
        <f aca="false">IF($AG23=0,0,INDEX(工程マスタ!$M:$M,$AG23))</f>
        <v>46321</v>
      </c>
    </row>
    <row r="24" customFormat="false" ht="15" hidden="false" customHeight="false" outlineLevel="0" collapsed="false">
      <c r="A24" s="28" t="n">
        <f aca="false">IF($AG24=0,"",IF(INDEX(工程マスタ!$A:$A,$AG24)="","",INDEX(工程マスタ!$A:$A,$AG24)))</f>
        <v>19</v>
      </c>
      <c r="B24" s="21" t="str">
        <f aca="false">IF($AG24=0,"",IF(INDEX(工程マスタ!$B:$B,$AG24)="","",INDEX(工程マスタ!$B:$B,$AG24)))</f>
        <v>躯体工事</v>
      </c>
      <c r="C24" s="21" t="str">
        <f aca="false">IF($AG24=0,"",IF(INDEX(工程マスタ!$C:$C,$AG24)="","",INDEX(工程マスタ!$C:$C,$AG24)))</f>
        <v>デッキ・スタッド溶接</v>
      </c>
      <c r="D24" s="21" t="str">
        <f aca="false">IF($AG24=0,"",IF(INDEX(工程マスタ!$D:$D,$AG24)="","",INDEX(工程マスタ!$D:$D,$AG24)))</f>
        <v>☆☆鉄工所</v>
      </c>
      <c r="E24" s="29" t="n">
        <f aca="false">IF($AG24=0,"",IF(INDEX(工程マスタ!$E:$E,$AG24)="","",INDEX(工程マスタ!$E:$E,$AG24)))</f>
        <v>46314</v>
      </c>
      <c r="F24" s="29" t="n">
        <f aca="false">IF($AG24=0,"",IF(INDEX(工程マスタ!$F:$F,$AG24)="","",INDEX(工程マスタ!$F:$F,$AG24)))</f>
        <v>46339</v>
      </c>
      <c r="G24" s="30" t="n">
        <f aca="false">IF($AG24=0,"",IF(INDEX(工程マスタ!$H:$H,$AG24)="","",INDEX(工程マスタ!$H:$H,$AG24)))</f>
        <v>0</v>
      </c>
      <c r="H24" s="31" t="str">
        <f aca="false">IF(OR($AG24=0,H$3=""),"",IF(AND(INDEX(工程マスタ!$I:$I,$AG24)="○",$E24&gt;=H$3,$E24&lt;EDATE(H$3,1)),"▼",""))</f>
        <v/>
      </c>
      <c r="I24" s="31" t="str">
        <f aca="false">IF(OR($AG24=0,I$3=""),"",IF(AND(INDEX(工程マスタ!$I:$I,$AG24)="○",$E24&gt;=I$3,$E24&lt;EDATE(I$3,1)),"▼",""))</f>
        <v/>
      </c>
      <c r="J24" s="31" t="str">
        <f aca="false">IF(OR($AG24=0,J$3=""),"",IF(AND(INDEX(工程マスタ!$I:$I,$AG24)="○",$E24&gt;=J$3,$E24&lt;EDATE(J$3,1)),"▼",""))</f>
        <v/>
      </c>
      <c r="K24" s="31" t="str">
        <f aca="false">IF(OR($AG24=0,K$3=""),"",IF(AND(INDEX(工程マスタ!$I:$I,$AG24)="○",$E24&gt;=K$3,$E24&lt;EDATE(K$3,1)),"▼",""))</f>
        <v/>
      </c>
      <c r="L24" s="31" t="str">
        <f aca="false">IF(OR($AG24=0,L$3=""),"",IF(AND(INDEX(工程マスタ!$I:$I,$AG24)="○",$E24&gt;=L$3,$E24&lt;EDATE(L$3,1)),"▼",""))</f>
        <v/>
      </c>
      <c r="M24" s="31" t="str">
        <f aca="false">IF(OR($AG24=0,M$3=""),"",IF(AND(INDEX(工程マスタ!$I:$I,$AG24)="○",$E24&gt;=M$3,$E24&lt;EDATE(M$3,1)),"▼",""))</f>
        <v/>
      </c>
      <c r="N24" s="31" t="str">
        <f aca="false">IF(OR($AG24=0,N$3=""),"",IF(AND(INDEX(工程マスタ!$I:$I,$AG24)="○",$E24&gt;=N$3,$E24&lt;EDATE(N$3,1)),"▼",""))</f>
        <v/>
      </c>
      <c r="O24" s="31" t="str">
        <f aca="false">IF(OR($AG24=0,O$3=""),"",IF(AND(INDEX(工程マスタ!$I:$I,$AG24)="○",$E24&gt;=O$3,$E24&lt;EDATE(O$3,1)),"▼",""))</f>
        <v/>
      </c>
      <c r="P24" s="31" t="str">
        <f aca="false">IF(OR($AG24=0,P$3=""),"",IF(AND(INDEX(工程マスタ!$I:$I,$AG24)="○",$E24&gt;=P$3,$E24&lt;EDATE(P$3,1)),"▼",""))</f>
        <v/>
      </c>
      <c r="Q24" s="31" t="str">
        <f aca="false">IF(OR($AG24=0,Q$3=""),"",IF(AND(INDEX(工程マスタ!$I:$I,$AG24)="○",$E24&gt;=Q$3,$E24&lt;EDATE(Q$3,1)),"▼",""))</f>
        <v/>
      </c>
      <c r="R24" s="31" t="str">
        <f aca="false">IF(OR($AG24=0,R$3=""),"",IF(AND(INDEX(工程マスタ!$I:$I,$AG24)="○",$E24&gt;=R$3,$E24&lt;EDATE(R$3,1)),"▼",""))</f>
        <v/>
      </c>
      <c r="S24" s="31" t="str">
        <f aca="false">IF(OR($AG24=0,S$3=""),"",IF(AND(INDEX(工程マスタ!$I:$I,$AG24)="○",$E24&gt;=S$3,$E24&lt;EDATE(S$3,1)),"▼",""))</f>
        <v/>
      </c>
      <c r="T24" s="31" t="str">
        <f aca="false">IF(OR($AG24=0,T$3=""),"",IF(AND(INDEX(工程マスタ!$I:$I,$AG24)="○",$E24&gt;=T$3,$E24&lt;EDATE(T$3,1)),"▼",""))</f>
        <v/>
      </c>
      <c r="U24" s="31" t="str">
        <f aca="false">IF(OR($AG24=0,U$3=""),"",IF(AND(INDEX(工程マスタ!$I:$I,$AG24)="○",$E24&gt;=U$3,$E24&lt;EDATE(U$3,1)),"▼",""))</f>
        <v/>
      </c>
      <c r="V24" s="31" t="str">
        <f aca="false">IF(OR($AG24=0,V$3=""),"",IF(AND(INDEX(工程マスタ!$I:$I,$AG24)="○",$E24&gt;=V$3,$E24&lt;EDATE(V$3,1)),"▼",""))</f>
        <v/>
      </c>
      <c r="W24" s="31" t="str">
        <f aca="false">IF(OR($AG24=0,W$3=""),"",IF(AND(INDEX(工程マスタ!$I:$I,$AG24)="○",$E24&gt;=W$3,$E24&lt;EDATE(W$3,1)),"▼",""))</f>
        <v/>
      </c>
      <c r="X24" s="31" t="str">
        <f aca="false">IF(OR($AG24=0,X$3=""),"",IF(AND(INDEX(工程マスタ!$I:$I,$AG24)="○",$E24&gt;=X$3,$E24&lt;EDATE(X$3,1)),"▼",""))</f>
        <v/>
      </c>
      <c r="Y24" s="31" t="str">
        <f aca="false">IF(OR($AG24=0,Y$3=""),"",IF(AND(INDEX(工程マスタ!$I:$I,$AG24)="○",$E24&gt;=Y$3,$E24&lt;EDATE(Y$3,1)),"▼",""))</f>
        <v/>
      </c>
      <c r="Z24" s="31" t="str">
        <f aca="false">IF(OR($AG24=0,Z$3=""),"",IF(AND(INDEX(工程マスタ!$I:$I,$AG24)="○",$E24&gt;=Z$3,$E24&lt;EDATE(Z$3,1)),"▼",""))</f>
        <v/>
      </c>
      <c r="AA24" s="31" t="str">
        <f aca="false">IF(OR($AG24=0,AA$3=""),"",IF(AND(INDEX(工程マスタ!$I:$I,$AG24)="○",$E24&gt;=AA$3,$E24&lt;EDATE(AA$3,1)),"▼",""))</f>
        <v/>
      </c>
      <c r="AB24" s="31" t="str">
        <f aca="false">IF(OR($AG24=0,AB$3=""),"",IF(AND(INDEX(工程マスタ!$I:$I,$AG24)="○",$E24&gt;=AB$3,$E24&lt;EDATE(AB$3,1)),"▼",""))</f>
        <v/>
      </c>
      <c r="AC24" s="31" t="str">
        <f aca="false">IF(OR($AG24=0,AC$3=""),"",IF(AND(INDEX(工程マスタ!$I:$I,$AG24)="○",$E24&gt;=AC$3,$E24&lt;EDATE(AC$3,1)),"▼",""))</f>
        <v/>
      </c>
      <c r="AD24" s="31" t="str">
        <f aca="false">IF(OR($AG24=0,AD$3=""),"",IF(AND(INDEX(工程マスタ!$I:$I,$AG24)="○",$E24&gt;=AD$3,$E24&lt;EDATE(AD$3,1)),"▼",""))</f>
        <v/>
      </c>
      <c r="AE24" s="31" t="str">
        <f aca="false">IF(OR($AG24=0,AE$3=""),"",IF(AND(INDEX(工程マスタ!$I:$I,$AG24)="○",$E24&gt;=AE$3,$E24&lt;EDATE(AE$3,1)),"▼",""))</f>
        <v/>
      </c>
      <c r="AG24" s="27" t="n">
        <f aca="false" t="array" ref="AG24:AG24">IFERROR(SMALL(IF(工程マスタ!$K$5:$K$154&gt;0,ROW(工程マスタ!$C$5:$C$154)),19),0)</f>
        <v>23</v>
      </c>
      <c r="AH24" s="27" t="n">
        <f aca="false">IF($AG24=0,0,INDEX(工程マスタ!$M:$M,$AG24))</f>
        <v>46314</v>
      </c>
    </row>
    <row r="25" customFormat="false" ht="15" hidden="false" customHeight="false" outlineLevel="0" collapsed="false">
      <c r="A25" s="28" t="n">
        <f aca="false">IF($AG25=0,"",IF(INDEX(工程マスタ!$A:$A,$AG25)="","",INDEX(工程マスタ!$A:$A,$AG25)))</f>
        <v>20</v>
      </c>
      <c r="B25" s="21" t="str">
        <f aca="false">IF($AG25=0,"",IF(INDEX(工程マスタ!$B:$B,$AG25)="","",INDEX(工程マスタ!$B:$B,$AG25)))</f>
        <v>躯体工事</v>
      </c>
      <c r="C25" s="21" t="str">
        <f aca="false">IF($AG25=0,"",IF(INDEX(工程マスタ!$C:$C,$AG25)="","",INDEX(工程マスタ!$C:$C,$AG25)))</f>
        <v>床コンクリート打設</v>
      </c>
      <c r="D25" s="21" t="str">
        <f aca="false">IF($AG25=0,"",IF(INDEX(工程マスタ!$D:$D,$AG25)="","",INDEX(工程マスタ!$D:$D,$AG25)))</f>
        <v>◇◇建設</v>
      </c>
      <c r="E25" s="29" t="n">
        <f aca="false">IF($AG25=0,"",IF(INDEX(工程マスタ!$E:$E,$AG25)="","",INDEX(工程マスタ!$E:$E,$AG25)))</f>
        <v>46335</v>
      </c>
      <c r="F25" s="29" t="n">
        <f aca="false">IF($AG25=0,"",IF(INDEX(工程マスタ!$F:$F,$AG25)="","",INDEX(工程マスタ!$F:$F,$AG25)))</f>
        <v>46353</v>
      </c>
      <c r="G25" s="30" t="n">
        <f aca="false">IF($AG25=0,"",IF(INDEX(工程マスタ!$H:$H,$AG25)="","",INDEX(工程マスタ!$H:$H,$AG25)))</f>
        <v>0</v>
      </c>
      <c r="H25" s="31" t="str">
        <f aca="false">IF(OR($AG25=0,H$3=""),"",IF(AND(INDEX(工程マスタ!$I:$I,$AG25)="○",$E25&gt;=H$3,$E25&lt;EDATE(H$3,1)),"▼",""))</f>
        <v/>
      </c>
      <c r="I25" s="31" t="str">
        <f aca="false">IF(OR($AG25=0,I$3=""),"",IF(AND(INDEX(工程マスタ!$I:$I,$AG25)="○",$E25&gt;=I$3,$E25&lt;EDATE(I$3,1)),"▼",""))</f>
        <v/>
      </c>
      <c r="J25" s="31" t="str">
        <f aca="false">IF(OR($AG25=0,J$3=""),"",IF(AND(INDEX(工程マスタ!$I:$I,$AG25)="○",$E25&gt;=J$3,$E25&lt;EDATE(J$3,1)),"▼",""))</f>
        <v/>
      </c>
      <c r="K25" s="31" t="str">
        <f aca="false">IF(OR($AG25=0,K$3=""),"",IF(AND(INDEX(工程マスタ!$I:$I,$AG25)="○",$E25&gt;=K$3,$E25&lt;EDATE(K$3,1)),"▼",""))</f>
        <v/>
      </c>
      <c r="L25" s="31" t="str">
        <f aca="false">IF(OR($AG25=0,L$3=""),"",IF(AND(INDEX(工程マスタ!$I:$I,$AG25)="○",$E25&gt;=L$3,$E25&lt;EDATE(L$3,1)),"▼",""))</f>
        <v/>
      </c>
      <c r="M25" s="31" t="str">
        <f aca="false">IF(OR($AG25=0,M$3=""),"",IF(AND(INDEX(工程マスタ!$I:$I,$AG25)="○",$E25&gt;=M$3,$E25&lt;EDATE(M$3,1)),"▼",""))</f>
        <v/>
      </c>
      <c r="N25" s="31" t="str">
        <f aca="false">IF(OR($AG25=0,N$3=""),"",IF(AND(INDEX(工程マスタ!$I:$I,$AG25)="○",$E25&gt;=N$3,$E25&lt;EDATE(N$3,1)),"▼",""))</f>
        <v/>
      </c>
      <c r="O25" s="31" t="str">
        <f aca="false">IF(OR($AG25=0,O$3=""),"",IF(AND(INDEX(工程マスタ!$I:$I,$AG25)="○",$E25&gt;=O$3,$E25&lt;EDATE(O$3,1)),"▼",""))</f>
        <v/>
      </c>
      <c r="P25" s="31" t="str">
        <f aca="false">IF(OR($AG25=0,P$3=""),"",IF(AND(INDEX(工程マスタ!$I:$I,$AG25)="○",$E25&gt;=P$3,$E25&lt;EDATE(P$3,1)),"▼",""))</f>
        <v/>
      </c>
      <c r="Q25" s="31" t="str">
        <f aca="false">IF(OR($AG25=0,Q$3=""),"",IF(AND(INDEX(工程マスタ!$I:$I,$AG25)="○",$E25&gt;=Q$3,$E25&lt;EDATE(Q$3,1)),"▼",""))</f>
        <v/>
      </c>
      <c r="R25" s="31" t="str">
        <f aca="false">IF(OR($AG25=0,R$3=""),"",IF(AND(INDEX(工程マスタ!$I:$I,$AG25)="○",$E25&gt;=R$3,$E25&lt;EDATE(R$3,1)),"▼",""))</f>
        <v/>
      </c>
      <c r="S25" s="31" t="str">
        <f aca="false">IF(OR($AG25=0,S$3=""),"",IF(AND(INDEX(工程マスタ!$I:$I,$AG25)="○",$E25&gt;=S$3,$E25&lt;EDATE(S$3,1)),"▼",""))</f>
        <v/>
      </c>
      <c r="T25" s="31" t="str">
        <f aca="false">IF(OR($AG25=0,T$3=""),"",IF(AND(INDEX(工程マスタ!$I:$I,$AG25)="○",$E25&gt;=T$3,$E25&lt;EDATE(T$3,1)),"▼",""))</f>
        <v/>
      </c>
      <c r="U25" s="31" t="str">
        <f aca="false">IF(OR($AG25=0,U$3=""),"",IF(AND(INDEX(工程マスタ!$I:$I,$AG25)="○",$E25&gt;=U$3,$E25&lt;EDATE(U$3,1)),"▼",""))</f>
        <v/>
      </c>
      <c r="V25" s="31" t="str">
        <f aca="false">IF(OR($AG25=0,V$3=""),"",IF(AND(INDEX(工程マスタ!$I:$I,$AG25)="○",$E25&gt;=V$3,$E25&lt;EDATE(V$3,1)),"▼",""))</f>
        <v/>
      </c>
      <c r="W25" s="31" t="str">
        <f aca="false">IF(OR($AG25=0,W$3=""),"",IF(AND(INDEX(工程マスタ!$I:$I,$AG25)="○",$E25&gt;=W$3,$E25&lt;EDATE(W$3,1)),"▼",""))</f>
        <v/>
      </c>
      <c r="X25" s="31" t="str">
        <f aca="false">IF(OR($AG25=0,X$3=""),"",IF(AND(INDEX(工程マスタ!$I:$I,$AG25)="○",$E25&gt;=X$3,$E25&lt;EDATE(X$3,1)),"▼",""))</f>
        <v/>
      </c>
      <c r="Y25" s="31" t="str">
        <f aca="false">IF(OR($AG25=0,Y$3=""),"",IF(AND(INDEX(工程マスタ!$I:$I,$AG25)="○",$E25&gt;=Y$3,$E25&lt;EDATE(Y$3,1)),"▼",""))</f>
        <v/>
      </c>
      <c r="Z25" s="31" t="str">
        <f aca="false">IF(OR($AG25=0,Z$3=""),"",IF(AND(INDEX(工程マスタ!$I:$I,$AG25)="○",$E25&gt;=Z$3,$E25&lt;EDATE(Z$3,1)),"▼",""))</f>
        <v/>
      </c>
      <c r="AA25" s="31" t="str">
        <f aca="false">IF(OR($AG25=0,AA$3=""),"",IF(AND(INDEX(工程マスタ!$I:$I,$AG25)="○",$E25&gt;=AA$3,$E25&lt;EDATE(AA$3,1)),"▼",""))</f>
        <v/>
      </c>
      <c r="AB25" s="31" t="str">
        <f aca="false">IF(OR($AG25=0,AB$3=""),"",IF(AND(INDEX(工程マスタ!$I:$I,$AG25)="○",$E25&gt;=AB$3,$E25&lt;EDATE(AB$3,1)),"▼",""))</f>
        <v/>
      </c>
      <c r="AC25" s="31" t="str">
        <f aca="false">IF(OR($AG25=0,AC$3=""),"",IF(AND(INDEX(工程マスタ!$I:$I,$AG25)="○",$E25&gt;=AC$3,$E25&lt;EDATE(AC$3,1)),"▼",""))</f>
        <v/>
      </c>
      <c r="AD25" s="31" t="str">
        <f aca="false">IF(OR($AG25=0,AD$3=""),"",IF(AND(INDEX(工程マスタ!$I:$I,$AG25)="○",$E25&gt;=AD$3,$E25&lt;EDATE(AD$3,1)),"▼",""))</f>
        <v/>
      </c>
      <c r="AE25" s="31" t="str">
        <f aca="false">IF(OR($AG25=0,AE$3=""),"",IF(AND(INDEX(工程マスタ!$I:$I,$AG25)="○",$E25&gt;=AE$3,$E25&lt;EDATE(AE$3,1)),"▼",""))</f>
        <v/>
      </c>
      <c r="AG25" s="27" t="n">
        <f aca="false" t="array" ref="AG25:AG25">IFERROR(SMALL(IF(工程マスタ!$K$5:$K$154&gt;0,ROW(工程マスタ!$C$5:$C$154)),20),0)</f>
        <v>24</v>
      </c>
      <c r="AH25" s="27" t="n">
        <f aca="false">IF($AG25=0,0,INDEX(工程マスタ!$M:$M,$AG25))</f>
        <v>46335</v>
      </c>
    </row>
    <row r="26" customFormat="false" ht="15" hidden="false" customHeight="false" outlineLevel="0" collapsed="false">
      <c r="A26" s="28" t="n">
        <f aca="false">IF($AG26=0,"",IF(INDEX(工程マスタ!$A:$A,$AG26)="","",INDEX(工程マスタ!$A:$A,$AG26)))</f>
        <v>21</v>
      </c>
      <c r="B26" s="21" t="str">
        <f aca="false">IF($AG26=0,"",IF(INDEX(工程マスタ!$B:$B,$AG26)="","",INDEX(工程マスタ!$B:$B,$AG26)))</f>
        <v>外装工事</v>
      </c>
      <c r="C26" s="21" t="str">
        <f aca="false">IF($AG26=0,"",IF(INDEX(工程マスタ!$C:$C,$AG26)="","",INDEX(工程マスタ!$C:$C,$AG26)))</f>
        <v>屋根・屋上防水</v>
      </c>
      <c r="D26" s="21" t="str">
        <f aca="false">IF($AG26=0,"",IF(INDEX(工程マスタ!$D:$D,$AG26)="","",INDEX(工程マスタ!$D:$D,$AG26)))</f>
        <v>●●防水</v>
      </c>
      <c r="E26" s="29" t="n">
        <f aca="false">IF($AG26=0,"",IF(INDEX(工程マスタ!$E:$E,$AG26)="","",INDEX(工程マスタ!$E:$E,$AG26)))</f>
        <v>46350</v>
      </c>
      <c r="F26" s="29" t="n">
        <f aca="false">IF($AG26=0,"",IF(INDEX(工程マスタ!$F:$F,$AG26)="","",INDEX(工程マスタ!$F:$F,$AG26)))</f>
        <v>46374</v>
      </c>
      <c r="G26" s="30" t="n">
        <f aca="false">IF($AG26=0,"",IF(INDEX(工程マスタ!$H:$H,$AG26)="","",INDEX(工程マスタ!$H:$H,$AG26)))</f>
        <v>0</v>
      </c>
      <c r="H26" s="31" t="str">
        <f aca="false">IF(OR($AG26=0,H$3=""),"",IF(AND(INDEX(工程マスタ!$I:$I,$AG26)="○",$E26&gt;=H$3,$E26&lt;EDATE(H$3,1)),"▼",""))</f>
        <v/>
      </c>
      <c r="I26" s="31" t="str">
        <f aca="false">IF(OR($AG26=0,I$3=""),"",IF(AND(INDEX(工程マスタ!$I:$I,$AG26)="○",$E26&gt;=I$3,$E26&lt;EDATE(I$3,1)),"▼",""))</f>
        <v/>
      </c>
      <c r="J26" s="31" t="str">
        <f aca="false">IF(OR($AG26=0,J$3=""),"",IF(AND(INDEX(工程マスタ!$I:$I,$AG26)="○",$E26&gt;=J$3,$E26&lt;EDATE(J$3,1)),"▼",""))</f>
        <v/>
      </c>
      <c r="K26" s="31" t="str">
        <f aca="false">IF(OR($AG26=0,K$3=""),"",IF(AND(INDEX(工程マスタ!$I:$I,$AG26)="○",$E26&gt;=K$3,$E26&lt;EDATE(K$3,1)),"▼",""))</f>
        <v/>
      </c>
      <c r="L26" s="31" t="str">
        <f aca="false">IF(OR($AG26=0,L$3=""),"",IF(AND(INDEX(工程マスタ!$I:$I,$AG26)="○",$E26&gt;=L$3,$E26&lt;EDATE(L$3,1)),"▼",""))</f>
        <v/>
      </c>
      <c r="M26" s="31" t="str">
        <f aca="false">IF(OR($AG26=0,M$3=""),"",IF(AND(INDEX(工程マスタ!$I:$I,$AG26)="○",$E26&gt;=M$3,$E26&lt;EDATE(M$3,1)),"▼",""))</f>
        <v/>
      </c>
      <c r="N26" s="31" t="str">
        <f aca="false">IF(OR($AG26=0,N$3=""),"",IF(AND(INDEX(工程マスタ!$I:$I,$AG26)="○",$E26&gt;=N$3,$E26&lt;EDATE(N$3,1)),"▼",""))</f>
        <v/>
      </c>
      <c r="O26" s="31" t="str">
        <f aca="false">IF(OR($AG26=0,O$3=""),"",IF(AND(INDEX(工程マスタ!$I:$I,$AG26)="○",$E26&gt;=O$3,$E26&lt;EDATE(O$3,1)),"▼",""))</f>
        <v/>
      </c>
      <c r="P26" s="31" t="str">
        <f aca="false">IF(OR($AG26=0,P$3=""),"",IF(AND(INDEX(工程マスタ!$I:$I,$AG26)="○",$E26&gt;=P$3,$E26&lt;EDATE(P$3,1)),"▼",""))</f>
        <v/>
      </c>
      <c r="Q26" s="31" t="str">
        <f aca="false">IF(OR($AG26=0,Q$3=""),"",IF(AND(INDEX(工程マスタ!$I:$I,$AG26)="○",$E26&gt;=Q$3,$E26&lt;EDATE(Q$3,1)),"▼",""))</f>
        <v/>
      </c>
      <c r="R26" s="31" t="str">
        <f aca="false">IF(OR($AG26=0,R$3=""),"",IF(AND(INDEX(工程マスタ!$I:$I,$AG26)="○",$E26&gt;=R$3,$E26&lt;EDATE(R$3,1)),"▼",""))</f>
        <v/>
      </c>
      <c r="S26" s="31" t="str">
        <f aca="false">IF(OR($AG26=0,S$3=""),"",IF(AND(INDEX(工程マスタ!$I:$I,$AG26)="○",$E26&gt;=S$3,$E26&lt;EDATE(S$3,1)),"▼",""))</f>
        <v/>
      </c>
      <c r="T26" s="31" t="str">
        <f aca="false">IF(OR($AG26=0,T$3=""),"",IF(AND(INDEX(工程マスタ!$I:$I,$AG26)="○",$E26&gt;=T$3,$E26&lt;EDATE(T$3,1)),"▼",""))</f>
        <v/>
      </c>
      <c r="U26" s="31" t="str">
        <f aca="false">IF(OR($AG26=0,U$3=""),"",IF(AND(INDEX(工程マスタ!$I:$I,$AG26)="○",$E26&gt;=U$3,$E26&lt;EDATE(U$3,1)),"▼",""))</f>
        <v/>
      </c>
      <c r="V26" s="31" t="str">
        <f aca="false">IF(OR($AG26=0,V$3=""),"",IF(AND(INDEX(工程マスタ!$I:$I,$AG26)="○",$E26&gt;=V$3,$E26&lt;EDATE(V$3,1)),"▼",""))</f>
        <v/>
      </c>
      <c r="W26" s="31" t="str">
        <f aca="false">IF(OR($AG26=0,W$3=""),"",IF(AND(INDEX(工程マスタ!$I:$I,$AG26)="○",$E26&gt;=W$3,$E26&lt;EDATE(W$3,1)),"▼",""))</f>
        <v/>
      </c>
      <c r="X26" s="31" t="str">
        <f aca="false">IF(OR($AG26=0,X$3=""),"",IF(AND(INDEX(工程マスタ!$I:$I,$AG26)="○",$E26&gt;=X$3,$E26&lt;EDATE(X$3,1)),"▼",""))</f>
        <v/>
      </c>
      <c r="Y26" s="31" t="str">
        <f aca="false">IF(OR($AG26=0,Y$3=""),"",IF(AND(INDEX(工程マスタ!$I:$I,$AG26)="○",$E26&gt;=Y$3,$E26&lt;EDATE(Y$3,1)),"▼",""))</f>
        <v/>
      </c>
      <c r="Z26" s="31" t="str">
        <f aca="false">IF(OR($AG26=0,Z$3=""),"",IF(AND(INDEX(工程マスタ!$I:$I,$AG26)="○",$E26&gt;=Z$3,$E26&lt;EDATE(Z$3,1)),"▼",""))</f>
        <v/>
      </c>
      <c r="AA26" s="31" t="str">
        <f aca="false">IF(OR($AG26=0,AA$3=""),"",IF(AND(INDEX(工程マスタ!$I:$I,$AG26)="○",$E26&gt;=AA$3,$E26&lt;EDATE(AA$3,1)),"▼",""))</f>
        <v/>
      </c>
      <c r="AB26" s="31" t="str">
        <f aca="false">IF(OR($AG26=0,AB$3=""),"",IF(AND(INDEX(工程マスタ!$I:$I,$AG26)="○",$E26&gt;=AB$3,$E26&lt;EDATE(AB$3,1)),"▼",""))</f>
        <v/>
      </c>
      <c r="AC26" s="31" t="str">
        <f aca="false">IF(OR($AG26=0,AC$3=""),"",IF(AND(INDEX(工程マスタ!$I:$I,$AG26)="○",$E26&gt;=AC$3,$E26&lt;EDATE(AC$3,1)),"▼",""))</f>
        <v/>
      </c>
      <c r="AD26" s="31" t="str">
        <f aca="false">IF(OR($AG26=0,AD$3=""),"",IF(AND(INDEX(工程マスタ!$I:$I,$AG26)="○",$E26&gt;=AD$3,$E26&lt;EDATE(AD$3,1)),"▼",""))</f>
        <v/>
      </c>
      <c r="AE26" s="31" t="str">
        <f aca="false">IF(OR($AG26=0,AE$3=""),"",IF(AND(INDEX(工程マスタ!$I:$I,$AG26)="○",$E26&gt;=AE$3,$E26&lt;EDATE(AE$3,1)),"▼",""))</f>
        <v/>
      </c>
      <c r="AG26" s="27" t="n">
        <f aca="false" t="array" ref="AG26:AG26">IFERROR(SMALL(IF(工程マスタ!$K$5:$K$154&gt;0,ROW(工程マスタ!$C$5:$C$154)),21),0)</f>
        <v>25</v>
      </c>
      <c r="AH26" s="27" t="n">
        <f aca="false">IF($AG26=0,0,INDEX(工程マスタ!$M:$M,$AG26))</f>
        <v>46350</v>
      </c>
    </row>
    <row r="27" customFormat="false" ht="15" hidden="false" customHeight="false" outlineLevel="0" collapsed="false">
      <c r="A27" s="28" t="n">
        <f aca="false">IF($AG27=0,"",IF(INDEX(工程マスタ!$A:$A,$AG27)="","",INDEX(工程マスタ!$A:$A,$AG27)))</f>
        <v>22</v>
      </c>
      <c r="B27" s="21" t="str">
        <f aca="false">IF($AG27=0,"",IF(INDEX(工程マスタ!$B:$B,$AG27)="","",INDEX(工程マスタ!$B:$B,$AG27)))</f>
        <v>外装工事</v>
      </c>
      <c r="C27" s="21" t="str">
        <f aca="false">IF($AG27=0,"",IF(INDEX(工程マスタ!$C:$C,$AG27)="","",INDEX(工程マスタ!$C:$C,$AG27)))</f>
        <v>外壁下地・胴縁</v>
      </c>
      <c r="D27" s="21" t="str">
        <f aca="false">IF($AG27=0,"",IF(INDEX(工程マスタ!$D:$D,$AG27)="","",INDEX(工程マスタ!$D:$D,$AG27)))</f>
        <v>■■外装</v>
      </c>
      <c r="E27" s="29" t="n">
        <f aca="false">IF($AG27=0,"",IF(INDEX(工程マスタ!$E:$E,$AG27)="","",INDEX(工程マスタ!$E:$E,$AG27)))</f>
        <v>46342</v>
      </c>
      <c r="F27" s="29" t="n">
        <f aca="false">IF($AG27=0,"",IF(INDEX(工程マスタ!$F:$F,$AG27)="","",INDEX(工程マスタ!$F:$F,$AG27)))</f>
        <v>46360</v>
      </c>
      <c r="G27" s="30" t="n">
        <f aca="false">IF($AG27=0,"",IF(INDEX(工程マスタ!$H:$H,$AG27)="","",INDEX(工程マスタ!$H:$H,$AG27)))</f>
        <v>0</v>
      </c>
      <c r="H27" s="31" t="str">
        <f aca="false">IF(OR($AG27=0,H$3=""),"",IF(AND(INDEX(工程マスタ!$I:$I,$AG27)="○",$E27&gt;=H$3,$E27&lt;EDATE(H$3,1)),"▼",""))</f>
        <v/>
      </c>
      <c r="I27" s="31" t="str">
        <f aca="false">IF(OR($AG27=0,I$3=""),"",IF(AND(INDEX(工程マスタ!$I:$I,$AG27)="○",$E27&gt;=I$3,$E27&lt;EDATE(I$3,1)),"▼",""))</f>
        <v/>
      </c>
      <c r="J27" s="31" t="str">
        <f aca="false">IF(OR($AG27=0,J$3=""),"",IF(AND(INDEX(工程マスタ!$I:$I,$AG27)="○",$E27&gt;=J$3,$E27&lt;EDATE(J$3,1)),"▼",""))</f>
        <v/>
      </c>
      <c r="K27" s="31" t="str">
        <f aca="false">IF(OR($AG27=0,K$3=""),"",IF(AND(INDEX(工程マスタ!$I:$I,$AG27)="○",$E27&gt;=K$3,$E27&lt;EDATE(K$3,1)),"▼",""))</f>
        <v/>
      </c>
      <c r="L27" s="31" t="str">
        <f aca="false">IF(OR($AG27=0,L$3=""),"",IF(AND(INDEX(工程マスタ!$I:$I,$AG27)="○",$E27&gt;=L$3,$E27&lt;EDATE(L$3,1)),"▼",""))</f>
        <v/>
      </c>
      <c r="M27" s="31" t="str">
        <f aca="false">IF(OR($AG27=0,M$3=""),"",IF(AND(INDEX(工程マスタ!$I:$I,$AG27)="○",$E27&gt;=M$3,$E27&lt;EDATE(M$3,1)),"▼",""))</f>
        <v/>
      </c>
      <c r="N27" s="31" t="str">
        <f aca="false">IF(OR($AG27=0,N$3=""),"",IF(AND(INDEX(工程マスタ!$I:$I,$AG27)="○",$E27&gt;=N$3,$E27&lt;EDATE(N$3,1)),"▼",""))</f>
        <v/>
      </c>
      <c r="O27" s="31" t="str">
        <f aca="false">IF(OR($AG27=0,O$3=""),"",IF(AND(INDEX(工程マスタ!$I:$I,$AG27)="○",$E27&gt;=O$3,$E27&lt;EDATE(O$3,1)),"▼",""))</f>
        <v/>
      </c>
      <c r="P27" s="31" t="str">
        <f aca="false">IF(OR($AG27=0,P$3=""),"",IF(AND(INDEX(工程マスタ!$I:$I,$AG27)="○",$E27&gt;=P$3,$E27&lt;EDATE(P$3,1)),"▼",""))</f>
        <v/>
      </c>
      <c r="Q27" s="31" t="str">
        <f aca="false">IF(OR($AG27=0,Q$3=""),"",IF(AND(INDEX(工程マスタ!$I:$I,$AG27)="○",$E27&gt;=Q$3,$E27&lt;EDATE(Q$3,1)),"▼",""))</f>
        <v/>
      </c>
      <c r="R27" s="31" t="str">
        <f aca="false">IF(OR($AG27=0,R$3=""),"",IF(AND(INDEX(工程マスタ!$I:$I,$AG27)="○",$E27&gt;=R$3,$E27&lt;EDATE(R$3,1)),"▼",""))</f>
        <v/>
      </c>
      <c r="S27" s="31" t="str">
        <f aca="false">IF(OR($AG27=0,S$3=""),"",IF(AND(INDEX(工程マスタ!$I:$I,$AG27)="○",$E27&gt;=S$3,$E27&lt;EDATE(S$3,1)),"▼",""))</f>
        <v/>
      </c>
      <c r="T27" s="31" t="str">
        <f aca="false">IF(OR($AG27=0,T$3=""),"",IF(AND(INDEX(工程マスタ!$I:$I,$AG27)="○",$E27&gt;=T$3,$E27&lt;EDATE(T$3,1)),"▼",""))</f>
        <v/>
      </c>
      <c r="U27" s="31" t="str">
        <f aca="false">IF(OR($AG27=0,U$3=""),"",IF(AND(INDEX(工程マスタ!$I:$I,$AG27)="○",$E27&gt;=U$3,$E27&lt;EDATE(U$3,1)),"▼",""))</f>
        <v/>
      </c>
      <c r="V27" s="31" t="str">
        <f aca="false">IF(OR($AG27=0,V$3=""),"",IF(AND(INDEX(工程マスタ!$I:$I,$AG27)="○",$E27&gt;=V$3,$E27&lt;EDATE(V$3,1)),"▼",""))</f>
        <v/>
      </c>
      <c r="W27" s="31" t="str">
        <f aca="false">IF(OR($AG27=0,W$3=""),"",IF(AND(INDEX(工程マスタ!$I:$I,$AG27)="○",$E27&gt;=W$3,$E27&lt;EDATE(W$3,1)),"▼",""))</f>
        <v/>
      </c>
      <c r="X27" s="31" t="str">
        <f aca="false">IF(OR($AG27=0,X$3=""),"",IF(AND(INDEX(工程マスタ!$I:$I,$AG27)="○",$E27&gt;=X$3,$E27&lt;EDATE(X$3,1)),"▼",""))</f>
        <v/>
      </c>
      <c r="Y27" s="31" t="str">
        <f aca="false">IF(OR($AG27=0,Y$3=""),"",IF(AND(INDEX(工程マスタ!$I:$I,$AG27)="○",$E27&gt;=Y$3,$E27&lt;EDATE(Y$3,1)),"▼",""))</f>
        <v/>
      </c>
      <c r="Z27" s="31" t="str">
        <f aca="false">IF(OR($AG27=0,Z$3=""),"",IF(AND(INDEX(工程マスタ!$I:$I,$AG27)="○",$E27&gt;=Z$3,$E27&lt;EDATE(Z$3,1)),"▼",""))</f>
        <v/>
      </c>
      <c r="AA27" s="31" t="str">
        <f aca="false">IF(OR($AG27=0,AA$3=""),"",IF(AND(INDEX(工程マスタ!$I:$I,$AG27)="○",$E27&gt;=AA$3,$E27&lt;EDATE(AA$3,1)),"▼",""))</f>
        <v/>
      </c>
      <c r="AB27" s="31" t="str">
        <f aca="false">IF(OR($AG27=0,AB$3=""),"",IF(AND(INDEX(工程マスタ!$I:$I,$AG27)="○",$E27&gt;=AB$3,$E27&lt;EDATE(AB$3,1)),"▼",""))</f>
        <v/>
      </c>
      <c r="AC27" s="31" t="str">
        <f aca="false">IF(OR($AG27=0,AC$3=""),"",IF(AND(INDEX(工程マスタ!$I:$I,$AG27)="○",$E27&gt;=AC$3,$E27&lt;EDATE(AC$3,1)),"▼",""))</f>
        <v/>
      </c>
      <c r="AD27" s="31" t="str">
        <f aca="false">IF(OR($AG27=0,AD$3=""),"",IF(AND(INDEX(工程マスタ!$I:$I,$AG27)="○",$E27&gt;=AD$3,$E27&lt;EDATE(AD$3,1)),"▼",""))</f>
        <v/>
      </c>
      <c r="AE27" s="31" t="str">
        <f aca="false">IF(OR($AG27=0,AE$3=""),"",IF(AND(INDEX(工程マスタ!$I:$I,$AG27)="○",$E27&gt;=AE$3,$E27&lt;EDATE(AE$3,1)),"▼",""))</f>
        <v/>
      </c>
      <c r="AG27" s="27" t="n">
        <f aca="false" t="array" ref="AG27:AG27">IFERROR(SMALL(IF(工程マスタ!$K$5:$K$154&gt;0,ROW(工程マスタ!$C$5:$C$154)),22),0)</f>
        <v>26</v>
      </c>
      <c r="AH27" s="27" t="n">
        <f aca="false">IF($AG27=0,0,INDEX(工程マスタ!$M:$M,$AG27))</f>
        <v>46342</v>
      </c>
    </row>
    <row r="28" customFormat="false" ht="15" hidden="false" customHeight="false" outlineLevel="0" collapsed="false">
      <c r="A28" s="28" t="n">
        <f aca="false">IF($AG28=0,"",IF(INDEX(工程マスタ!$A:$A,$AG28)="","",INDEX(工程マスタ!$A:$A,$AG28)))</f>
        <v>23</v>
      </c>
      <c r="B28" s="21" t="str">
        <f aca="false">IF($AG28=0,"",IF(INDEX(工程マスタ!$B:$B,$AG28)="","",INDEX(工程マスタ!$B:$B,$AG28)))</f>
        <v>外装工事</v>
      </c>
      <c r="C28" s="21" t="str">
        <f aca="false">IF($AG28=0,"",IF(INDEX(工程マスタ!$C:$C,$AG28)="","",INDEX(工程マスタ!$C:$C,$AG28)))</f>
        <v>外壁パネル(ALC)取付</v>
      </c>
      <c r="D28" s="21" t="str">
        <f aca="false">IF($AG28=0,"",IF(INDEX(工程マスタ!$D:$D,$AG28)="","",INDEX(工程マスタ!$D:$D,$AG28)))</f>
        <v>■■外装</v>
      </c>
      <c r="E28" s="29" t="n">
        <f aca="false">IF($AG28=0,"",IF(INDEX(工程マスタ!$E:$E,$AG28)="","",INDEX(工程マスタ!$E:$E,$AG28)))</f>
        <v>46356</v>
      </c>
      <c r="F28" s="29" t="n">
        <f aca="false">IF($AG28=0,"",IF(INDEX(工程マスタ!$F:$F,$AG28)="","",INDEX(工程マスタ!$F:$F,$AG28)))</f>
        <v>46381</v>
      </c>
      <c r="G28" s="30" t="n">
        <f aca="false">IF($AG28=0,"",IF(INDEX(工程マスタ!$H:$H,$AG28)="","",INDEX(工程マスタ!$H:$H,$AG28)))</f>
        <v>0</v>
      </c>
      <c r="H28" s="31" t="str">
        <f aca="false">IF(OR($AG28=0,H$3=""),"",IF(AND(INDEX(工程マスタ!$I:$I,$AG28)="○",$E28&gt;=H$3,$E28&lt;EDATE(H$3,1)),"▼",""))</f>
        <v/>
      </c>
      <c r="I28" s="31" t="str">
        <f aca="false">IF(OR($AG28=0,I$3=""),"",IF(AND(INDEX(工程マスタ!$I:$I,$AG28)="○",$E28&gt;=I$3,$E28&lt;EDATE(I$3,1)),"▼",""))</f>
        <v/>
      </c>
      <c r="J28" s="31" t="str">
        <f aca="false">IF(OR($AG28=0,J$3=""),"",IF(AND(INDEX(工程マスタ!$I:$I,$AG28)="○",$E28&gt;=J$3,$E28&lt;EDATE(J$3,1)),"▼",""))</f>
        <v/>
      </c>
      <c r="K28" s="31" t="str">
        <f aca="false">IF(OR($AG28=0,K$3=""),"",IF(AND(INDEX(工程マスタ!$I:$I,$AG28)="○",$E28&gt;=K$3,$E28&lt;EDATE(K$3,1)),"▼",""))</f>
        <v/>
      </c>
      <c r="L28" s="31" t="str">
        <f aca="false">IF(OR($AG28=0,L$3=""),"",IF(AND(INDEX(工程マスタ!$I:$I,$AG28)="○",$E28&gt;=L$3,$E28&lt;EDATE(L$3,1)),"▼",""))</f>
        <v/>
      </c>
      <c r="M28" s="31" t="str">
        <f aca="false">IF(OR($AG28=0,M$3=""),"",IF(AND(INDEX(工程マスタ!$I:$I,$AG28)="○",$E28&gt;=M$3,$E28&lt;EDATE(M$3,1)),"▼",""))</f>
        <v/>
      </c>
      <c r="N28" s="31" t="str">
        <f aca="false">IF(OR($AG28=0,N$3=""),"",IF(AND(INDEX(工程マスタ!$I:$I,$AG28)="○",$E28&gt;=N$3,$E28&lt;EDATE(N$3,1)),"▼",""))</f>
        <v/>
      </c>
      <c r="O28" s="31" t="str">
        <f aca="false">IF(OR($AG28=0,O$3=""),"",IF(AND(INDEX(工程マスタ!$I:$I,$AG28)="○",$E28&gt;=O$3,$E28&lt;EDATE(O$3,1)),"▼",""))</f>
        <v/>
      </c>
      <c r="P28" s="31" t="str">
        <f aca="false">IF(OR($AG28=0,P$3=""),"",IF(AND(INDEX(工程マスタ!$I:$I,$AG28)="○",$E28&gt;=P$3,$E28&lt;EDATE(P$3,1)),"▼",""))</f>
        <v/>
      </c>
      <c r="Q28" s="31" t="str">
        <f aca="false">IF(OR($AG28=0,Q$3=""),"",IF(AND(INDEX(工程マスタ!$I:$I,$AG28)="○",$E28&gt;=Q$3,$E28&lt;EDATE(Q$3,1)),"▼",""))</f>
        <v/>
      </c>
      <c r="R28" s="31" t="str">
        <f aca="false">IF(OR($AG28=0,R$3=""),"",IF(AND(INDEX(工程マスタ!$I:$I,$AG28)="○",$E28&gt;=R$3,$E28&lt;EDATE(R$3,1)),"▼",""))</f>
        <v/>
      </c>
      <c r="S28" s="31" t="str">
        <f aca="false">IF(OR($AG28=0,S$3=""),"",IF(AND(INDEX(工程マスタ!$I:$I,$AG28)="○",$E28&gt;=S$3,$E28&lt;EDATE(S$3,1)),"▼",""))</f>
        <v/>
      </c>
      <c r="T28" s="31" t="str">
        <f aca="false">IF(OR($AG28=0,T$3=""),"",IF(AND(INDEX(工程マスタ!$I:$I,$AG28)="○",$E28&gt;=T$3,$E28&lt;EDATE(T$3,1)),"▼",""))</f>
        <v/>
      </c>
      <c r="U28" s="31" t="str">
        <f aca="false">IF(OR($AG28=0,U$3=""),"",IF(AND(INDEX(工程マスタ!$I:$I,$AG28)="○",$E28&gt;=U$3,$E28&lt;EDATE(U$3,1)),"▼",""))</f>
        <v/>
      </c>
      <c r="V28" s="31" t="str">
        <f aca="false">IF(OR($AG28=0,V$3=""),"",IF(AND(INDEX(工程マスタ!$I:$I,$AG28)="○",$E28&gt;=V$3,$E28&lt;EDATE(V$3,1)),"▼",""))</f>
        <v/>
      </c>
      <c r="W28" s="31" t="str">
        <f aca="false">IF(OR($AG28=0,W$3=""),"",IF(AND(INDEX(工程マスタ!$I:$I,$AG28)="○",$E28&gt;=W$3,$E28&lt;EDATE(W$3,1)),"▼",""))</f>
        <v/>
      </c>
      <c r="X28" s="31" t="str">
        <f aca="false">IF(OR($AG28=0,X$3=""),"",IF(AND(INDEX(工程マスタ!$I:$I,$AG28)="○",$E28&gt;=X$3,$E28&lt;EDATE(X$3,1)),"▼",""))</f>
        <v/>
      </c>
      <c r="Y28" s="31" t="str">
        <f aca="false">IF(OR($AG28=0,Y$3=""),"",IF(AND(INDEX(工程マスタ!$I:$I,$AG28)="○",$E28&gt;=Y$3,$E28&lt;EDATE(Y$3,1)),"▼",""))</f>
        <v/>
      </c>
      <c r="Z28" s="31" t="str">
        <f aca="false">IF(OR($AG28=0,Z$3=""),"",IF(AND(INDEX(工程マスタ!$I:$I,$AG28)="○",$E28&gt;=Z$3,$E28&lt;EDATE(Z$3,1)),"▼",""))</f>
        <v/>
      </c>
      <c r="AA28" s="31" t="str">
        <f aca="false">IF(OR($AG28=0,AA$3=""),"",IF(AND(INDEX(工程マスタ!$I:$I,$AG28)="○",$E28&gt;=AA$3,$E28&lt;EDATE(AA$3,1)),"▼",""))</f>
        <v/>
      </c>
      <c r="AB28" s="31" t="str">
        <f aca="false">IF(OR($AG28=0,AB$3=""),"",IF(AND(INDEX(工程マスタ!$I:$I,$AG28)="○",$E28&gt;=AB$3,$E28&lt;EDATE(AB$3,1)),"▼",""))</f>
        <v/>
      </c>
      <c r="AC28" s="31" t="str">
        <f aca="false">IF(OR($AG28=0,AC$3=""),"",IF(AND(INDEX(工程マスタ!$I:$I,$AG28)="○",$E28&gt;=AC$3,$E28&lt;EDATE(AC$3,1)),"▼",""))</f>
        <v/>
      </c>
      <c r="AD28" s="31" t="str">
        <f aca="false">IF(OR($AG28=0,AD$3=""),"",IF(AND(INDEX(工程マスタ!$I:$I,$AG28)="○",$E28&gt;=AD$3,$E28&lt;EDATE(AD$3,1)),"▼",""))</f>
        <v/>
      </c>
      <c r="AE28" s="31" t="str">
        <f aca="false">IF(OR($AG28=0,AE$3=""),"",IF(AND(INDEX(工程マスタ!$I:$I,$AG28)="○",$E28&gt;=AE$3,$E28&lt;EDATE(AE$3,1)),"▼",""))</f>
        <v/>
      </c>
      <c r="AG28" s="27" t="n">
        <f aca="false" t="array" ref="AG28:AG28">IFERROR(SMALL(IF(工程マスタ!$K$5:$K$154&gt;0,ROW(工程マスタ!$C$5:$C$154)),23),0)</f>
        <v>27</v>
      </c>
      <c r="AH28" s="27" t="n">
        <f aca="false">IF($AG28=0,0,INDEX(工程マスタ!$M:$M,$AG28))</f>
        <v>46356</v>
      </c>
    </row>
    <row r="29" customFormat="false" ht="15" hidden="false" customHeight="false" outlineLevel="0" collapsed="false">
      <c r="A29" s="28" t="n">
        <f aca="false">IF($AG29=0,"",IF(INDEX(工程マスタ!$A:$A,$AG29)="","",INDEX(工程マスタ!$A:$A,$AG29)))</f>
        <v>24</v>
      </c>
      <c r="B29" s="21" t="str">
        <f aca="false">IF($AG29=0,"",IF(INDEX(工程マスタ!$B:$B,$AG29)="","",INDEX(工程マスタ!$B:$B,$AG29)))</f>
        <v>外装工事</v>
      </c>
      <c r="C29" s="21" t="str">
        <f aca="false">IF($AG29=0,"",IF(INDEX(工程マスタ!$C:$C,$AG29)="","",INDEX(工程マスタ!$C:$C,$AG29)))</f>
        <v>サッシ・外部建具取付</v>
      </c>
      <c r="D29" s="21" t="str">
        <f aca="false">IF($AG29=0,"",IF(INDEX(工程マスタ!$D:$D,$AG29)="","",INDEX(工程マスタ!$D:$D,$AG29)))</f>
        <v>▽▽サッシ</v>
      </c>
      <c r="E29" s="29" t="n">
        <f aca="false">IF($AG29=0,"",IF(INDEX(工程マスタ!$E:$E,$AG29)="","",INDEX(工程マスタ!$E:$E,$AG29)))</f>
        <v>46370</v>
      </c>
      <c r="F29" s="29" t="n">
        <f aca="false">IF($AG29=0,"",IF(INDEX(工程マスタ!$F:$F,$AG29)="","",INDEX(工程マスタ!$F:$F,$AG29)))</f>
        <v>46395</v>
      </c>
      <c r="G29" s="30" t="n">
        <f aca="false">IF($AG29=0,"",IF(INDEX(工程マスタ!$H:$H,$AG29)="","",INDEX(工程マスタ!$H:$H,$AG29)))</f>
        <v>0</v>
      </c>
      <c r="H29" s="31" t="str">
        <f aca="false">IF(OR($AG29=0,H$3=""),"",IF(AND(INDEX(工程マスタ!$I:$I,$AG29)="○",$E29&gt;=H$3,$E29&lt;EDATE(H$3,1)),"▼",""))</f>
        <v/>
      </c>
      <c r="I29" s="31" t="str">
        <f aca="false">IF(OR($AG29=0,I$3=""),"",IF(AND(INDEX(工程マスタ!$I:$I,$AG29)="○",$E29&gt;=I$3,$E29&lt;EDATE(I$3,1)),"▼",""))</f>
        <v/>
      </c>
      <c r="J29" s="31" t="str">
        <f aca="false">IF(OR($AG29=0,J$3=""),"",IF(AND(INDEX(工程マスタ!$I:$I,$AG29)="○",$E29&gt;=J$3,$E29&lt;EDATE(J$3,1)),"▼",""))</f>
        <v/>
      </c>
      <c r="K29" s="31" t="str">
        <f aca="false">IF(OR($AG29=0,K$3=""),"",IF(AND(INDEX(工程マスタ!$I:$I,$AG29)="○",$E29&gt;=K$3,$E29&lt;EDATE(K$3,1)),"▼",""))</f>
        <v/>
      </c>
      <c r="L29" s="31" t="str">
        <f aca="false">IF(OR($AG29=0,L$3=""),"",IF(AND(INDEX(工程マスタ!$I:$I,$AG29)="○",$E29&gt;=L$3,$E29&lt;EDATE(L$3,1)),"▼",""))</f>
        <v/>
      </c>
      <c r="M29" s="31" t="str">
        <f aca="false">IF(OR($AG29=0,M$3=""),"",IF(AND(INDEX(工程マスタ!$I:$I,$AG29)="○",$E29&gt;=M$3,$E29&lt;EDATE(M$3,1)),"▼",""))</f>
        <v/>
      </c>
      <c r="N29" s="31" t="str">
        <f aca="false">IF(OR($AG29=0,N$3=""),"",IF(AND(INDEX(工程マスタ!$I:$I,$AG29)="○",$E29&gt;=N$3,$E29&lt;EDATE(N$3,1)),"▼",""))</f>
        <v/>
      </c>
      <c r="O29" s="31" t="str">
        <f aca="false">IF(OR($AG29=0,O$3=""),"",IF(AND(INDEX(工程マスタ!$I:$I,$AG29)="○",$E29&gt;=O$3,$E29&lt;EDATE(O$3,1)),"▼",""))</f>
        <v/>
      </c>
      <c r="P29" s="31" t="str">
        <f aca="false">IF(OR($AG29=0,P$3=""),"",IF(AND(INDEX(工程マスタ!$I:$I,$AG29)="○",$E29&gt;=P$3,$E29&lt;EDATE(P$3,1)),"▼",""))</f>
        <v/>
      </c>
      <c r="Q29" s="31" t="str">
        <f aca="false">IF(OR($AG29=0,Q$3=""),"",IF(AND(INDEX(工程マスタ!$I:$I,$AG29)="○",$E29&gt;=Q$3,$E29&lt;EDATE(Q$3,1)),"▼",""))</f>
        <v/>
      </c>
      <c r="R29" s="31" t="str">
        <f aca="false">IF(OR($AG29=0,R$3=""),"",IF(AND(INDEX(工程マスタ!$I:$I,$AG29)="○",$E29&gt;=R$3,$E29&lt;EDATE(R$3,1)),"▼",""))</f>
        <v/>
      </c>
      <c r="S29" s="31" t="str">
        <f aca="false">IF(OR($AG29=0,S$3=""),"",IF(AND(INDEX(工程マスタ!$I:$I,$AG29)="○",$E29&gt;=S$3,$E29&lt;EDATE(S$3,1)),"▼",""))</f>
        <v/>
      </c>
      <c r="T29" s="31" t="str">
        <f aca="false">IF(OR($AG29=0,T$3=""),"",IF(AND(INDEX(工程マスタ!$I:$I,$AG29)="○",$E29&gt;=T$3,$E29&lt;EDATE(T$3,1)),"▼",""))</f>
        <v/>
      </c>
      <c r="U29" s="31" t="str">
        <f aca="false">IF(OR($AG29=0,U$3=""),"",IF(AND(INDEX(工程マスタ!$I:$I,$AG29)="○",$E29&gt;=U$3,$E29&lt;EDATE(U$3,1)),"▼",""))</f>
        <v/>
      </c>
      <c r="V29" s="31" t="str">
        <f aca="false">IF(OR($AG29=0,V$3=""),"",IF(AND(INDEX(工程マスタ!$I:$I,$AG29)="○",$E29&gt;=V$3,$E29&lt;EDATE(V$3,1)),"▼",""))</f>
        <v/>
      </c>
      <c r="W29" s="31" t="str">
        <f aca="false">IF(OR($AG29=0,W$3=""),"",IF(AND(INDEX(工程マスタ!$I:$I,$AG29)="○",$E29&gt;=W$3,$E29&lt;EDATE(W$3,1)),"▼",""))</f>
        <v/>
      </c>
      <c r="X29" s="31" t="str">
        <f aca="false">IF(OR($AG29=0,X$3=""),"",IF(AND(INDEX(工程マスタ!$I:$I,$AG29)="○",$E29&gt;=X$3,$E29&lt;EDATE(X$3,1)),"▼",""))</f>
        <v/>
      </c>
      <c r="Y29" s="31" t="str">
        <f aca="false">IF(OR($AG29=0,Y$3=""),"",IF(AND(INDEX(工程マスタ!$I:$I,$AG29)="○",$E29&gt;=Y$3,$E29&lt;EDATE(Y$3,1)),"▼",""))</f>
        <v/>
      </c>
      <c r="Z29" s="31" t="str">
        <f aca="false">IF(OR($AG29=0,Z$3=""),"",IF(AND(INDEX(工程マスタ!$I:$I,$AG29)="○",$E29&gt;=Z$3,$E29&lt;EDATE(Z$3,1)),"▼",""))</f>
        <v/>
      </c>
      <c r="AA29" s="31" t="str">
        <f aca="false">IF(OR($AG29=0,AA$3=""),"",IF(AND(INDEX(工程マスタ!$I:$I,$AG29)="○",$E29&gt;=AA$3,$E29&lt;EDATE(AA$3,1)),"▼",""))</f>
        <v/>
      </c>
      <c r="AB29" s="31" t="str">
        <f aca="false">IF(OR($AG29=0,AB$3=""),"",IF(AND(INDEX(工程マスタ!$I:$I,$AG29)="○",$E29&gt;=AB$3,$E29&lt;EDATE(AB$3,1)),"▼",""))</f>
        <v/>
      </c>
      <c r="AC29" s="31" t="str">
        <f aca="false">IF(OR($AG29=0,AC$3=""),"",IF(AND(INDEX(工程マスタ!$I:$I,$AG29)="○",$E29&gt;=AC$3,$E29&lt;EDATE(AC$3,1)),"▼",""))</f>
        <v/>
      </c>
      <c r="AD29" s="31" t="str">
        <f aca="false">IF(OR($AG29=0,AD$3=""),"",IF(AND(INDEX(工程マスタ!$I:$I,$AG29)="○",$E29&gt;=AD$3,$E29&lt;EDATE(AD$3,1)),"▼",""))</f>
        <v/>
      </c>
      <c r="AE29" s="31" t="str">
        <f aca="false">IF(OR($AG29=0,AE$3=""),"",IF(AND(INDEX(工程マスタ!$I:$I,$AG29)="○",$E29&gt;=AE$3,$E29&lt;EDATE(AE$3,1)),"▼",""))</f>
        <v/>
      </c>
      <c r="AG29" s="27" t="n">
        <f aca="false" t="array" ref="AG29:AG29">IFERROR(SMALL(IF(工程マスタ!$K$5:$K$154&gt;0,ROW(工程マスタ!$C$5:$C$154)),24),0)</f>
        <v>28</v>
      </c>
      <c r="AH29" s="27" t="n">
        <f aca="false">IF($AG29=0,0,INDEX(工程マスタ!$M:$M,$AG29))</f>
        <v>46370</v>
      </c>
    </row>
    <row r="30" customFormat="false" ht="15" hidden="false" customHeight="false" outlineLevel="0" collapsed="false">
      <c r="A30" s="28" t="n">
        <f aca="false">IF($AG30=0,"",IF(INDEX(工程マスタ!$A:$A,$AG30)="","",INDEX(工程マスタ!$A:$A,$AG30)))</f>
        <v>25</v>
      </c>
      <c r="B30" s="21" t="str">
        <f aca="false">IF($AG30=0,"",IF(INDEX(工程マスタ!$B:$B,$AG30)="","",INDEX(工程マスタ!$B:$B,$AG30)))</f>
        <v>外装工事</v>
      </c>
      <c r="C30" s="21" t="str">
        <f aca="false">IF($AG30=0,"",IF(INDEX(工程マスタ!$C:$C,$AG30)="","",INDEX(工程マスタ!$C:$C,$AG30)))</f>
        <v>シール・外部防水</v>
      </c>
      <c r="D30" s="21" t="str">
        <f aca="false">IF($AG30=0,"",IF(INDEX(工程マスタ!$D:$D,$AG30)="","",INDEX(工程マスタ!$D:$D,$AG30)))</f>
        <v>●●防水</v>
      </c>
      <c r="E30" s="29" t="n">
        <f aca="false">IF($AG30=0,"",IF(INDEX(工程マスタ!$E:$E,$AG30)="","",INDEX(工程マスタ!$E:$E,$AG30)))</f>
        <v>46392</v>
      </c>
      <c r="F30" s="29" t="n">
        <f aca="false">IF($AG30=0,"",IF(INDEX(工程マスタ!$F:$F,$AG30)="","",INDEX(工程マスタ!$F:$F,$AG30)))</f>
        <v>46409</v>
      </c>
      <c r="G30" s="30" t="n">
        <f aca="false">IF($AG30=0,"",IF(INDEX(工程マスタ!$H:$H,$AG30)="","",INDEX(工程マスタ!$H:$H,$AG30)))</f>
        <v>0</v>
      </c>
      <c r="H30" s="31" t="str">
        <f aca="false">IF(OR($AG30=0,H$3=""),"",IF(AND(INDEX(工程マスタ!$I:$I,$AG30)="○",$E30&gt;=H$3,$E30&lt;EDATE(H$3,1)),"▼",""))</f>
        <v/>
      </c>
      <c r="I30" s="31" t="str">
        <f aca="false">IF(OR($AG30=0,I$3=""),"",IF(AND(INDEX(工程マスタ!$I:$I,$AG30)="○",$E30&gt;=I$3,$E30&lt;EDATE(I$3,1)),"▼",""))</f>
        <v/>
      </c>
      <c r="J30" s="31" t="str">
        <f aca="false">IF(OR($AG30=0,J$3=""),"",IF(AND(INDEX(工程マスタ!$I:$I,$AG30)="○",$E30&gt;=J$3,$E30&lt;EDATE(J$3,1)),"▼",""))</f>
        <v/>
      </c>
      <c r="K30" s="31" t="str">
        <f aca="false">IF(OR($AG30=0,K$3=""),"",IF(AND(INDEX(工程マスタ!$I:$I,$AG30)="○",$E30&gt;=K$3,$E30&lt;EDATE(K$3,1)),"▼",""))</f>
        <v/>
      </c>
      <c r="L30" s="31" t="str">
        <f aca="false">IF(OR($AG30=0,L$3=""),"",IF(AND(INDEX(工程マスタ!$I:$I,$AG30)="○",$E30&gt;=L$3,$E30&lt;EDATE(L$3,1)),"▼",""))</f>
        <v/>
      </c>
      <c r="M30" s="31" t="str">
        <f aca="false">IF(OR($AG30=0,M$3=""),"",IF(AND(INDEX(工程マスタ!$I:$I,$AG30)="○",$E30&gt;=M$3,$E30&lt;EDATE(M$3,1)),"▼",""))</f>
        <v/>
      </c>
      <c r="N30" s="31" t="str">
        <f aca="false">IF(OR($AG30=0,N$3=""),"",IF(AND(INDEX(工程マスタ!$I:$I,$AG30)="○",$E30&gt;=N$3,$E30&lt;EDATE(N$3,1)),"▼",""))</f>
        <v/>
      </c>
      <c r="O30" s="31" t="str">
        <f aca="false">IF(OR($AG30=0,O$3=""),"",IF(AND(INDEX(工程マスタ!$I:$I,$AG30)="○",$E30&gt;=O$3,$E30&lt;EDATE(O$3,1)),"▼",""))</f>
        <v/>
      </c>
      <c r="P30" s="31" t="str">
        <f aca="false">IF(OR($AG30=0,P$3=""),"",IF(AND(INDEX(工程マスタ!$I:$I,$AG30)="○",$E30&gt;=P$3,$E30&lt;EDATE(P$3,1)),"▼",""))</f>
        <v/>
      </c>
      <c r="Q30" s="31" t="str">
        <f aca="false">IF(OR($AG30=0,Q$3=""),"",IF(AND(INDEX(工程マスタ!$I:$I,$AG30)="○",$E30&gt;=Q$3,$E30&lt;EDATE(Q$3,1)),"▼",""))</f>
        <v/>
      </c>
      <c r="R30" s="31" t="str">
        <f aca="false">IF(OR($AG30=0,R$3=""),"",IF(AND(INDEX(工程マスタ!$I:$I,$AG30)="○",$E30&gt;=R$3,$E30&lt;EDATE(R$3,1)),"▼",""))</f>
        <v/>
      </c>
      <c r="S30" s="31" t="str">
        <f aca="false">IF(OR($AG30=0,S$3=""),"",IF(AND(INDEX(工程マスタ!$I:$I,$AG30)="○",$E30&gt;=S$3,$E30&lt;EDATE(S$3,1)),"▼",""))</f>
        <v/>
      </c>
      <c r="T30" s="31" t="str">
        <f aca="false">IF(OR($AG30=0,T$3=""),"",IF(AND(INDEX(工程マスタ!$I:$I,$AG30)="○",$E30&gt;=T$3,$E30&lt;EDATE(T$3,1)),"▼",""))</f>
        <v/>
      </c>
      <c r="U30" s="31" t="str">
        <f aca="false">IF(OR($AG30=0,U$3=""),"",IF(AND(INDEX(工程マスタ!$I:$I,$AG30)="○",$E30&gt;=U$3,$E30&lt;EDATE(U$3,1)),"▼",""))</f>
        <v/>
      </c>
      <c r="V30" s="31" t="str">
        <f aca="false">IF(OR($AG30=0,V$3=""),"",IF(AND(INDEX(工程マスタ!$I:$I,$AG30)="○",$E30&gt;=V$3,$E30&lt;EDATE(V$3,1)),"▼",""))</f>
        <v/>
      </c>
      <c r="W30" s="31" t="str">
        <f aca="false">IF(OR($AG30=0,W$3=""),"",IF(AND(INDEX(工程マスタ!$I:$I,$AG30)="○",$E30&gt;=W$3,$E30&lt;EDATE(W$3,1)),"▼",""))</f>
        <v/>
      </c>
      <c r="X30" s="31" t="str">
        <f aca="false">IF(OR($AG30=0,X$3=""),"",IF(AND(INDEX(工程マスタ!$I:$I,$AG30)="○",$E30&gt;=X$3,$E30&lt;EDATE(X$3,1)),"▼",""))</f>
        <v/>
      </c>
      <c r="Y30" s="31" t="str">
        <f aca="false">IF(OR($AG30=0,Y$3=""),"",IF(AND(INDEX(工程マスタ!$I:$I,$AG30)="○",$E30&gt;=Y$3,$E30&lt;EDATE(Y$3,1)),"▼",""))</f>
        <v/>
      </c>
      <c r="Z30" s="31" t="str">
        <f aca="false">IF(OR($AG30=0,Z$3=""),"",IF(AND(INDEX(工程マスタ!$I:$I,$AG30)="○",$E30&gt;=Z$3,$E30&lt;EDATE(Z$3,1)),"▼",""))</f>
        <v/>
      </c>
      <c r="AA30" s="31" t="str">
        <f aca="false">IF(OR($AG30=0,AA$3=""),"",IF(AND(INDEX(工程マスタ!$I:$I,$AG30)="○",$E30&gt;=AA$3,$E30&lt;EDATE(AA$3,1)),"▼",""))</f>
        <v/>
      </c>
      <c r="AB30" s="31" t="str">
        <f aca="false">IF(OR($AG30=0,AB$3=""),"",IF(AND(INDEX(工程マスタ!$I:$I,$AG30)="○",$E30&gt;=AB$3,$E30&lt;EDATE(AB$3,1)),"▼",""))</f>
        <v/>
      </c>
      <c r="AC30" s="31" t="str">
        <f aca="false">IF(OR($AG30=0,AC$3=""),"",IF(AND(INDEX(工程マスタ!$I:$I,$AG30)="○",$E30&gt;=AC$3,$E30&lt;EDATE(AC$3,1)),"▼",""))</f>
        <v/>
      </c>
      <c r="AD30" s="31" t="str">
        <f aca="false">IF(OR($AG30=0,AD$3=""),"",IF(AND(INDEX(工程マスタ!$I:$I,$AG30)="○",$E30&gt;=AD$3,$E30&lt;EDATE(AD$3,1)),"▼",""))</f>
        <v/>
      </c>
      <c r="AE30" s="31" t="str">
        <f aca="false">IF(OR($AG30=0,AE$3=""),"",IF(AND(INDEX(工程マスタ!$I:$I,$AG30)="○",$E30&gt;=AE$3,$E30&lt;EDATE(AE$3,1)),"▼",""))</f>
        <v/>
      </c>
      <c r="AG30" s="27" t="n">
        <f aca="false" t="array" ref="AG30:AG30">IFERROR(SMALL(IF(工程マスタ!$K$5:$K$154&gt;0,ROW(工程マスタ!$C$5:$C$154)),25),0)</f>
        <v>29</v>
      </c>
      <c r="AH30" s="27" t="n">
        <f aca="false">IF($AG30=0,0,INDEX(工程マスタ!$M:$M,$AG30))</f>
        <v>46392</v>
      </c>
    </row>
    <row r="31" customFormat="false" ht="15" hidden="false" customHeight="false" outlineLevel="0" collapsed="false">
      <c r="A31" s="28" t="n">
        <f aca="false">IF($AG31=0,"",IF(INDEX(工程マスタ!$A:$A,$AG31)="","",INDEX(工程マスタ!$A:$A,$AG31)))</f>
        <v>26</v>
      </c>
      <c r="B31" s="21" t="str">
        <f aca="false">IF($AG31=0,"",IF(INDEX(工程マスタ!$B:$B,$AG31)="","",INDEX(工程マスタ!$B:$B,$AG31)))</f>
        <v>外装工事</v>
      </c>
      <c r="C31" s="21" t="str">
        <f aca="false">IF($AG31=0,"",IF(INDEX(工程マスタ!$C:$C,$AG31)="","",INDEX(工程マスタ!$C:$C,$AG31)))</f>
        <v>外壁塗装・仕上</v>
      </c>
      <c r="D31" s="21" t="str">
        <f aca="false">IF($AG31=0,"",IF(INDEX(工程マスタ!$D:$D,$AG31)="","",INDEX(工程マスタ!$D:$D,$AG31)))</f>
        <v>■■外装</v>
      </c>
      <c r="E31" s="29" t="n">
        <f aca="false">IF($AG31=0,"",IF(INDEX(工程マスタ!$E:$E,$AG31)="","",INDEX(工程マスタ!$E:$E,$AG31)))</f>
        <v>46405</v>
      </c>
      <c r="F31" s="29" t="n">
        <f aca="false">IF($AG31=0,"",IF(INDEX(工程マスタ!$F:$F,$AG31)="","",INDEX(工程マスタ!$F:$F,$AG31)))</f>
        <v>46423</v>
      </c>
      <c r="G31" s="30" t="n">
        <f aca="false">IF($AG31=0,"",IF(INDEX(工程マスタ!$H:$H,$AG31)="","",INDEX(工程マスタ!$H:$H,$AG31)))</f>
        <v>0</v>
      </c>
      <c r="H31" s="31" t="str">
        <f aca="false">IF(OR($AG31=0,H$3=""),"",IF(AND(INDEX(工程マスタ!$I:$I,$AG31)="○",$E31&gt;=H$3,$E31&lt;EDATE(H$3,1)),"▼",""))</f>
        <v/>
      </c>
      <c r="I31" s="31" t="str">
        <f aca="false">IF(OR($AG31=0,I$3=""),"",IF(AND(INDEX(工程マスタ!$I:$I,$AG31)="○",$E31&gt;=I$3,$E31&lt;EDATE(I$3,1)),"▼",""))</f>
        <v/>
      </c>
      <c r="J31" s="31" t="str">
        <f aca="false">IF(OR($AG31=0,J$3=""),"",IF(AND(INDEX(工程マスタ!$I:$I,$AG31)="○",$E31&gt;=J$3,$E31&lt;EDATE(J$3,1)),"▼",""))</f>
        <v/>
      </c>
      <c r="K31" s="31" t="str">
        <f aca="false">IF(OR($AG31=0,K$3=""),"",IF(AND(INDEX(工程マスタ!$I:$I,$AG31)="○",$E31&gt;=K$3,$E31&lt;EDATE(K$3,1)),"▼",""))</f>
        <v/>
      </c>
      <c r="L31" s="31" t="str">
        <f aca="false">IF(OR($AG31=0,L$3=""),"",IF(AND(INDEX(工程マスタ!$I:$I,$AG31)="○",$E31&gt;=L$3,$E31&lt;EDATE(L$3,1)),"▼",""))</f>
        <v/>
      </c>
      <c r="M31" s="31" t="str">
        <f aca="false">IF(OR($AG31=0,M$3=""),"",IF(AND(INDEX(工程マスタ!$I:$I,$AG31)="○",$E31&gt;=M$3,$E31&lt;EDATE(M$3,1)),"▼",""))</f>
        <v/>
      </c>
      <c r="N31" s="31" t="str">
        <f aca="false">IF(OR($AG31=0,N$3=""),"",IF(AND(INDEX(工程マスタ!$I:$I,$AG31)="○",$E31&gt;=N$3,$E31&lt;EDATE(N$3,1)),"▼",""))</f>
        <v/>
      </c>
      <c r="O31" s="31" t="str">
        <f aca="false">IF(OR($AG31=0,O$3=""),"",IF(AND(INDEX(工程マスタ!$I:$I,$AG31)="○",$E31&gt;=O$3,$E31&lt;EDATE(O$3,1)),"▼",""))</f>
        <v/>
      </c>
      <c r="P31" s="31" t="str">
        <f aca="false">IF(OR($AG31=0,P$3=""),"",IF(AND(INDEX(工程マスタ!$I:$I,$AG31)="○",$E31&gt;=P$3,$E31&lt;EDATE(P$3,1)),"▼",""))</f>
        <v/>
      </c>
      <c r="Q31" s="31" t="str">
        <f aca="false">IF(OR($AG31=0,Q$3=""),"",IF(AND(INDEX(工程マスタ!$I:$I,$AG31)="○",$E31&gt;=Q$3,$E31&lt;EDATE(Q$3,1)),"▼",""))</f>
        <v/>
      </c>
      <c r="R31" s="31" t="str">
        <f aca="false">IF(OR($AG31=0,R$3=""),"",IF(AND(INDEX(工程マスタ!$I:$I,$AG31)="○",$E31&gt;=R$3,$E31&lt;EDATE(R$3,1)),"▼",""))</f>
        <v/>
      </c>
      <c r="S31" s="31" t="str">
        <f aca="false">IF(OR($AG31=0,S$3=""),"",IF(AND(INDEX(工程マスタ!$I:$I,$AG31)="○",$E31&gt;=S$3,$E31&lt;EDATE(S$3,1)),"▼",""))</f>
        <v/>
      </c>
      <c r="T31" s="31" t="str">
        <f aca="false">IF(OR($AG31=0,T$3=""),"",IF(AND(INDEX(工程マスタ!$I:$I,$AG31)="○",$E31&gt;=T$3,$E31&lt;EDATE(T$3,1)),"▼",""))</f>
        <v/>
      </c>
      <c r="U31" s="31" t="str">
        <f aca="false">IF(OR($AG31=0,U$3=""),"",IF(AND(INDEX(工程マスタ!$I:$I,$AG31)="○",$E31&gt;=U$3,$E31&lt;EDATE(U$3,1)),"▼",""))</f>
        <v/>
      </c>
      <c r="V31" s="31" t="str">
        <f aca="false">IF(OR($AG31=0,V$3=""),"",IF(AND(INDEX(工程マスタ!$I:$I,$AG31)="○",$E31&gt;=V$3,$E31&lt;EDATE(V$3,1)),"▼",""))</f>
        <v/>
      </c>
      <c r="W31" s="31" t="str">
        <f aca="false">IF(OR($AG31=0,W$3=""),"",IF(AND(INDEX(工程マスタ!$I:$I,$AG31)="○",$E31&gt;=W$3,$E31&lt;EDATE(W$3,1)),"▼",""))</f>
        <v/>
      </c>
      <c r="X31" s="31" t="str">
        <f aca="false">IF(OR($AG31=0,X$3=""),"",IF(AND(INDEX(工程マスタ!$I:$I,$AG31)="○",$E31&gt;=X$3,$E31&lt;EDATE(X$3,1)),"▼",""))</f>
        <v/>
      </c>
      <c r="Y31" s="31" t="str">
        <f aca="false">IF(OR($AG31=0,Y$3=""),"",IF(AND(INDEX(工程マスタ!$I:$I,$AG31)="○",$E31&gt;=Y$3,$E31&lt;EDATE(Y$3,1)),"▼",""))</f>
        <v/>
      </c>
      <c r="Z31" s="31" t="str">
        <f aca="false">IF(OR($AG31=0,Z$3=""),"",IF(AND(INDEX(工程マスタ!$I:$I,$AG31)="○",$E31&gt;=Z$3,$E31&lt;EDATE(Z$3,1)),"▼",""))</f>
        <v/>
      </c>
      <c r="AA31" s="31" t="str">
        <f aca="false">IF(OR($AG31=0,AA$3=""),"",IF(AND(INDEX(工程マスタ!$I:$I,$AG31)="○",$E31&gt;=AA$3,$E31&lt;EDATE(AA$3,1)),"▼",""))</f>
        <v/>
      </c>
      <c r="AB31" s="31" t="str">
        <f aca="false">IF(OR($AG31=0,AB$3=""),"",IF(AND(INDEX(工程マスタ!$I:$I,$AG31)="○",$E31&gt;=AB$3,$E31&lt;EDATE(AB$3,1)),"▼",""))</f>
        <v/>
      </c>
      <c r="AC31" s="31" t="str">
        <f aca="false">IF(OR($AG31=0,AC$3=""),"",IF(AND(INDEX(工程マスタ!$I:$I,$AG31)="○",$E31&gt;=AC$3,$E31&lt;EDATE(AC$3,1)),"▼",""))</f>
        <v/>
      </c>
      <c r="AD31" s="31" t="str">
        <f aca="false">IF(OR($AG31=0,AD$3=""),"",IF(AND(INDEX(工程マスタ!$I:$I,$AG31)="○",$E31&gt;=AD$3,$E31&lt;EDATE(AD$3,1)),"▼",""))</f>
        <v/>
      </c>
      <c r="AE31" s="31" t="str">
        <f aca="false">IF(OR($AG31=0,AE$3=""),"",IF(AND(INDEX(工程マスタ!$I:$I,$AG31)="○",$E31&gt;=AE$3,$E31&lt;EDATE(AE$3,1)),"▼",""))</f>
        <v/>
      </c>
      <c r="AG31" s="27" t="n">
        <f aca="false" t="array" ref="AG31:AG31">IFERROR(SMALL(IF(工程マスタ!$K$5:$K$154&gt;0,ROW(工程マスタ!$C$5:$C$154)),26),0)</f>
        <v>30</v>
      </c>
      <c r="AH31" s="27" t="n">
        <f aca="false">IF($AG31=0,0,INDEX(工程マスタ!$M:$M,$AG31))</f>
        <v>46405</v>
      </c>
    </row>
    <row r="32" customFormat="false" ht="15" hidden="false" customHeight="false" outlineLevel="0" collapsed="false">
      <c r="A32" s="28" t="n">
        <f aca="false">IF($AG32=0,"",IF(INDEX(工程マスタ!$A:$A,$AG32)="","",INDEX(工程マスタ!$A:$A,$AG32)))</f>
        <v>27</v>
      </c>
      <c r="B32" s="21" t="str">
        <f aca="false">IF($AG32=0,"",IF(INDEX(工程マスタ!$B:$B,$AG32)="","",INDEX(工程マスタ!$B:$B,$AG32)))</f>
        <v>マイルストーン</v>
      </c>
      <c r="C32" s="21" t="str">
        <f aca="false">IF($AG32=0,"",IF(INDEX(工程マスタ!$C:$C,$AG32)="","",INDEX(工程マスタ!$C:$C,$AG32)))</f>
        <v>外部足場解体</v>
      </c>
      <c r="D32" s="21" t="str">
        <f aca="false">IF($AG32=0,"",IF(INDEX(工程マスタ!$D:$D,$AG32)="","",INDEX(工程マスタ!$D:$D,$AG32)))</f>
        <v/>
      </c>
      <c r="E32" s="29" t="n">
        <f aca="false">IF($AG32=0,"",IF(INDEX(工程マスタ!$E:$E,$AG32)="","",INDEX(工程マスタ!$E:$E,$AG32)))</f>
        <v>46412</v>
      </c>
      <c r="F32" s="29" t="n">
        <f aca="false">IF($AG32=0,"",IF(INDEX(工程マスタ!$F:$F,$AG32)="","",INDEX(工程マスタ!$F:$F,$AG32)))</f>
        <v>46412</v>
      </c>
      <c r="G32" s="30" t="str">
        <f aca="false">IF($AG32=0,"",IF(INDEX(工程マスタ!$H:$H,$AG32)="","",INDEX(工程マスタ!$H:$H,$AG32)))</f>
        <v/>
      </c>
      <c r="H32" s="31" t="str">
        <f aca="false">IF(OR($AG32=0,H$3=""),"",IF(AND(INDEX(工程マスタ!$I:$I,$AG32)="○",$E32&gt;=H$3,$E32&lt;EDATE(H$3,1)),"▼",""))</f>
        <v/>
      </c>
      <c r="I32" s="31" t="str">
        <f aca="false">IF(OR($AG32=0,I$3=""),"",IF(AND(INDEX(工程マスタ!$I:$I,$AG32)="○",$E32&gt;=I$3,$E32&lt;EDATE(I$3,1)),"▼",""))</f>
        <v/>
      </c>
      <c r="J32" s="31" t="str">
        <f aca="false">IF(OR($AG32=0,J$3=""),"",IF(AND(INDEX(工程マスタ!$I:$I,$AG32)="○",$E32&gt;=J$3,$E32&lt;EDATE(J$3,1)),"▼",""))</f>
        <v/>
      </c>
      <c r="K32" s="31" t="str">
        <f aca="false">IF(OR($AG32=0,K$3=""),"",IF(AND(INDEX(工程マスタ!$I:$I,$AG32)="○",$E32&gt;=K$3,$E32&lt;EDATE(K$3,1)),"▼",""))</f>
        <v/>
      </c>
      <c r="L32" s="31" t="str">
        <f aca="false">IF(OR($AG32=0,L$3=""),"",IF(AND(INDEX(工程マスタ!$I:$I,$AG32)="○",$E32&gt;=L$3,$E32&lt;EDATE(L$3,1)),"▼",""))</f>
        <v/>
      </c>
      <c r="M32" s="31" t="str">
        <f aca="false">IF(OR($AG32=0,M$3=""),"",IF(AND(INDEX(工程マスタ!$I:$I,$AG32)="○",$E32&gt;=M$3,$E32&lt;EDATE(M$3,1)),"▼",""))</f>
        <v/>
      </c>
      <c r="N32" s="31" t="str">
        <f aca="false">IF(OR($AG32=0,N$3=""),"",IF(AND(INDEX(工程マスタ!$I:$I,$AG32)="○",$E32&gt;=N$3,$E32&lt;EDATE(N$3,1)),"▼",""))</f>
        <v>▼</v>
      </c>
      <c r="O32" s="31" t="str">
        <f aca="false">IF(OR($AG32=0,O$3=""),"",IF(AND(INDEX(工程マスタ!$I:$I,$AG32)="○",$E32&gt;=O$3,$E32&lt;EDATE(O$3,1)),"▼",""))</f>
        <v/>
      </c>
      <c r="P32" s="31" t="str">
        <f aca="false">IF(OR($AG32=0,P$3=""),"",IF(AND(INDEX(工程マスタ!$I:$I,$AG32)="○",$E32&gt;=P$3,$E32&lt;EDATE(P$3,1)),"▼",""))</f>
        <v/>
      </c>
      <c r="Q32" s="31" t="str">
        <f aca="false">IF(OR($AG32=0,Q$3=""),"",IF(AND(INDEX(工程マスタ!$I:$I,$AG32)="○",$E32&gt;=Q$3,$E32&lt;EDATE(Q$3,1)),"▼",""))</f>
        <v/>
      </c>
      <c r="R32" s="31" t="str">
        <f aca="false">IF(OR($AG32=0,R$3=""),"",IF(AND(INDEX(工程マスタ!$I:$I,$AG32)="○",$E32&gt;=R$3,$E32&lt;EDATE(R$3,1)),"▼",""))</f>
        <v/>
      </c>
      <c r="S32" s="31" t="str">
        <f aca="false">IF(OR($AG32=0,S$3=""),"",IF(AND(INDEX(工程マスタ!$I:$I,$AG32)="○",$E32&gt;=S$3,$E32&lt;EDATE(S$3,1)),"▼",""))</f>
        <v/>
      </c>
      <c r="T32" s="31" t="str">
        <f aca="false">IF(OR($AG32=0,T$3=""),"",IF(AND(INDEX(工程マスタ!$I:$I,$AG32)="○",$E32&gt;=T$3,$E32&lt;EDATE(T$3,1)),"▼",""))</f>
        <v/>
      </c>
      <c r="U32" s="31" t="str">
        <f aca="false">IF(OR($AG32=0,U$3=""),"",IF(AND(INDEX(工程マスタ!$I:$I,$AG32)="○",$E32&gt;=U$3,$E32&lt;EDATE(U$3,1)),"▼",""))</f>
        <v/>
      </c>
      <c r="V32" s="31" t="str">
        <f aca="false">IF(OR($AG32=0,V$3=""),"",IF(AND(INDEX(工程マスタ!$I:$I,$AG32)="○",$E32&gt;=V$3,$E32&lt;EDATE(V$3,1)),"▼",""))</f>
        <v/>
      </c>
      <c r="W32" s="31" t="str">
        <f aca="false">IF(OR($AG32=0,W$3=""),"",IF(AND(INDEX(工程マスタ!$I:$I,$AG32)="○",$E32&gt;=W$3,$E32&lt;EDATE(W$3,1)),"▼",""))</f>
        <v/>
      </c>
      <c r="X32" s="31" t="str">
        <f aca="false">IF(OR($AG32=0,X$3=""),"",IF(AND(INDEX(工程マスタ!$I:$I,$AG32)="○",$E32&gt;=X$3,$E32&lt;EDATE(X$3,1)),"▼",""))</f>
        <v/>
      </c>
      <c r="Y32" s="31" t="str">
        <f aca="false">IF(OR($AG32=0,Y$3=""),"",IF(AND(INDEX(工程マスタ!$I:$I,$AG32)="○",$E32&gt;=Y$3,$E32&lt;EDATE(Y$3,1)),"▼",""))</f>
        <v/>
      </c>
      <c r="Z32" s="31" t="str">
        <f aca="false">IF(OR($AG32=0,Z$3=""),"",IF(AND(INDEX(工程マスタ!$I:$I,$AG32)="○",$E32&gt;=Z$3,$E32&lt;EDATE(Z$3,1)),"▼",""))</f>
        <v/>
      </c>
      <c r="AA32" s="31" t="str">
        <f aca="false">IF(OR($AG32=0,AA$3=""),"",IF(AND(INDEX(工程マスタ!$I:$I,$AG32)="○",$E32&gt;=AA$3,$E32&lt;EDATE(AA$3,1)),"▼",""))</f>
        <v/>
      </c>
      <c r="AB32" s="31" t="str">
        <f aca="false">IF(OR($AG32=0,AB$3=""),"",IF(AND(INDEX(工程マスタ!$I:$I,$AG32)="○",$E32&gt;=AB$3,$E32&lt;EDATE(AB$3,1)),"▼",""))</f>
        <v/>
      </c>
      <c r="AC32" s="31" t="str">
        <f aca="false">IF(OR($AG32=0,AC$3=""),"",IF(AND(INDEX(工程マスタ!$I:$I,$AG32)="○",$E32&gt;=AC$3,$E32&lt;EDATE(AC$3,1)),"▼",""))</f>
        <v/>
      </c>
      <c r="AD32" s="31" t="str">
        <f aca="false">IF(OR($AG32=0,AD$3=""),"",IF(AND(INDEX(工程マスタ!$I:$I,$AG32)="○",$E32&gt;=AD$3,$E32&lt;EDATE(AD$3,1)),"▼",""))</f>
        <v/>
      </c>
      <c r="AE32" s="31" t="str">
        <f aca="false">IF(OR($AG32=0,AE$3=""),"",IF(AND(INDEX(工程マスタ!$I:$I,$AG32)="○",$E32&gt;=AE$3,$E32&lt;EDATE(AE$3,1)),"▼",""))</f>
        <v/>
      </c>
      <c r="AG32" s="27" t="n">
        <f aca="false" t="array" ref="AG32:AG32">IFERROR(SMALL(IF(工程マスタ!$K$5:$K$154&gt;0,ROW(工程マスタ!$C$5:$C$154)),27),0)</f>
        <v>31</v>
      </c>
      <c r="AH32" s="32" t="n">
        <f aca="false">IF($AG32=0,0,INDEX(工程マスタ!$M:$M,$AG32))</f>
        <v>46412</v>
      </c>
    </row>
    <row r="33" customFormat="false" ht="15" hidden="false" customHeight="false" outlineLevel="0" collapsed="false">
      <c r="A33" s="28" t="n">
        <f aca="false">IF($AG33=0,"",IF(INDEX(工程マスタ!$A:$A,$AG33)="","",INDEX(工程マスタ!$A:$A,$AG33)))</f>
        <v>28</v>
      </c>
      <c r="B33" s="21" t="str">
        <f aca="false">IF($AG33=0,"",IF(INDEX(工程マスタ!$B:$B,$AG33)="","",INDEX(工程マスタ!$B:$B,$AG33)))</f>
        <v>仮設工事</v>
      </c>
      <c r="C33" s="21" t="str">
        <f aca="false">IF($AG33=0,"",IF(INDEX(工程マスタ!$C:$C,$AG33)="","",INDEX(工程マスタ!$C:$C,$AG33)))</f>
        <v>外部足場解体</v>
      </c>
      <c r="D33" s="21" t="str">
        <f aca="false">IF($AG33=0,"",IF(INDEX(工程マスタ!$D:$D,$AG33)="","",INDEX(工程マスタ!$D:$D,$AG33)))</f>
        <v>○○仮設工業</v>
      </c>
      <c r="E33" s="29" t="n">
        <f aca="false">IF($AG33=0,"",IF(INDEX(工程マスタ!$E:$E,$AG33)="","",INDEX(工程マスタ!$E:$E,$AG33)))</f>
        <v>46412</v>
      </c>
      <c r="F33" s="29" t="n">
        <f aca="false">IF($AG33=0,"",IF(INDEX(工程マスタ!$F:$F,$AG33)="","",INDEX(工程マスタ!$F:$F,$AG33)))</f>
        <v>46417</v>
      </c>
      <c r="G33" s="30" t="n">
        <f aca="false">IF($AG33=0,"",IF(INDEX(工程マスタ!$H:$H,$AG33)="","",INDEX(工程マスタ!$H:$H,$AG33)))</f>
        <v>0</v>
      </c>
      <c r="H33" s="31" t="str">
        <f aca="false">IF(OR($AG33=0,H$3=""),"",IF(AND(INDEX(工程マスタ!$I:$I,$AG33)="○",$E33&gt;=H$3,$E33&lt;EDATE(H$3,1)),"▼",""))</f>
        <v/>
      </c>
      <c r="I33" s="31" t="str">
        <f aca="false">IF(OR($AG33=0,I$3=""),"",IF(AND(INDEX(工程マスタ!$I:$I,$AG33)="○",$E33&gt;=I$3,$E33&lt;EDATE(I$3,1)),"▼",""))</f>
        <v/>
      </c>
      <c r="J33" s="31" t="str">
        <f aca="false">IF(OR($AG33=0,J$3=""),"",IF(AND(INDEX(工程マスタ!$I:$I,$AG33)="○",$E33&gt;=J$3,$E33&lt;EDATE(J$3,1)),"▼",""))</f>
        <v/>
      </c>
      <c r="K33" s="31" t="str">
        <f aca="false">IF(OR($AG33=0,K$3=""),"",IF(AND(INDEX(工程マスタ!$I:$I,$AG33)="○",$E33&gt;=K$3,$E33&lt;EDATE(K$3,1)),"▼",""))</f>
        <v/>
      </c>
      <c r="L33" s="31" t="str">
        <f aca="false">IF(OR($AG33=0,L$3=""),"",IF(AND(INDEX(工程マスタ!$I:$I,$AG33)="○",$E33&gt;=L$3,$E33&lt;EDATE(L$3,1)),"▼",""))</f>
        <v/>
      </c>
      <c r="M33" s="31" t="str">
        <f aca="false">IF(OR($AG33=0,M$3=""),"",IF(AND(INDEX(工程マスタ!$I:$I,$AG33)="○",$E33&gt;=M$3,$E33&lt;EDATE(M$3,1)),"▼",""))</f>
        <v/>
      </c>
      <c r="N33" s="31" t="str">
        <f aca="false">IF(OR($AG33=0,N$3=""),"",IF(AND(INDEX(工程マスタ!$I:$I,$AG33)="○",$E33&gt;=N$3,$E33&lt;EDATE(N$3,1)),"▼",""))</f>
        <v/>
      </c>
      <c r="O33" s="31" t="str">
        <f aca="false">IF(OR($AG33=0,O$3=""),"",IF(AND(INDEX(工程マスタ!$I:$I,$AG33)="○",$E33&gt;=O$3,$E33&lt;EDATE(O$3,1)),"▼",""))</f>
        <v/>
      </c>
      <c r="P33" s="31" t="str">
        <f aca="false">IF(OR($AG33=0,P$3=""),"",IF(AND(INDEX(工程マスタ!$I:$I,$AG33)="○",$E33&gt;=P$3,$E33&lt;EDATE(P$3,1)),"▼",""))</f>
        <v/>
      </c>
      <c r="Q33" s="31" t="str">
        <f aca="false">IF(OR($AG33=0,Q$3=""),"",IF(AND(INDEX(工程マスタ!$I:$I,$AG33)="○",$E33&gt;=Q$3,$E33&lt;EDATE(Q$3,1)),"▼",""))</f>
        <v/>
      </c>
      <c r="R33" s="31" t="str">
        <f aca="false">IF(OR($AG33=0,R$3=""),"",IF(AND(INDEX(工程マスタ!$I:$I,$AG33)="○",$E33&gt;=R$3,$E33&lt;EDATE(R$3,1)),"▼",""))</f>
        <v/>
      </c>
      <c r="S33" s="31" t="str">
        <f aca="false">IF(OR($AG33=0,S$3=""),"",IF(AND(INDEX(工程マスタ!$I:$I,$AG33)="○",$E33&gt;=S$3,$E33&lt;EDATE(S$3,1)),"▼",""))</f>
        <v/>
      </c>
      <c r="T33" s="31" t="str">
        <f aca="false">IF(OR($AG33=0,T$3=""),"",IF(AND(INDEX(工程マスタ!$I:$I,$AG33)="○",$E33&gt;=T$3,$E33&lt;EDATE(T$3,1)),"▼",""))</f>
        <v/>
      </c>
      <c r="U33" s="31" t="str">
        <f aca="false">IF(OR($AG33=0,U$3=""),"",IF(AND(INDEX(工程マスタ!$I:$I,$AG33)="○",$E33&gt;=U$3,$E33&lt;EDATE(U$3,1)),"▼",""))</f>
        <v/>
      </c>
      <c r="V33" s="31" t="str">
        <f aca="false">IF(OR($AG33=0,V$3=""),"",IF(AND(INDEX(工程マスタ!$I:$I,$AG33)="○",$E33&gt;=V$3,$E33&lt;EDATE(V$3,1)),"▼",""))</f>
        <v/>
      </c>
      <c r="W33" s="31" t="str">
        <f aca="false">IF(OR($AG33=0,W$3=""),"",IF(AND(INDEX(工程マスタ!$I:$I,$AG33)="○",$E33&gt;=W$3,$E33&lt;EDATE(W$3,1)),"▼",""))</f>
        <v/>
      </c>
      <c r="X33" s="31" t="str">
        <f aca="false">IF(OR($AG33=0,X$3=""),"",IF(AND(INDEX(工程マスタ!$I:$I,$AG33)="○",$E33&gt;=X$3,$E33&lt;EDATE(X$3,1)),"▼",""))</f>
        <v/>
      </c>
      <c r="Y33" s="31" t="str">
        <f aca="false">IF(OR($AG33=0,Y$3=""),"",IF(AND(INDEX(工程マスタ!$I:$I,$AG33)="○",$E33&gt;=Y$3,$E33&lt;EDATE(Y$3,1)),"▼",""))</f>
        <v/>
      </c>
      <c r="Z33" s="31" t="str">
        <f aca="false">IF(OR($AG33=0,Z$3=""),"",IF(AND(INDEX(工程マスタ!$I:$I,$AG33)="○",$E33&gt;=Z$3,$E33&lt;EDATE(Z$3,1)),"▼",""))</f>
        <v/>
      </c>
      <c r="AA33" s="31" t="str">
        <f aca="false">IF(OR($AG33=0,AA$3=""),"",IF(AND(INDEX(工程マスタ!$I:$I,$AG33)="○",$E33&gt;=AA$3,$E33&lt;EDATE(AA$3,1)),"▼",""))</f>
        <v/>
      </c>
      <c r="AB33" s="31" t="str">
        <f aca="false">IF(OR($AG33=0,AB$3=""),"",IF(AND(INDEX(工程マスタ!$I:$I,$AG33)="○",$E33&gt;=AB$3,$E33&lt;EDATE(AB$3,1)),"▼",""))</f>
        <v/>
      </c>
      <c r="AC33" s="31" t="str">
        <f aca="false">IF(OR($AG33=0,AC$3=""),"",IF(AND(INDEX(工程マスタ!$I:$I,$AG33)="○",$E33&gt;=AC$3,$E33&lt;EDATE(AC$3,1)),"▼",""))</f>
        <v/>
      </c>
      <c r="AD33" s="31" t="str">
        <f aca="false">IF(OR($AG33=0,AD$3=""),"",IF(AND(INDEX(工程マスタ!$I:$I,$AG33)="○",$E33&gt;=AD$3,$E33&lt;EDATE(AD$3,1)),"▼",""))</f>
        <v/>
      </c>
      <c r="AE33" s="31" t="str">
        <f aca="false">IF(OR($AG33=0,AE$3=""),"",IF(AND(INDEX(工程マスタ!$I:$I,$AG33)="○",$E33&gt;=AE$3,$E33&lt;EDATE(AE$3,1)),"▼",""))</f>
        <v/>
      </c>
      <c r="AG33" s="27" t="n">
        <f aca="false" t="array" ref="AG33:AG33">IFERROR(SMALL(IF(工程マスタ!$K$5:$K$154&gt;0,ROW(工程マスタ!$C$5:$C$154)),28),0)</f>
        <v>32</v>
      </c>
      <c r="AH33" s="27" t="n">
        <f aca="false">IF($AG33=0,0,INDEX(工程マスタ!$M:$M,$AG33))</f>
        <v>46412</v>
      </c>
    </row>
    <row r="34" customFormat="false" ht="15" hidden="false" customHeight="false" outlineLevel="0" collapsed="false">
      <c r="A34" s="28" t="n">
        <f aca="false">IF($AG34=0,"",IF(INDEX(工程マスタ!$A:$A,$AG34)="","",INDEX(工程マスタ!$A:$A,$AG34)))</f>
        <v>29</v>
      </c>
      <c r="B34" s="21" t="str">
        <f aca="false">IF($AG34=0,"",IF(INDEX(工程マスタ!$B:$B,$AG34)="","",INDEX(工程マスタ!$B:$B,$AG34)))</f>
        <v>内装・設備工事</v>
      </c>
      <c r="C34" s="21" t="str">
        <f aca="false">IF($AG34=0,"",IF(INDEX(工程マスタ!$C:$C,$AG34)="","",INDEX(工程マスタ!$C:$C,$AG34)))</f>
        <v>設備配管・配線(隠蔽部)</v>
      </c>
      <c r="D34" s="21" t="str">
        <f aca="false">IF($AG34=0,"",IF(INDEX(工程マスタ!$D:$D,$AG34)="","",INDEX(工程マスタ!$D:$D,$AG34)))</f>
        <v>△△電設・◎◎設備</v>
      </c>
      <c r="E34" s="29" t="n">
        <f aca="false">IF($AG34=0,"",IF(INDEX(工程マスタ!$E:$E,$AG34)="","",INDEX(工程マスタ!$E:$E,$AG34)))</f>
        <v>46342</v>
      </c>
      <c r="F34" s="29" t="n">
        <f aca="false">IF($AG34=0,"",IF(INDEX(工程マスタ!$F:$F,$AG34)="","",INDEX(工程マスタ!$F:$F,$AG34)))</f>
        <v>46403</v>
      </c>
      <c r="G34" s="30" t="n">
        <f aca="false">IF($AG34=0,"",IF(INDEX(工程マスタ!$H:$H,$AG34)="","",INDEX(工程マスタ!$H:$H,$AG34)))</f>
        <v>0</v>
      </c>
      <c r="H34" s="31" t="str">
        <f aca="false">IF(OR($AG34=0,H$3=""),"",IF(AND(INDEX(工程マスタ!$I:$I,$AG34)="○",$E34&gt;=H$3,$E34&lt;EDATE(H$3,1)),"▼",""))</f>
        <v/>
      </c>
      <c r="I34" s="31" t="str">
        <f aca="false">IF(OR($AG34=0,I$3=""),"",IF(AND(INDEX(工程マスタ!$I:$I,$AG34)="○",$E34&gt;=I$3,$E34&lt;EDATE(I$3,1)),"▼",""))</f>
        <v/>
      </c>
      <c r="J34" s="31" t="str">
        <f aca="false">IF(OR($AG34=0,J$3=""),"",IF(AND(INDEX(工程マスタ!$I:$I,$AG34)="○",$E34&gt;=J$3,$E34&lt;EDATE(J$3,1)),"▼",""))</f>
        <v/>
      </c>
      <c r="K34" s="31" t="str">
        <f aca="false">IF(OR($AG34=0,K$3=""),"",IF(AND(INDEX(工程マスタ!$I:$I,$AG34)="○",$E34&gt;=K$3,$E34&lt;EDATE(K$3,1)),"▼",""))</f>
        <v/>
      </c>
      <c r="L34" s="31" t="str">
        <f aca="false">IF(OR($AG34=0,L$3=""),"",IF(AND(INDEX(工程マスタ!$I:$I,$AG34)="○",$E34&gt;=L$3,$E34&lt;EDATE(L$3,1)),"▼",""))</f>
        <v/>
      </c>
      <c r="M34" s="31" t="str">
        <f aca="false">IF(OR($AG34=0,M$3=""),"",IF(AND(INDEX(工程マスタ!$I:$I,$AG34)="○",$E34&gt;=M$3,$E34&lt;EDATE(M$3,1)),"▼",""))</f>
        <v/>
      </c>
      <c r="N34" s="31" t="str">
        <f aca="false">IF(OR($AG34=0,N$3=""),"",IF(AND(INDEX(工程マスタ!$I:$I,$AG34)="○",$E34&gt;=N$3,$E34&lt;EDATE(N$3,1)),"▼",""))</f>
        <v/>
      </c>
      <c r="O34" s="31" t="str">
        <f aca="false">IF(OR($AG34=0,O$3=""),"",IF(AND(INDEX(工程マスタ!$I:$I,$AG34)="○",$E34&gt;=O$3,$E34&lt;EDATE(O$3,1)),"▼",""))</f>
        <v/>
      </c>
      <c r="P34" s="31" t="str">
        <f aca="false">IF(OR($AG34=0,P$3=""),"",IF(AND(INDEX(工程マスタ!$I:$I,$AG34)="○",$E34&gt;=P$3,$E34&lt;EDATE(P$3,1)),"▼",""))</f>
        <v/>
      </c>
      <c r="Q34" s="31" t="str">
        <f aca="false">IF(OR($AG34=0,Q$3=""),"",IF(AND(INDEX(工程マスタ!$I:$I,$AG34)="○",$E34&gt;=Q$3,$E34&lt;EDATE(Q$3,1)),"▼",""))</f>
        <v/>
      </c>
      <c r="R34" s="31" t="str">
        <f aca="false">IF(OR($AG34=0,R$3=""),"",IF(AND(INDEX(工程マスタ!$I:$I,$AG34)="○",$E34&gt;=R$3,$E34&lt;EDATE(R$3,1)),"▼",""))</f>
        <v/>
      </c>
      <c r="S34" s="31" t="str">
        <f aca="false">IF(OR($AG34=0,S$3=""),"",IF(AND(INDEX(工程マスタ!$I:$I,$AG34)="○",$E34&gt;=S$3,$E34&lt;EDATE(S$3,1)),"▼",""))</f>
        <v/>
      </c>
      <c r="T34" s="31" t="str">
        <f aca="false">IF(OR($AG34=0,T$3=""),"",IF(AND(INDEX(工程マスタ!$I:$I,$AG34)="○",$E34&gt;=T$3,$E34&lt;EDATE(T$3,1)),"▼",""))</f>
        <v/>
      </c>
      <c r="U34" s="31" t="str">
        <f aca="false">IF(OR($AG34=0,U$3=""),"",IF(AND(INDEX(工程マスタ!$I:$I,$AG34)="○",$E34&gt;=U$3,$E34&lt;EDATE(U$3,1)),"▼",""))</f>
        <v/>
      </c>
      <c r="V34" s="31" t="str">
        <f aca="false">IF(OR($AG34=0,V$3=""),"",IF(AND(INDEX(工程マスタ!$I:$I,$AG34)="○",$E34&gt;=V$3,$E34&lt;EDATE(V$3,1)),"▼",""))</f>
        <v/>
      </c>
      <c r="W34" s="31" t="str">
        <f aca="false">IF(OR($AG34=0,W$3=""),"",IF(AND(INDEX(工程マスタ!$I:$I,$AG34)="○",$E34&gt;=W$3,$E34&lt;EDATE(W$3,1)),"▼",""))</f>
        <v/>
      </c>
      <c r="X34" s="31" t="str">
        <f aca="false">IF(OR($AG34=0,X$3=""),"",IF(AND(INDEX(工程マスタ!$I:$I,$AG34)="○",$E34&gt;=X$3,$E34&lt;EDATE(X$3,1)),"▼",""))</f>
        <v/>
      </c>
      <c r="Y34" s="31" t="str">
        <f aca="false">IF(OR($AG34=0,Y$3=""),"",IF(AND(INDEX(工程マスタ!$I:$I,$AG34)="○",$E34&gt;=Y$3,$E34&lt;EDATE(Y$3,1)),"▼",""))</f>
        <v/>
      </c>
      <c r="Z34" s="31" t="str">
        <f aca="false">IF(OR($AG34=0,Z$3=""),"",IF(AND(INDEX(工程マスタ!$I:$I,$AG34)="○",$E34&gt;=Z$3,$E34&lt;EDATE(Z$3,1)),"▼",""))</f>
        <v/>
      </c>
      <c r="AA34" s="31" t="str">
        <f aca="false">IF(OR($AG34=0,AA$3=""),"",IF(AND(INDEX(工程マスタ!$I:$I,$AG34)="○",$E34&gt;=AA$3,$E34&lt;EDATE(AA$3,1)),"▼",""))</f>
        <v/>
      </c>
      <c r="AB34" s="31" t="str">
        <f aca="false">IF(OR($AG34=0,AB$3=""),"",IF(AND(INDEX(工程マスタ!$I:$I,$AG34)="○",$E34&gt;=AB$3,$E34&lt;EDATE(AB$3,1)),"▼",""))</f>
        <v/>
      </c>
      <c r="AC34" s="31" t="str">
        <f aca="false">IF(OR($AG34=0,AC$3=""),"",IF(AND(INDEX(工程マスタ!$I:$I,$AG34)="○",$E34&gt;=AC$3,$E34&lt;EDATE(AC$3,1)),"▼",""))</f>
        <v/>
      </c>
      <c r="AD34" s="31" t="str">
        <f aca="false">IF(OR($AG34=0,AD$3=""),"",IF(AND(INDEX(工程マスタ!$I:$I,$AG34)="○",$E34&gt;=AD$3,$E34&lt;EDATE(AD$3,1)),"▼",""))</f>
        <v/>
      </c>
      <c r="AE34" s="31" t="str">
        <f aca="false">IF(OR($AG34=0,AE$3=""),"",IF(AND(INDEX(工程マスタ!$I:$I,$AG34)="○",$E34&gt;=AE$3,$E34&lt;EDATE(AE$3,1)),"▼",""))</f>
        <v/>
      </c>
      <c r="AG34" s="27" t="n">
        <f aca="false" t="array" ref="AG34:AG34">IFERROR(SMALL(IF(工程マスタ!$K$5:$K$154&gt;0,ROW(工程マスタ!$C$5:$C$154)),29),0)</f>
        <v>33</v>
      </c>
      <c r="AH34" s="27" t="n">
        <f aca="false">IF($AG34=0,0,INDEX(工程マスタ!$M:$M,$AG34))</f>
        <v>46342</v>
      </c>
    </row>
    <row r="35" customFormat="false" ht="15" hidden="false" customHeight="false" outlineLevel="0" collapsed="false">
      <c r="A35" s="28" t="n">
        <f aca="false">IF($AG35=0,"",IF(INDEX(工程マスタ!$A:$A,$AG35)="","",INDEX(工程マスタ!$A:$A,$AG35)))</f>
        <v>30</v>
      </c>
      <c r="B35" s="21" t="str">
        <f aca="false">IF($AG35=0,"",IF(INDEX(工程マスタ!$B:$B,$AG35)="","",INDEX(工程マスタ!$B:$B,$AG35)))</f>
        <v>内装・設備工事</v>
      </c>
      <c r="C35" s="21" t="str">
        <f aca="false">IF($AG35=0,"",IF(INDEX(工程マスタ!$C:$C,$AG35)="","",INDEX(工程マスタ!$C:$C,$AG35)))</f>
        <v>天井・壁LGS下地</v>
      </c>
      <c r="D35" s="21" t="str">
        <f aca="false">IF($AG35=0,"",IF(INDEX(工程マスタ!$D:$D,$AG35)="","",INDEX(工程マスタ!$D:$D,$AG35)))</f>
        <v>☆☆内装</v>
      </c>
      <c r="E35" s="29" t="n">
        <f aca="false">IF($AG35=0,"",IF(INDEX(工程マスタ!$E:$E,$AG35)="","",INDEX(工程マスタ!$E:$E,$AG35)))</f>
        <v>46377</v>
      </c>
      <c r="F35" s="29" t="n">
        <f aca="false">IF($AG35=0,"",IF(INDEX(工程マスタ!$F:$F,$AG35)="","",INDEX(工程マスタ!$F:$F,$AG35)))</f>
        <v>46416</v>
      </c>
      <c r="G35" s="30" t="n">
        <f aca="false">IF($AG35=0,"",IF(INDEX(工程マスタ!$H:$H,$AG35)="","",INDEX(工程マスタ!$H:$H,$AG35)))</f>
        <v>0</v>
      </c>
      <c r="H35" s="31" t="str">
        <f aca="false">IF(OR($AG35=0,H$3=""),"",IF(AND(INDEX(工程マスタ!$I:$I,$AG35)="○",$E35&gt;=H$3,$E35&lt;EDATE(H$3,1)),"▼",""))</f>
        <v/>
      </c>
      <c r="I35" s="31" t="str">
        <f aca="false">IF(OR($AG35=0,I$3=""),"",IF(AND(INDEX(工程マスタ!$I:$I,$AG35)="○",$E35&gt;=I$3,$E35&lt;EDATE(I$3,1)),"▼",""))</f>
        <v/>
      </c>
      <c r="J35" s="31" t="str">
        <f aca="false">IF(OR($AG35=0,J$3=""),"",IF(AND(INDEX(工程マスタ!$I:$I,$AG35)="○",$E35&gt;=J$3,$E35&lt;EDATE(J$3,1)),"▼",""))</f>
        <v/>
      </c>
      <c r="K35" s="31" t="str">
        <f aca="false">IF(OR($AG35=0,K$3=""),"",IF(AND(INDEX(工程マスタ!$I:$I,$AG35)="○",$E35&gt;=K$3,$E35&lt;EDATE(K$3,1)),"▼",""))</f>
        <v/>
      </c>
      <c r="L35" s="31" t="str">
        <f aca="false">IF(OR($AG35=0,L$3=""),"",IF(AND(INDEX(工程マスタ!$I:$I,$AG35)="○",$E35&gt;=L$3,$E35&lt;EDATE(L$3,1)),"▼",""))</f>
        <v/>
      </c>
      <c r="M35" s="31" t="str">
        <f aca="false">IF(OR($AG35=0,M$3=""),"",IF(AND(INDEX(工程マスタ!$I:$I,$AG35)="○",$E35&gt;=M$3,$E35&lt;EDATE(M$3,1)),"▼",""))</f>
        <v/>
      </c>
      <c r="N35" s="31" t="str">
        <f aca="false">IF(OR($AG35=0,N$3=""),"",IF(AND(INDEX(工程マスタ!$I:$I,$AG35)="○",$E35&gt;=N$3,$E35&lt;EDATE(N$3,1)),"▼",""))</f>
        <v/>
      </c>
      <c r="O35" s="31" t="str">
        <f aca="false">IF(OR($AG35=0,O$3=""),"",IF(AND(INDEX(工程マスタ!$I:$I,$AG35)="○",$E35&gt;=O$3,$E35&lt;EDATE(O$3,1)),"▼",""))</f>
        <v/>
      </c>
      <c r="P35" s="31" t="str">
        <f aca="false">IF(OR($AG35=0,P$3=""),"",IF(AND(INDEX(工程マスタ!$I:$I,$AG35)="○",$E35&gt;=P$3,$E35&lt;EDATE(P$3,1)),"▼",""))</f>
        <v/>
      </c>
      <c r="Q35" s="31" t="str">
        <f aca="false">IF(OR($AG35=0,Q$3=""),"",IF(AND(INDEX(工程マスタ!$I:$I,$AG35)="○",$E35&gt;=Q$3,$E35&lt;EDATE(Q$3,1)),"▼",""))</f>
        <v/>
      </c>
      <c r="R35" s="31" t="str">
        <f aca="false">IF(OR($AG35=0,R$3=""),"",IF(AND(INDEX(工程マスタ!$I:$I,$AG35)="○",$E35&gt;=R$3,$E35&lt;EDATE(R$3,1)),"▼",""))</f>
        <v/>
      </c>
      <c r="S35" s="31" t="str">
        <f aca="false">IF(OR($AG35=0,S$3=""),"",IF(AND(INDEX(工程マスタ!$I:$I,$AG35)="○",$E35&gt;=S$3,$E35&lt;EDATE(S$3,1)),"▼",""))</f>
        <v/>
      </c>
      <c r="T35" s="31" t="str">
        <f aca="false">IF(OR($AG35=0,T$3=""),"",IF(AND(INDEX(工程マスタ!$I:$I,$AG35)="○",$E35&gt;=T$3,$E35&lt;EDATE(T$3,1)),"▼",""))</f>
        <v/>
      </c>
      <c r="U35" s="31" t="str">
        <f aca="false">IF(OR($AG35=0,U$3=""),"",IF(AND(INDEX(工程マスタ!$I:$I,$AG35)="○",$E35&gt;=U$3,$E35&lt;EDATE(U$3,1)),"▼",""))</f>
        <v/>
      </c>
      <c r="V35" s="31" t="str">
        <f aca="false">IF(OR($AG35=0,V$3=""),"",IF(AND(INDEX(工程マスタ!$I:$I,$AG35)="○",$E35&gt;=V$3,$E35&lt;EDATE(V$3,1)),"▼",""))</f>
        <v/>
      </c>
      <c r="W35" s="31" t="str">
        <f aca="false">IF(OR($AG35=0,W$3=""),"",IF(AND(INDEX(工程マスタ!$I:$I,$AG35)="○",$E35&gt;=W$3,$E35&lt;EDATE(W$3,1)),"▼",""))</f>
        <v/>
      </c>
      <c r="X35" s="31" t="str">
        <f aca="false">IF(OR($AG35=0,X$3=""),"",IF(AND(INDEX(工程マスタ!$I:$I,$AG35)="○",$E35&gt;=X$3,$E35&lt;EDATE(X$3,1)),"▼",""))</f>
        <v/>
      </c>
      <c r="Y35" s="31" t="str">
        <f aca="false">IF(OR($AG35=0,Y$3=""),"",IF(AND(INDEX(工程マスタ!$I:$I,$AG35)="○",$E35&gt;=Y$3,$E35&lt;EDATE(Y$3,1)),"▼",""))</f>
        <v/>
      </c>
      <c r="Z35" s="31" t="str">
        <f aca="false">IF(OR($AG35=0,Z$3=""),"",IF(AND(INDEX(工程マスタ!$I:$I,$AG35)="○",$E35&gt;=Z$3,$E35&lt;EDATE(Z$3,1)),"▼",""))</f>
        <v/>
      </c>
      <c r="AA35" s="31" t="str">
        <f aca="false">IF(OR($AG35=0,AA$3=""),"",IF(AND(INDEX(工程マスタ!$I:$I,$AG35)="○",$E35&gt;=AA$3,$E35&lt;EDATE(AA$3,1)),"▼",""))</f>
        <v/>
      </c>
      <c r="AB35" s="31" t="str">
        <f aca="false">IF(OR($AG35=0,AB$3=""),"",IF(AND(INDEX(工程マスタ!$I:$I,$AG35)="○",$E35&gt;=AB$3,$E35&lt;EDATE(AB$3,1)),"▼",""))</f>
        <v/>
      </c>
      <c r="AC35" s="31" t="str">
        <f aca="false">IF(OR($AG35=0,AC$3=""),"",IF(AND(INDEX(工程マスタ!$I:$I,$AG35)="○",$E35&gt;=AC$3,$E35&lt;EDATE(AC$3,1)),"▼",""))</f>
        <v/>
      </c>
      <c r="AD35" s="31" t="str">
        <f aca="false">IF(OR($AG35=0,AD$3=""),"",IF(AND(INDEX(工程マスタ!$I:$I,$AG35)="○",$E35&gt;=AD$3,$E35&lt;EDATE(AD$3,1)),"▼",""))</f>
        <v/>
      </c>
      <c r="AE35" s="31" t="str">
        <f aca="false">IF(OR($AG35=0,AE$3=""),"",IF(AND(INDEX(工程マスタ!$I:$I,$AG35)="○",$E35&gt;=AE$3,$E35&lt;EDATE(AE$3,1)),"▼",""))</f>
        <v/>
      </c>
      <c r="AG35" s="27" t="n">
        <f aca="false" t="array" ref="AG35:AG35">IFERROR(SMALL(IF(工程マスタ!$K$5:$K$154&gt;0,ROW(工程マスタ!$C$5:$C$154)),30),0)</f>
        <v>34</v>
      </c>
      <c r="AH35" s="27" t="n">
        <f aca="false">IF($AG35=0,0,INDEX(工程マスタ!$M:$M,$AG35))</f>
        <v>46377</v>
      </c>
    </row>
    <row r="36" customFormat="false" ht="15" hidden="false" customHeight="false" outlineLevel="0" collapsed="false">
      <c r="A36" s="28" t="n">
        <f aca="false">IF($AG36=0,"",IF(INDEX(工程マスタ!$A:$A,$AG36)="","",INDEX(工程マスタ!$A:$A,$AG36)))</f>
        <v>31</v>
      </c>
      <c r="B36" s="21" t="str">
        <f aca="false">IF($AG36=0,"",IF(INDEX(工程マスタ!$B:$B,$AG36)="","",INDEX(工程マスタ!$B:$B,$AG36)))</f>
        <v>内装・設備工事</v>
      </c>
      <c r="C36" s="21" t="str">
        <f aca="false">IF($AG36=0,"",IF(INDEX(工程マスタ!$C:$C,$AG36)="","",INDEX(工程マスタ!$C:$C,$AG36)))</f>
        <v>ボード貼り</v>
      </c>
      <c r="D36" s="21" t="str">
        <f aca="false">IF($AG36=0,"",IF(INDEX(工程マスタ!$D:$D,$AG36)="","",INDEX(工程マスタ!$D:$D,$AG36)))</f>
        <v>☆☆内装</v>
      </c>
      <c r="E36" s="29" t="n">
        <f aca="false">IF($AG36=0,"",IF(INDEX(工程マスタ!$E:$E,$AG36)="","",INDEX(工程マスタ!$E:$E,$AG36)))</f>
        <v>46399</v>
      </c>
      <c r="F36" s="29" t="n">
        <f aca="false">IF($AG36=0,"",IF(INDEX(工程マスタ!$F:$F,$AG36)="","",INDEX(工程マスタ!$F:$F,$AG36)))</f>
        <v>46430</v>
      </c>
      <c r="G36" s="30" t="n">
        <f aca="false">IF($AG36=0,"",IF(INDEX(工程マスタ!$H:$H,$AG36)="","",INDEX(工程マスタ!$H:$H,$AG36)))</f>
        <v>0</v>
      </c>
      <c r="H36" s="31" t="str">
        <f aca="false">IF(OR($AG36=0,H$3=""),"",IF(AND(INDEX(工程マスタ!$I:$I,$AG36)="○",$E36&gt;=H$3,$E36&lt;EDATE(H$3,1)),"▼",""))</f>
        <v/>
      </c>
      <c r="I36" s="31" t="str">
        <f aca="false">IF(OR($AG36=0,I$3=""),"",IF(AND(INDEX(工程マスタ!$I:$I,$AG36)="○",$E36&gt;=I$3,$E36&lt;EDATE(I$3,1)),"▼",""))</f>
        <v/>
      </c>
      <c r="J36" s="31" t="str">
        <f aca="false">IF(OR($AG36=0,J$3=""),"",IF(AND(INDEX(工程マスタ!$I:$I,$AG36)="○",$E36&gt;=J$3,$E36&lt;EDATE(J$3,1)),"▼",""))</f>
        <v/>
      </c>
      <c r="K36" s="31" t="str">
        <f aca="false">IF(OR($AG36=0,K$3=""),"",IF(AND(INDEX(工程マスタ!$I:$I,$AG36)="○",$E36&gt;=K$3,$E36&lt;EDATE(K$3,1)),"▼",""))</f>
        <v/>
      </c>
      <c r="L36" s="31" t="str">
        <f aca="false">IF(OR($AG36=0,L$3=""),"",IF(AND(INDEX(工程マスタ!$I:$I,$AG36)="○",$E36&gt;=L$3,$E36&lt;EDATE(L$3,1)),"▼",""))</f>
        <v/>
      </c>
      <c r="M36" s="31" t="str">
        <f aca="false">IF(OR($AG36=0,M$3=""),"",IF(AND(INDEX(工程マスタ!$I:$I,$AG36)="○",$E36&gt;=M$3,$E36&lt;EDATE(M$3,1)),"▼",""))</f>
        <v/>
      </c>
      <c r="N36" s="31" t="str">
        <f aca="false">IF(OR($AG36=0,N$3=""),"",IF(AND(INDEX(工程マスタ!$I:$I,$AG36)="○",$E36&gt;=N$3,$E36&lt;EDATE(N$3,1)),"▼",""))</f>
        <v/>
      </c>
      <c r="O36" s="31" t="str">
        <f aca="false">IF(OR($AG36=0,O$3=""),"",IF(AND(INDEX(工程マスタ!$I:$I,$AG36)="○",$E36&gt;=O$3,$E36&lt;EDATE(O$3,1)),"▼",""))</f>
        <v/>
      </c>
      <c r="P36" s="31" t="str">
        <f aca="false">IF(OR($AG36=0,P$3=""),"",IF(AND(INDEX(工程マスタ!$I:$I,$AG36)="○",$E36&gt;=P$3,$E36&lt;EDATE(P$3,1)),"▼",""))</f>
        <v/>
      </c>
      <c r="Q36" s="31" t="str">
        <f aca="false">IF(OR($AG36=0,Q$3=""),"",IF(AND(INDEX(工程マスタ!$I:$I,$AG36)="○",$E36&gt;=Q$3,$E36&lt;EDATE(Q$3,1)),"▼",""))</f>
        <v/>
      </c>
      <c r="R36" s="31" t="str">
        <f aca="false">IF(OR($AG36=0,R$3=""),"",IF(AND(INDEX(工程マスタ!$I:$I,$AG36)="○",$E36&gt;=R$3,$E36&lt;EDATE(R$3,1)),"▼",""))</f>
        <v/>
      </c>
      <c r="S36" s="31" t="str">
        <f aca="false">IF(OR($AG36=0,S$3=""),"",IF(AND(INDEX(工程マスタ!$I:$I,$AG36)="○",$E36&gt;=S$3,$E36&lt;EDATE(S$3,1)),"▼",""))</f>
        <v/>
      </c>
      <c r="T36" s="31" t="str">
        <f aca="false">IF(OR($AG36=0,T$3=""),"",IF(AND(INDEX(工程マスタ!$I:$I,$AG36)="○",$E36&gt;=T$3,$E36&lt;EDATE(T$3,1)),"▼",""))</f>
        <v/>
      </c>
      <c r="U36" s="31" t="str">
        <f aca="false">IF(OR($AG36=0,U$3=""),"",IF(AND(INDEX(工程マスタ!$I:$I,$AG36)="○",$E36&gt;=U$3,$E36&lt;EDATE(U$3,1)),"▼",""))</f>
        <v/>
      </c>
      <c r="V36" s="31" t="str">
        <f aca="false">IF(OR($AG36=0,V$3=""),"",IF(AND(INDEX(工程マスタ!$I:$I,$AG36)="○",$E36&gt;=V$3,$E36&lt;EDATE(V$3,1)),"▼",""))</f>
        <v/>
      </c>
      <c r="W36" s="31" t="str">
        <f aca="false">IF(OR($AG36=0,W$3=""),"",IF(AND(INDEX(工程マスタ!$I:$I,$AG36)="○",$E36&gt;=W$3,$E36&lt;EDATE(W$3,1)),"▼",""))</f>
        <v/>
      </c>
      <c r="X36" s="31" t="str">
        <f aca="false">IF(OR($AG36=0,X$3=""),"",IF(AND(INDEX(工程マスタ!$I:$I,$AG36)="○",$E36&gt;=X$3,$E36&lt;EDATE(X$3,1)),"▼",""))</f>
        <v/>
      </c>
      <c r="Y36" s="31" t="str">
        <f aca="false">IF(OR($AG36=0,Y$3=""),"",IF(AND(INDEX(工程マスタ!$I:$I,$AG36)="○",$E36&gt;=Y$3,$E36&lt;EDATE(Y$3,1)),"▼",""))</f>
        <v/>
      </c>
      <c r="Z36" s="31" t="str">
        <f aca="false">IF(OR($AG36=0,Z$3=""),"",IF(AND(INDEX(工程マスタ!$I:$I,$AG36)="○",$E36&gt;=Z$3,$E36&lt;EDATE(Z$3,1)),"▼",""))</f>
        <v/>
      </c>
      <c r="AA36" s="31" t="str">
        <f aca="false">IF(OR($AG36=0,AA$3=""),"",IF(AND(INDEX(工程マスタ!$I:$I,$AG36)="○",$E36&gt;=AA$3,$E36&lt;EDATE(AA$3,1)),"▼",""))</f>
        <v/>
      </c>
      <c r="AB36" s="31" t="str">
        <f aca="false">IF(OR($AG36=0,AB$3=""),"",IF(AND(INDEX(工程マスタ!$I:$I,$AG36)="○",$E36&gt;=AB$3,$E36&lt;EDATE(AB$3,1)),"▼",""))</f>
        <v/>
      </c>
      <c r="AC36" s="31" t="str">
        <f aca="false">IF(OR($AG36=0,AC$3=""),"",IF(AND(INDEX(工程マスタ!$I:$I,$AG36)="○",$E36&gt;=AC$3,$E36&lt;EDATE(AC$3,1)),"▼",""))</f>
        <v/>
      </c>
      <c r="AD36" s="31" t="str">
        <f aca="false">IF(OR($AG36=0,AD$3=""),"",IF(AND(INDEX(工程マスタ!$I:$I,$AG36)="○",$E36&gt;=AD$3,$E36&lt;EDATE(AD$3,1)),"▼",""))</f>
        <v/>
      </c>
      <c r="AE36" s="31" t="str">
        <f aca="false">IF(OR($AG36=0,AE$3=""),"",IF(AND(INDEX(工程マスタ!$I:$I,$AG36)="○",$E36&gt;=AE$3,$E36&lt;EDATE(AE$3,1)),"▼",""))</f>
        <v/>
      </c>
      <c r="AG36" s="27" t="n">
        <f aca="false" t="array" ref="AG36:AG36">IFERROR(SMALL(IF(工程マスタ!$K$5:$K$154&gt;0,ROW(工程マスタ!$C$5:$C$154)),31),0)</f>
        <v>35</v>
      </c>
      <c r="AH36" s="27" t="n">
        <f aca="false">IF($AG36=0,0,INDEX(工程マスタ!$M:$M,$AG36))</f>
        <v>46399</v>
      </c>
    </row>
    <row r="37" customFormat="false" ht="15" hidden="false" customHeight="false" outlineLevel="0" collapsed="false">
      <c r="A37" s="28" t="n">
        <f aca="false">IF($AG37=0,"",IF(INDEX(工程マスタ!$A:$A,$AG37)="","",INDEX(工程マスタ!$A:$A,$AG37)))</f>
        <v>32</v>
      </c>
      <c r="B37" s="21" t="str">
        <f aca="false">IF($AG37=0,"",IF(INDEX(工程マスタ!$B:$B,$AG37)="","",INDEX(工程マスタ!$B:$B,$AG37)))</f>
        <v>マイルストーン</v>
      </c>
      <c r="C37" s="21" t="str">
        <f aca="false">IF($AG37=0,"",IF(INDEX(工程マスタ!$C:$C,$AG37)="","",INDEX(工程マスタ!$C:$C,$AG37)))</f>
        <v>受電</v>
      </c>
      <c r="D37" s="21" t="str">
        <f aca="false">IF($AG37=0,"",IF(INDEX(工程マスタ!$D:$D,$AG37)="","",INDEX(工程マスタ!$D:$D,$AG37)))</f>
        <v/>
      </c>
      <c r="E37" s="29" t="n">
        <f aca="false">IF($AG37=0,"",IF(INDEX(工程マスタ!$E:$E,$AG37)="","",INDEX(工程マスタ!$E:$E,$AG37)))</f>
        <v>46420</v>
      </c>
      <c r="F37" s="29" t="n">
        <f aca="false">IF($AG37=0,"",IF(INDEX(工程マスタ!$F:$F,$AG37)="","",INDEX(工程マスタ!$F:$F,$AG37)))</f>
        <v>46420</v>
      </c>
      <c r="G37" s="30" t="str">
        <f aca="false">IF($AG37=0,"",IF(INDEX(工程マスタ!$H:$H,$AG37)="","",INDEX(工程マスタ!$H:$H,$AG37)))</f>
        <v/>
      </c>
      <c r="H37" s="31" t="str">
        <f aca="false">IF(OR($AG37=0,H$3=""),"",IF(AND(INDEX(工程マスタ!$I:$I,$AG37)="○",$E37&gt;=H$3,$E37&lt;EDATE(H$3,1)),"▼",""))</f>
        <v/>
      </c>
      <c r="I37" s="31" t="str">
        <f aca="false">IF(OR($AG37=0,I$3=""),"",IF(AND(INDEX(工程マスタ!$I:$I,$AG37)="○",$E37&gt;=I$3,$E37&lt;EDATE(I$3,1)),"▼",""))</f>
        <v/>
      </c>
      <c r="J37" s="31" t="str">
        <f aca="false">IF(OR($AG37=0,J$3=""),"",IF(AND(INDEX(工程マスタ!$I:$I,$AG37)="○",$E37&gt;=J$3,$E37&lt;EDATE(J$3,1)),"▼",""))</f>
        <v/>
      </c>
      <c r="K37" s="31" t="str">
        <f aca="false">IF(OR($AG37=0,K$3=""),"",IF(AND(INDEX(工程マスタ!$I:$I,$AG37)="○",$E37&gt;=K$3,$E37&lt;EDATE(K$3,1)),"▼",""))</f>
        <v/>
      </c>
      <c r="L37" s="31" t="str">
        <f aca="false">IF(OR($AG37=0,L$3=""),"",IF(AND(INDEX(工程マスタ!$I:$I,$AG37)="○",$E37&gt;=L$3,$E37&lt;EDATE(L$3,1)),"▼",""))</f>
        <v/>
      </c>
      <c r="M37" s="31" t="str">
        <f aca="false">IF(OR($AG37=0,M$3=""),"",IF(AND(INDEX(工程マスタ!$I:$I,$AG37)="○",$E37&gt;=M$3,$E37&lt;EDATE(M$3,1)),"▼",""))</f>
        <v/>
      </c>
      <c r="N37" s="31" t="str">
        <f aca="false">IF(OR($AG37=0,N$3=""),"",IF(AND(INDEX(工程マスタ!$I:$I,$AG37)="○",$E37&gt;=N$3,$E37&lt;EDATE(N$3,1)),"▼",""))</f>
        <v/>
      </c>
      <c r="O37" s="31" t="str">
        <f aca="false">IF(OR($AG37=0,O$3=""),"",IF(AND(INDEX(工程マスタ!$I:$I,$AG37)="○",$E37&gt;=O$3,$E37&lt;EDATE(O$3,1)),"▼",""))</f>
        <v>▼</v>
      </c>
      <c r="P37" s="31" t="str">
        <f aca="false">IF(OR($AG37=0,P$3=""),"",IF(AND(INDEX(工程マスタ!$I:$I,$AG37)="○",$E37&gt;=P$3,$E37&lt;EDATE(P$3,1)),"▼",""))</f>
        <v/>
      </c>
      <c r="Q37" s="31" t="str">
        <f aca="false">IF(OR($AG37=0,Q$3=""),"",IF(AND(INDEX(工程マスタ!$I:$I,$AG37)="○",$E37&gt;=Q$3,$E37&lt;EDATE(Q$3,1)),"▼",""))</f>
        <v/>
      </c>
      <c r="R37" s="31" t="str">
        <f aca="false">IF(OR($AG37=0,R$3=""),"",IF(AND(INDEX(工程マスタ!$I:$I,$AG37)="○",$E37&gt;=R$3,$E37&lt;EDATE(R$3,1)),"▼",""))</f>
        <v/>
      </c>
      <c r="S37" s="31" t="str">
        <f aca="false">IF(OR($AG37=0,S$3=""),"",IF(AND(INDEX(工程マスタ!$I:$I,$AG37)="○",$E37&gt;=S$3,$E37&lt;EDATE(S$3,1)),"▼",""))</f>
        <v/>
      </c>
      <c r="T37" s="31" t="str">
        <f aca="false">IF(OR($AG37=0,T$3=""),"",IF(AND(INDEX(工程マスタ!$I:$I,$AG37)="○",$E37&gt;=T$3,$E37&lt;EDATE(T$3,1)),"▼",""))</f>
        <v/>
      </c>
      <c r="U37" s="31" t="str">
        <f aca="false">IF(OR($AG37=0,U$3=""),"",IF(AND(INDEX(工程マスタ!$I:$I,$AG37)="○",$E37&gt;=U$3,$E37&lt;EDATE(U$3,1)),"▼",""))</f>
        <v/>
      </c>
      <c r="V37" s="31" t="str">
        <f aca="false">IF(OR($AG37=0,V$3=""),"",IF(AND(INDEX(工程マスタ!$I:$I,$AG37)="○",$E37&gt;=V$3,$E37&lt;EDATE(V$3,1)),"▼",""))</f>
        <v/>
      </c>
      <c r="W37" s="31" t="str">
        <f aca="false">IF(OR($AG37=0,W$3=""),"",IF(AND(INDEX(工程マスタ!$I:$I,$AG37)="○",$E37&gt;=W$3,$E37&lt;EDATE(W$3,1)),"▼",""))</f>
        <v/>
      </c>
      <c r="X37" s="31" t="str">
        <f aca="false">IF(OR($AG37=0,X$3=""),"",IF(AND(INDEX(工程マスタ!$I:$I,$AG37)="○",$E37&gt;=X$3,$E37&lt;EDATE(X$3,1)),"▼",""))</f>
        <v/>
      </c>
      <c r="Y37" s="31" t="str">
        <f aca="false">IF(OR($AG37=0,Y$3=""),"",IF(AND(INDEX(工程マスタ!$I:$I,$AG37)="○",$E37&gt;=Y$3,$E37&lt;EDATE(Y$3,1)),"▼",""))</f>
        <v/>
      </c>
      <c r="Z37" s="31" t="str">
        <f aca="false">IF(OR($AG37=0,Z$3=""),"",IF(AND(INDEX(工程マスタ!$I:$I,$AG37)="○",$E37&gt;=Z$3,$E37&lt;EDATE(Z$3,1)),"▼",""))</f>
        <v/>
      </c>
      <c r="AA37" s="31" t="str">
        <f aca="false">IF(OR($AG37=0,AA$3=""),"",IF(AND(INDEX(工程マスタ!$I:$I,$AG37)="○",$E37&gt;=AA$3,$E37&lt;EDATE(AA$3,1)),"▼",""))</f>
        <v/>
      </c>
      <c r="AB37" s="31" t="str">
        <f aca="false">IF(OR($AG37=0,AB$3=""),"",IF(AND(INDEX(工程マスタ!$I:$I,$AG37)="○",$E37&gt;=AB$3,$E37&lt;EDATE(AB$3,1)),"▼",""))</f>
        <v/>
      </c>
      <c r="AC37" s="31" t="str">
        <f aca="false">IF(OR($AG37=0,AC$3=""),"",IF(AND(INDEX(工程マスタ!$I:$I,$AG37)="○",$E37&gt;=AC$3,$E37&lt;EDATE(AC$3,1)),"▼",""))</f>
        <v/>
      </c>
      <c r="AD37" s="31" t="str">
        <f aca="false">IF(OR($AG37=0,AD$3=""),"",IF(AND(INDEX(工程マスタ!$I:$I,$AG37)="○",$E37&gt;=AD$3,$E37&lt;EDATE(AD$3,1)),"▼",""))</f>
        <v/>
      </c>
      <c r="AE37" s="31" t="str">
        <f aca="false">IF(OR($AG37=0,AE$3=""),"",IF(AND(INDEX(工程マスタ!$I:$I,$AG37)="○",$E37&gt;=AE$3,$E37&lt;EDATE(AE$3,1)),"▼",""))</f>
        <v/>
      </c>
      <c r="AG37" s="27" t="n">
        <f aca="false" t="array" ref="AG37:AG37">IFERROR(SMALL(IF(工程マスタ!$K$5:$K$154&gt;0,ROW(工程マスタ!$C$5:$C$154)),32),0)</f>
        <v>36</v>
      </c>
      <c r="AH37" s="32" t="n">
        <f aca="false">IF($AG37=0,0,INDEX(工程マスタ!$M:$M,$AG37))</f>
        <v>46420</v>
      </c>
    </row>
    <row r="38" customFormat="false" ht="15" hidden="false" customHeight="false" outlineLevel="0" collapsed="false">
      <c r="A38" s="28" t="n">
        <f aca="false">IF($AG38=0,"",IF(INDEX(工程マスタ!$A:$A,$AG38)="","",INDEX(工程マスタ!$A:$A,$AG38)))</f>
        <v>33</v>
      </c>
      <c r="B38" s="21" t="str">
        <f aca="false">IF($AG38=0,"",IF(INDEX(工程マスタ!$B:$B,$AG38)="","",INDEX(工程マスタ!$B:$B,$AG38)))</f>
        <v>内装・設備工事</v>
      </c>
      <c r="C38" s="21" t="str">
        <f aca="false">IF($AG38=0,"",IF(INDEX(工程マスタ!$C:$C,$AG38)="","",INDEX(工程マスタ!$C:$C,$AG38)))</f>
        <v>塗装・クロス仕上</v>
      </c>
      <c r="D38" s="21" t="str">
        <f aca="false">IF($AG38=0,"",IF(INDEX(工程マスタ!$D:$D,$AG38)="","",INDEX(工程マスタ!$D:$D,$AG38)))</f>
        <v>☆☆内装</v>
      </c>
      <c r="E38" s="29" t="n">
        <f aca="false">IF($AG38=0,"",IF(INDEX(工程マスタ!$E:$E,$AG38)="","",INDEX(工程マスタ!$E:$E,$AG38)))</f>
        <v>46426</v>
      </c>
      <c r="F38" s="29" t="n">
        <f aca="false">IF($AG38=0,"",IF(INDEX(工程マスタ!$F:$F,$AG38)="","",INDEX(工程マスタ!$F:$F,$AG38)))</f>
        <v>46451</v>
      </c>
      <c r="G38" s="30" t="n">
        <f aca="false">IF($AG38=0,"",IF(INDEX(工程マスタ!$H:$H,$AG38)="","",INDEX(工程マスタ!$H:$H,$AG38)))</f>
        <v>0</v>
      </c>
      <c r="H38" s="31" t="str">
        <f aca="false">IF(OR($AG38=0,H$3=""),"",IF(AND(INDEX(工程マスタ!$I:$I,$AG38)="○",$E38&gt;=H$3,$E38&lt;EDATE(H$3,1)),"▼",""))</f>
        <v/>
      </c>
      <c r="I38" s="31" t="str">
        <f aca="false">IF(OR($AG38=0,I$3=""),"",IF(AND(INDEX(工程マスタ!$I:$I,$AG38)="○",$E38&gt;=I$3,$E38&lt;EDATE(I$3,1)),"▼",""))</f>
        <v/>
      </c>
      <c r="J38" s="31" t="str">
        <f aca="false">IF(OR($AG38=0,J$3=""),"",IF(AND(INDEX(工程マスタ!$I:$I,$AG38)="○",$E38&gt;=J$3,$E38&lt;EDATE(J$3,1)),"▼",""))</f>
        <v/>
      </c>
      <c r="K38" s="31" t="str">
        <f aca="false">IF(OR($AG38=0,K$3=""),"",IF(AND(INDEX(工程マスタ!$I:$I,$AG38)="○",$E38&gt;=K$3,$E38&lt;EDATE(K$3,1)),"▼",""))</f>
        <v/>
      </c>
      <c r="L38" s="31" t="str">
        <f aca="false">IF(OR($AG38=0,L$3=""),"",IF(AND(INDEX(工程マスタ!$I:$I,$AG38)="○",$E38&gt;=L$3,$E38&lt;EDATE(L$3,1)),"▼",""))</f>
        <v/>
      </c>
      <c r="M38" s="31" t="str">
        <f aca="false">IF(OR($AG38=0,M$3=""),"",IF(AND(INDEX(工程マスタ!$I:$I,$AG38)="○",$E38&gt;=M$3,$E38&lt;EDATE(M$3,1)),"▼",""))</f>
        <v/>
      </c>
      <c r="N38" s="31" t="str">
        <f aca="false">IF(OR($AG38=0,N$3=""),"",IF(AND(INDEX(工程マスタ!$I:$I,$AG38)="○",$E38&gt;=N$3,$E38&lt;EDATE(N$3,1)),"▼",""))</f>
        <v/>
      </c>
      <c r="O38" s="31" t="str">
        <f aca="false">IF(OR($AG38=0,O$3=""),"",IF(AND(INDEX(工程マスタ!$I:$I,$AG38)="○",$E38&gt;=O$3,$E38&lt;EDATE(O$3,1)),"▼",""))</f>
        <v/>
      </c>
      <c r="P38" s="31" t="str">
        <f aca="false">IF(OR($AG38=0,P$3=""),"",IF(AND(INDEX(工程マスタ!$I:$I,$AG38)="○",$E38&gt;=P$3,$E38&lt;EDATE(P$3,1)),"▼",""))</f>
        <v/>
      </c>
      <c r="Q38" s="31" t="str">
        <f aca="false">IF(OR($AG38=0,Q$3=""),"",IF(AND(INDEX(工程マスタ!$I:$I,$AG38)="○",$E38&gt;=Q$3,$E38&lt;EDATE(Q$3,1)),"▼",""))</f>
        <v/>
      </c>
      <c r="R38" s="31" t="str">
        <f aca="false">IF(OR($AG38=0,R$3=""),"",IF(AND(INDEX(工程マスタ!$I:$I,$AG38)="○",$E38&gt;=R$3,$E38&lt;EDATE(R$3,1)),"▼",""))</f>
        <v/>
      </c>
      <c r="S38" s="31" t="str">
        <f aca="false">IF(OR($AG38=0,S$3=""),"",IF(AND(INDEX(工程マスタ!$I:$I,$AG38)="○",$E38&gt;=S$3,$E38&lt;EDATE(S$3,1)),"▼",""))</f>
        <v/>
      </c>
      <c r="T38" s="31" t="str">
        <f aca="false">IF(OR($AG38=0,T$3=""),"",IF(AND(INDEX(工程マスタ!$I:$I,$AG38)="○",$E38&gt;=T$3,$E38&lt;EDATE(T$3,1)),"▼",""))</f>
        <v/>
      </c>
      <c r="U38" s="31" t="str">
        <f aca="false">IF(OR($AG38=0,U$3=""),"",IF(AND(INDEX(工程マスタ!$I:$I,$AG38)="○",$E38&gt;=U$3,$E38&lt;EDATE(U$3,1)),"▼",""))</f>
        <v/>
      </c>
      <c r="V38" s="31" t="str">
        <f aca="false">IF(OR($AG38=0,V$3=""),"",IF(AND(INDEX(工程マスタ!$I:$I,$AG38)="○",$E38&gt;=V$3,$E38&lt;EDATE(V$3,1)),"▼",""))</f>
        <v/>
      </c>
      <c r="W38" s="31" t="str">
        <f aca="false">IF(OR($AG38=0,W$3=""),"",IF(AND(INDEX(工程マスタ!$I:$I,$AG38)="○",$E38&gt;=W$3,$E38&lt;EDATE(W$3,1)),"▼",""))</f>
        <v/>
      </c>
      <c r="X38" s="31" t="str">
        <f aca="false">IF(OR($AG38=0,X$3=""),"",IF(AND(INDEX(工程マスタ!$I:$I,$AG38)="○",$E38&gt;=X$3,$E38&lt;EDATE(X$3,1)),"▼",""))</f>
        <v/>
      </c>
      <c r="Y38" s="31" t="str">
        <f aca="false">IF(OR($AG38=0,Y$3=""),"",IF(AND(INDEX(工程マスタ!$I:$I,$AG38)="○",$E38&gt;=Y$3,$E38&lt;EDATE(Y$3,1)),"▼",""))</f>
        <v/>
      </c>
      <c r="Z38" s="31" t="str">
        <f aca="false">IF(OR($AG38=0,Z$3=""),"",IF(AND(INDEX(工程マスタ!$I:$I,$AG38)="○",$E38&gt;=Z$3,$E38&lt;EDATE(Z$3,1)),"▼",""))</f>
        <v/>
      </c>
      <c r="AA38" s="31" t="str">
        <f aca="false">IF(OR($AG38=0,AA$3=""),"",IF(AND(INDEX(工程マスタ!$I:$I,$AG38)="○",$E38&gt;=AA$3,$E38&lt;EDATE(AA$3,1)),"▼",""))</f>
        <v/>
      </c>
      <c r="AB38" s="31" t="str">
        <f aca="false">IF(OR($AG38=0,AB$3=""),"",IF(AND(INDEX(工程マスタ!$I:$I,$AG38)="○",$E38&gt;=AB$3,$E38&lt;EDATE(AB$3,1)),"▼",""))</f>
        <v/>
      </c>
      <c r="AC38" s="31" t="str">
        <f aca="false">IF(OR($AG38=0,AC$3=""),"",IF(AND(INDEX(工程マスタ!$I:$I,$AG38)="○",$E38&gt;=AC$3,$E38&lt;EDATE(AC$3,1)),"▼",""))</f>
        <v/>
      </c>
      <c r="AD38" s="31" t="str">
        <f aca="false">IF(OR($AG38=0,AD$3=""),"",IF(AND(INDEX(工程マスタ!$I:$I,$AG38)="○",$E38&gt;=AD$3,$E38&lt;EDATE(AD$3,1)),"▼",""))</f>
        <v/>
      </c>
      <c r="AE38" s="31" t="str">
        <f aca="false">IF(OR($AG38=0,AE$3=""),"",IF(AND(INDEX(工程マスタ!$I:$I,$AG38)="○",$E38&gt;=AE$3,$E38&lt;EDATE(AE$3,1)),"▼",""))</f>
        <v/>
      </c>
      <c r="AG38" s="27" t="n">
        <f aca="false" t="array" ref="AG38:AG38">IFERROR(SMALL(IF(工程マスタ!$K$5:$K$154&gt;0,ROW(工程マスタ!$C$5:$C$154)),33),0)</f>
        <v>37</v>
      </c>
      <c r="AH38" s="27" t="n">
        <f aca="false">IF($AG38=0,0,INDEX(工程マスタ!$M:$M,$AG38))</f>
        <v>46426</v>
      </c>
    </row>
    <row r="39" customFormat="false" ht="15" hidden="false" customHeight="false" outlineLevel="0" collapsed="false">
      <c r="A39" s="28" t="n">
        <f aca="false">IF($AG39=0,"",IF(INDEX(工程マスタ!$A:$A,$AG39)="","",INDEX(工程マスタ!$A:$A,$AG39)))</f>
        <v>34</v>
      </c>
      <c r="B39" s="21" t="str">
        <f aca="false">IF($AG39=0,"",IF(INDEX(工程マスタ!$B:$B,$AG39)="","",INDEX(工程マスタ!$B:$B,$AG39)))</f>
        <v>内装・設備工事</v>
      </c>
      <c r="C39" s="21" t="str">
        <f aca="false">IF($AG39=0,"",IF(INDEX(工程マスタ!$C:$C,$AG39)="","",INDEX(工程マスタ!$C:$C,$AG39)))</f>
        <v>床仕上げ</v>
      </c>
      <c r="D39" s="21" t="str">
        <f aca="false">IF($AG39=0,"",IF(INDEX(工程マスタ!$D:$D,$AG39)="","",INDEX(工程マスタ!$D:$D,$AG39)))</f>
        <v>☆☆内装</v>
      </c>
      <c r="E39" s="29" t="n">
        <f aca="false">IF($AG39=0,"",IF(INDEX(工程マスタ!$E:$E,$AG39)="","",INDEX(工程マスタ!$E:$E,$AG39)))</f>
        <v>46440</v>
      </c>
      <c r="F39" s="29" t="n">
        <f aca="false">IF($AG39=0,"",IF(INDEX(工程マスタ!$F:$F,$AG39)="","",INDEX(工程マスタ!$F:$F,$AG39)))</f>
        <v>46458</v>
      </c>
      <c r="G39" s="30" t="n">
        <f aca="false">IF($AG39=0,"",IF(INDEX(工程マスタ!$H:$H,$AG39)="","",INDEX(工程マスタ!$H:$H,$AG39)))</f>
        <v>0</v>
      </c>
      <c r="H39" s="31" t="str">
        <f aca="false">IF(OR($AG39=0,H$3=""),"",IF(AND(INDEX(工程マスタ!$I:$I,$AG39)="○",$E39&gt;=H$3,$E39&lt;EDATE(H$3,1)),"▼",""))</f>
        <v/>
      </c>
      <c r="I39" s="31" t="str">
        <f aca="false">IF(OR($AG39=0,I$3=""),"",IF(AND(INDEX(工程マスタ!$I:$I,$AG39)="○",$E39&gt;=I$3,$E39&lt;EDATE(I$3,1)),"▼",""))</f>
        <v/>
      </c>
      <c r="J39" s="31" t="str">
        <f aca="false">IF(OR($AG39=0,J$3=""),"",IF(AND(INDEX(工程マスタ!$I:$I,$AG39)="○",$E39&gt;=J$3,$E39&lt;EDATE(J$3,1)),"▼",""))</f>
        <v/>
      </c>
      <c r="K39" s="31" t="str">
        <f aca="false">IF(OR($AG39=0,K$3=""),"",IF(AND(INDEX(工程マスタ!$I:$I,$AG39)="○",$E39&gt;=K$3,$E39&lt;EDATE(K$3,1)),"▼",""))</f>
        <v/>
      </c>
      <c r="L39" s="31" t="str">
        <f aca="false">IF(OR($AG39=0,L$3=""),"",IF(AND(INDEX(工程マスタ!$I:$I,$AG39)="○",$E39&gt;=L$3,$E39&lt;EDATE(L$3,1)),"▼",""))</f>
        <v/>
      </c>
      <c r="M39" s="31" t="str">
        <f aca="false">IF(OR($AG39=0,M$3=""),"",IF(AND(INDEX(工程マスタ!$I:$I,$AG39)="○",$E39&gt;=M$3,$E39&lt;EDATE(M$3,1)),"▼",""))</f>
        <v/>
      </c>
      <c r="N39" s="31" t="str">
        <f aca="false">IF(OR($AG39=0,N$3=""),"",IF(AND(INDEX(工程マスタ!$I:$I,$AG39)="○",$E39&gt;=N$3,$E39&lt;EDATE(N$3,1)),"▼",""))</f>
        <v/>
      </c>
      <c r="O39" s="31" t="str">
        <f aca="false">IF(OR($AG39=0,O$3=""),"",IF(AND(INDEX(工程マスタ!$I:$I,$AG39)="○",$E39&gt;=O$3,$E39&lt;EDATE(O$3,1)),"▼",""))</f>
        <v/>
      </c>
      <c r="P39" s="31" t="str">
        <f aca="false">IF(OR($AG39=0,P$3=""),"",IF(AND(INDEX(工程マスタ!$I:$I,$AG39)="○",$E39&gt;=P$3,$E39&lt;EDATE(P$3,1)),"▼",""))</f>
        <v/>
      </c>
      <c r="Q39" s="31" t="str">
        <f aca="false">IF(OR($AG39=0,Q$3=""),"",IF(AND(INDEX(工程マスタ!$I:$I,$AG39)="○",$E39&gt;=Q$3,$E39&lt;EDATE(Q$3,1)),"▼",""))</f>
        <v/>
      </c>
      <c r="R39" s="31" t="str">
        <f aca="false">IF(OR($AG39=0,R$3=""),"",IF(AND(INDEX(工程マスタ!$I:$I,$AG39)="○",$E39&gt;=R$3,$E39&lt;EDATE(R$3,1)),"▼",""))</f>
        <v/>
      </c>
      <c r="S39" s="31" t="str">
        <f aca="false">IF(OR($AG39=0,S$3=""),"",IF(AND(INDEX(工程マスタ!$I:$I,$AG39)="○",$E39&gt;=S$3,$E39&lt;EDATE(S$3,1)),"▼",""))</f>
        <v/>
      </c>
      <c r="T39" s="31" t="str">
        <f aca="false">IF(OR($AG39=0,T$3=""),"",IF(AND(INDEX(工程マスタ!$I:$I,$AG39)="○",$E39&gt;=T$3,$E39&lt;EDATE(T$3,1)),"▼",""))</f>
        <v/>
      </c>
      <c r="U39" s="31" t="str">
        <f aca="false">IF(OR($AG39=0,U$3=""),"",IF(AND(INDEX(工程マスタ!$I:$I,$AG39)="○",$E39&gt;=U$3,$E39&lt;EDATE(U$3,1)),"▼",""))</f>
        <v/>
      </c>
      <c r="V39" s="31" t="str">
        <f aca="false">IF(OR($AG39=0,V$3=""),"",IF(AND(INDEX(工程マスタ!$I:$I,$AG39)="○",$E39&gt;=V$3,$E39&lt;EDATE(V$3,1)),"▼",""))</f>
        <v/>
      </c>
      <c r="W39" s="31" t="str">
        <f aca="false">IF(OR($AG39=0,W$3=""),"",IF(AND(INDEX(工程マスタ!$I:$I,$AG39)="○",$E39&gt;=W$3,$E39&lt;EDATE(W$3,1)),"▼",""))</f>
        <v/>
      </c>
      <c r="X39" s="31" t="str">
        <f aca="false">IF(OR($AG39=0,X$3=""),"",IF(AND(INDEX(工程マスタ!$I:$I,$AG39)="○",$E39&gt;=X$3,$E39&lt;EDATE(X$3,1)),"▼",""))</f>
        <v/>
      </c>
      <c r="Y39" s="31" t="str">
        <f aca="false">IF(OR($AG39=0,Y$3=""),"",IF(AND(INDEX(工程マスタ!$I:$I,$AG39)="○",$E39&gt;=Y$3,$E39&lt;EDATE(Y$3,1)),"▼",""))</f>
        <v/>
      </c>
      <c r="Z39" s="31" t="str">
        <f aca="false">IF(OR($AG39=0,Z$3=""),"",IF(AND(INDEX(工程マスタ!$I:$I,$AG39)="○",$E39&gt;=Z$3,$E39&lt;EDATE(Z$3,1)),"▼",""))</f>
        <v/>
      </c>
      <c r="AA39" s="31" t="str">
        <f aca="false">IF(OR($AG39=0,AA$3=""),"",IF(AND(INDEX(工程マスタ!$I:$I,$AG39)="○",$E39&gt;=AA$3,$E39&lt;EDATE(AA$3,1)),"▼",""))</f>
        <v/>
      </c>
      <c r="AB39" s="31" t="str">
        <f aca="false">IF(OR($AG39=0,AB$3=""),"",IF(AND(INDEX(工程マスタ!$I:$I,$AG39)="○",$E39&gt;=AB$3,$E39&lt;EDATE(AB$3,1)),"▼",""))</f>
        <v/>
      </c>
      <c r="AC39" s="31" t="str">
        <f aca="false">IF(OR($AG39=0,AC$3=""),"",IF(AND(INDEX(工程マスタ!$I:$I,$AG39)="○",$E39&gt;=AC$3,$E39&lt;EDATE(AC$3,1)),"▼",""))</f>
        <v/>
      </c>
      <c r="AD39" s="31" t="str">
        <f aca="false">IF(OR($AG39=0,AD$3=""),"",IF(AND(INDEX(工程マスタ!$I:$I,$AG39)="○",$E39&gt;=AD$3,$E39&lt;EDATE(AD$3,1)),"▼",""))</f>
        <v/>
      </c>
      <c r="AE39" s="31" t="str">
        <f aca="false">IF(OR($AG39=0,AE$3=""),"",IF(AND(INDEX(工程マスタ!$I:$I,$AG39)="○",$E39&gt;=AE$3,$E39&lt;EDATE(AE$3,1)),"▼",""))</f>
        <v/>
      </c>
      <c r="AG39" s="27" t="n">
        <f aca="false" t="array" ref="AG39:AG39">IFERROR(SMALL(IF(工程マスタ!$K$5:$K$154&gt;0,ROW(工程マスタ!$C$5:$C$154)),34),0)</f>
        <v>38</v>
      </c>
      <c r="AH39" s="27" t="n">
        <f aca="false">IF($AG39=0,0,INDEX(工程マスタ!$M:$M,$AG39))</f>
        <v>46440</v>
      </c>
    </row>
    <row r="40" customFormat="false" ht="15" hidden="false" customHeight="false" outlineLevel="0" collapsed="false">
      <c r="A40" s="28" t="n">
        <f aca="false">IF($AG40=0,"",IF(INDEX(工程マスタ!$A:$A,$AG40)="","",INDEX(工程マスタ!$A:$A,$AG40)))</f>
        <v>35</v>
      </c>
      <c r="B40" s="21" t="str">
        <f aca="false">IF($AG40=0,"",IF(INDEX(工程マスタ!$B:$B,$AG40)="","",INDEX(工程マスタ!$B:$B,$AG40)))</f>
        <v>内装・設備工事</v>
      </c>
      <c r="C40" s="21" t="str">
        <f aca="false">IF($AG40=0,"",IF(INDEX(工程マスタ!$C:$C,$AG40)="","",INDEX(工程マスタ!$C:$C,$AG40)))</f>
        <v>照明・衛生器具取付</v>
      </c>
      <c r="D40" s="21" t="str">
        <f aca="false">IF($AG40=0,"",IF(INDEX(工程マスタ!$D:$D,$AG40)="","",INDEX(工程マスタ!$D:$D,$AG40)))</f>
        <v>△△電設・◎◎設備</v>
      </c>
      <c r="E40" s="29" t="n">
        <f aca="false">IF($AG40=0,"",IF(INDEX(工程マスタ!$E:$E,$AG40)="","",INDEX(工程マスタ!$E:$E,$AG40)))</f>
        <v>46433</v>
      </c>
      <c r="F40" s="29" t="n">
        <f aca="false">IF($AG40=0,"",IF(INDEX(工程マスタ!$F:$F,$AG40)="","",INDEX(工程マスタ!$F:$F,$AG40)))</f>
        <v>46456</v>
      </c>
      <c r="G40" s="30" t="n">
        <f aca="false">IF($AG40=0,"",IF(INDEX(工程マスタ!$H:$H,$AG40)="","",INDEX(工程マスタ!$H:$H,$AG40)))</f>
        <v>0</v>
      </c>
      <c r="H40" s="31" t="str">
        <f aca="false">IF(OR($AG40=0,H$3=""),"",IF(AND(INDEX(工程マスタ!$I:$I,$AG40)="○",$E40&gt;=H$3,$E40&lt;EDATE(H$3,1)),"▼",""))</f>
        <v/>
      </c>
      <c r="I40" s="31" t="str">
        <f aca="false">IF(OR($AG40=0,I$3=""),"",IF(AND(INDEX(工程マスタ!$I:$I,$AG40)="○",$E40&gt;=I$3,$E40&lt;EDATE(I$3,1)),"▼",""))</f>
        <v/>
      </c>
      <c r="J40" s="31" t="str">
        <f aca="false">IF(OR($AG40=0,J$3=""),"",IF(AND(INDEX(工程マスタ!$I:$I,$AG40)="○",$E40&gt;=J$3,$E40&lt;EDATE(J$3,1)),"▼",""))</f>
        <v/>
      </c>
      <c r="K40" s="31" t="str">
        <f aca="false">IF(OR($AG40=0,K$3=""),"",IF(AND(INDEX(工程マスタ!$I:$I,$AG40)="○",$E40&gt;=K$3,$E40&lt;EDATE(K$3,1)),"▼",""))</f>
        <v/>
      </c>
      <c r="L40" s="31" t="str">
        <f aca="false">IF(OR($AG40=0,L$3=""),"",IF(AND(INDEX(工程マスタ!$I:$I,$AG40)="○",$E40&gt;=L$3,$E40&lt;EDATE(L$3,1)),"▼",""))</f>
        <v/>
      </c>
      <c r="M40" s="31" t="str">
        <f aca="false">IF(OR($AG40=0,M$3=""),"",IF(AND(INDEX(工程マスタ!$I:$I,$AG40)="○",$E40&gt;=M$3,$E40&lt;EDATE(M$3,1)),"▼",""))</f>
        <v/>
      </c>
      <c r="N40" s="31" t="str">
        <f aca="false">IF(OR($AG40=0,N$3=""),"",IF(AND(INDEX(工程マスタ!$I:$I,$AG40)="○",$E40&gt;=N$3,$E40&lt;EDATE(N$3,1)),"▼",""))</f>
        <v/>
      </c>
      <c r="O40" s="31" t="str">
        <f aca="false">IF(OR($AG40=0,O$3=""),"",IF(AND(INDEX(工程マスタ!$I:$I,$AG40)="○",$E40&gt;=O$3,$E40&lt;EDATE(O$3,1)),"▼",""))</f>
        <v/>
      </c>
      <c r="P40" s="31" t="str">
        <f aca="false">IF(OR($AG40=0,P$3=""),"",IF(AND(INDEX(工程マスタ!$I:$I,$AG40)="○",$E40&gt;=P$3,$E40&lt;EDATE(P$3,1)),"▼",""))</f>
        <v/>
      </c>
      <c r="Q40" s="31" t="str">
        <f aca="false">IF(OR($AG40=0,Q$3=""),"",IF(AND(INDEX(工程マスタ!$I:$I,$AG40)="○",$E40&gt;=Q$3,$E40&lt;EDATE(Q$3,1)),"▼",""))</f>
        <v/>
      </c>
      <c r="R40" s="31" t="str">
        <f aca="false">IF(OR($AG40=0,R$3=""),"",IF(AND(INDEX(工程マスタ!$I:$I,$AG40)="○",$E40&gt;=R$3,$E40&lt;EDATE(R$3,1)),"▼",""))</f>
        <v/>
      </c>
      <c r="S40" s="31" t="str">
        <f aca="false">IF(OR($AG40=0,S$3=""),"",IF(AND(INDEX(工程マスタ!$I:$I,$AG40)="○",$E40&gt;=S$3,$E40&lt;EDATE(S$3,1)),"▼",""))</f>
        <v/>
      </c>
      <c r="T40" s="31" t="str">
        <f aca="false">IF(OR($AG40=0,T$3=""),"",IF(AND(INDEX(工程マスタ!$I:$I,$AG40)="○",$E40&gt;=T$3,$E40&lt;EDATE(T$3,1)),"▼",""))</f>
        <v/>
      </c>
      <c r="U40" s="31" t="str">
        <f aca="false">IF(OR($AG40=0,U$3=""),"",IF(AND(INDEX(工程マスタ!$I:$I,$AG40)="○",$E40&gt;=U$3,$E40&lt;EDATE(U$3,1)),"▼",""))</f>
        <v/>
      </c>
      <c r="V40" s="31" t="str">
        <f aca="false">IF(OR($AG40=0,V$3=""),"",IF(AND(INDEX(工程マスタ!$I:$I,$AG40)="○",$E40&gt;=V$3,$E40&lt;EDATE(V$3,1)),"▼",""))</f>
        <v/>
      </c>
      <c r="W40" s="31" t="str">
        <f aca="false">IF(OR($AG40=0,W$3=""),"",IF(AND(INDEX(工程マスタ!$I:$I,$AG40)="○",$E40&gt;=W$3,$E40&lt;EDATE(W$3,1)),"▼",""))</f>
        <v/>
      </c>
      <c r="X40" s="31" t="str">
        <f aca="false">IF(OR($AG40=0,X$3=""),"",IF(AND(INDEX(工程マスタ!$I:$I,$AG40)="○",$E40&gt;=X$3,$E40&lt;EDATE(X$3,1)),"▼",""))</f>
        <v/>
      </c>
      <c r="Y40" s="31" t="str">
        <f aca="false">IF(OR($AG40=0,Y$3=""),"",IF(AND(INDEX(工程マスタ!$I:$I,$AG40)="○",$E40&gt;=Y$3,$E40&lt;EDATE(Y$3,1)),"▼",""))</f>
        <v/>
      </c>
      <c r="Z40" s="31" t="str">
        <f aca="false">IF(OR($AG40=0,Z$3=""),"",IF(AND(INDEX(工程マスタ!$I:$I,$AG40)="○",$E40&gt;=Z$3,$E40&lt;EDATE(Z$3,1)),"▼",""))</f>
        <v/>
      </c>
      <c r="AA40" s="31" t="str">
        <f aca="false">IF(OR($AG40=0,AA$3=""),"",IF(AND(INDEX(工程マスタ!$I:$I,$AG40)="○",$E40&gt;=AA$3,$E40&lt;EDATE(AA$3,1)),"▼",""))</f>
        <v/>
      </c>
      <c r="AB40" s="31" t="str">
        <f aca="false">IF(OR($AG40=0,AB$3=""),"",IF(AND(INDEX(工程マスタ!$I:$I,$AG40)="○",$E40&gt;=AB$3,$E40&lt;EDATE(AB$3,1)),"▼",""))</f>
        <v/>
      </c>
      <c r="AC40" s="31" t="str">
        <f aca="false">IF(OR($AG40=0,AC$3=""),"",IF(AND(INDEX(工程マスタ!$I:$I,$AG40)="○",$E40&gt;=AC$3,$E40&lt;EDATE(AC$3,1)),"▼",""))</f>
        <v/>
      </c>
      <c r="AD40" s="31" t="str">
        <f aca="false">IF(OR($AG40=0,AD$3=""),"",IF(AND(INDEX(工程マスタ!$I:$I,$AG40)="○",$E40&gt;=AD$3,$E40&lt;EDATE(AD$3,1)),"▼",""))</f>
        <v/>
      </c>
      <c r="AE40" s="31" t="str">
        <f aca="false">IF(OR($AG40=0,AE$3=""),"",IF(AND(INDEX(工程マスタ!$I:$I,$AG40)="○",$E40&gt;=AE$3,$E40&lt;EDATE(AE$3,1)),"▼",""))</f>
        <v/>
      </c>
      <c r="AG40" s="27" t="n">
        <f aca="false" t="array" ref="AG40:AG40">IFERROR(SMALL(IF(工程マスタ!$K$5:$K$154&gt;0,ROW(工程マスタ!$C$5:$C$154)),35),0)</f>
        <v>39</v>
      </c>
      <c r="AH40" s="27" t="n">
        <f aca="false">IF($AG40=0,0,INDEX(工程マスタ!$M:$M,$AG40))</f>
        <v>46433</v>
      </c>
    </row>
    <row r="41" customFormat="false" ht="15" hidden="false" customHeight="false" outlineLevel="0" collapsed="false">
      <c r="A41" s="28" t="n">
        <f aca="false">IF($AG41=0,"",IF(INDEX(工程マスタ!$A:$A,$AG41)="","",INDEX(工程マスタ!$A:$A,$AG41)))</f>
        <v>36</v>
      </c>
      <c r="B41" s="21" t="str">
        <f aca="false">IF($AG41=0,"",IF(INDEX(工程マスタ!$B:$B,$AG41)="","",INDEX(工程マスタ!$B:$B,$AG41)))</f>
        <v>内装・設備工事</v>
      </c>
      <c r="C41" s="21" t="str">
        <f aca="false">IF($AG41=0,"",IF(INDEX(工程マスタ!$C:$C,$AG41)="","",INDEX(工程マスタ!$C:$C,$AG41)))</f>
        <v>空調機器設置・試運転調整</v>
      </c>
      <c r="D41" s="21" t="str">
        <f aca="false">IF($AG41=0,"",IF(INDEX(工程マスタ!$D:$D,$AG41)="","",INDEX(工程マスタ!$D:$D,$AG41)))</f>
        <v>◎◎設備</v>
      </c>
      <c r="E41" s="29" t="n">
        <f aca="false">IF($AG41=0,"",IF(INDEX(工程マスタ!$E:$E,$AG41)="","",INDEX(工程マスタ!$E:$E,$AG41)))</f>
        <v>46419</v>
      </c>
      <c r="F41" s="29" t="n">
        <f aca="false">IF($AG41=0,"",IF(INDEX(工程マスタ!$F:$F,$AG41)="","",INDEX(工程マスタ!$F:$F,$AG41)))</f>
        <v>46462</v>
      </c>
      <c r="G41" s="30" t="n">
        <f aca="false">IF($AG41=0,"",IF(INDEX(工程マスタ!$H:$H,$AG41)="","",INDEX(工程マスタ!$H:$H,$AG41)))</f>
        <v>0</v>
      </c>
      <c r="H41" s="31" t="str">
        <f aca="false">IF(OR($AG41=0,H$3=""),"",IF(AND(INDEX(工程マスタ!$I:$I,$AG41)="○",$E41&gt;=H$3,$E41&lt;EDATE(H$3,1)),"▼",""))</f>
        <v/>
      </c>
      <c r="I41" s="31" t="str">
        <f aca="false">IF(OR($AG41=0,I$3=""),"",IF(AND(INDEX(工程マスタ!$I:$I,$AG41)="○",$E41&gt;=I$3,$E41&lt;EDATE(I$3,1)),"▼",""))</f>
        <v/>
      </c>
      <c r="J41" s="31" t="str">
        <f aca="false">IF(OR($AG41=0,J$3=""),"",IF(AND(INDEX(工程マスタ!$I:$I,$AG41)="○",$E41&gt;=J$3,$E41&lt;EDATE(J$3,1)),"▼",""))</f>
        <v/>
      </c>
      <c r="K41" s="31" t="str">
        <f aca="false">IF(OR($AG41=0,K$3=""),"",IF(AND(INDEX(工程マスタ!$I:$I,$AG41)="○",$E41&gt;=K$3,$E41&lt;EDATE(K$3,1)),"▼",""))</f>
        <v/>
      </c>
      <c r="L41" s="31" t="str">
        <f aca="false">IF(OR($AG41=0,L$3=""),"",IF(AND(INDEX(工程マスタ!$I:$I,$AG41)="○",$E41&gt;=L$3,$E41&lt;EDATE(L$3,1)),"▼",""))</f>
        <v/>
      </c>
      <c r="M41" s="31" t="str">
        <f aca="false">IF(OR($AG41=0,M$3=""),"",IF(AND(INDEX(工程マスタ!$I:$I,$AG41)="○",$E41&gt;=M$3,$E41&lt;EDATE(M$3,1)),"▼",""))</f>
        <v/>
      </c>
      <c r="N41" s="31" t="str">
        <f aca="false">IF(OR($AG41=0,N$3=""),"",IF(AND(INDEX(工程マスタ!$I:$I,$AG41)="○",$E41&gt;=N$3,$E41&lt;EDATE(N$3,1)),"▼",""))</f>
        <v/>
      </c>
      <c r="O41" s="31" t="str">
        <f aca="false">IF(OR($AG41=0,O$3=""),"",IF(AND(INDEX(工程マスタ!$I:$I,$AG41)="○",$E41&gt;=O$3,$E41&lt;EDATE(O$3,1)),"▼",""))</f>
        <v/>
      </c>
      <c r="P41" s="31" t="str">
        <f aca="false">IF(OR($AG41=0,P$3=""),"",IF(AND(INDEX(工程マスタ!$I:$I,$AG41)="○",$E41&gt;=P$3,$E41&lt;EDATE(P$3,1)),"▼",""))</f>
        <v/>
      </c>
      <c r="Q41" s="31" t="str">
        <f aca="false">IF(OR($AG41=0,Q$3=""),"",IF(AND(INDEX(工程マスタ!$I:$I,$AG41)="○",$E41&gt;=Q$3,$E41&lt;EDATE(Q$3,1)),"▼",""))</f>
        <v/>
      </c>
      <c r="R41" s="31" t="str">
        <f aca="false">IF(OR($AG41=0,R$3=""),"",IF(AND(INDEX(工程マスタ!$I:$I,$AG41)="○",$E41&gt;=R$3,$E41&lt;EDATE(R$3,1)),"▼",""))</f>
        <v/>
      </c>
      <c r="S41" s="31" t="str">
        <f aca="false">IF(OR($AG41=0,S$3=""),"",IF(AND(INDEX(工程マスタ!$I:$I,$AG41)="○",$E41&gt;=S$3,$E41&lt;EDATE(S$3,1)),"▼",""))</f>
        <v/>
      </c>
      <c r="T41" s="31" t="str">
        <f aca="false">IF(OR($AG41=0,T$3=""),"",IF(AND(INDEX(工程マスタ!$I:$I,$AG41)="○",$E41&gt;=T$3,$E41&lt;EDATE(T$3,1)),"▼",""))</f>
        <v/>
      </c>
      <c r="U41" s="31" t="str">
        <f aca="false">IF(OR($AG41=0,U$3=""),"",IF(AND(INDEX(工程マスタ!$I:$I,$AG41)="○",$E41&gt;=U$3,$E41&lt;EDATE(U$3,1)),"▼",""))</f>
        <v/>
      </c>
      <c r="V41" s="31" t="str">
        <f aca="false">IF(OR($AG41=0,V$3=""),"",IF(AND(INDEX(工程マスタ!$I:$I,$AG41)="○",$E41&gt;=V$3,$E41&lt;EDATE(V$3,1)),"▼",""))</f>
        <v/>
      </c>
      <c r="W41" s="31" t="str">
        <f aca="false">IF(OR($AG41=0,W$3=""),"",IF(AND(INDEX(工程マスタ!$I:$I,$AG41)="○",$E41&gt;=W$3,$E41&lt;EDATE(W$3,1)),"▼",""))</f>
        <v/>
      </c>
      <c r="X41" s="31" t="str">
        <f aca="false">IF(OR($AG41=0,X$3=""),"",IF(AND(INDEX(工程マスタ!$I:$I,$AG41)="○",$E41&gt;=X$3,$E41&lt;EDATE(X$3,1)),"▼",""))</f>
        <v/>
      </c>
      <c r="Y41" s="31" t="str">
        <f aca="false">IF(OR($AG41=0,Y$3=""),"",IF(AND(INDEX(工程マスタ!$I:$I,$AG41)="○",$E41&gt;=Y$3,$E41&lt;EDATE(Y$3,1)),"▼",""))</f>
        <v/>
      </c>
      <c r="Z41" s="31" t="str">
        <f aca="false">IF(OR($AG41=0,Z$3=""),"",IF(AND(INDEX(工程マスタ!$I:$I,$AG41)="○",$E41&gt;=Z$3,$E41&lt;EDATE(Z$3,1)),"▼",""))</f>
        <v/>
      </c>
      <c r="AA41" s="31" t="str">
        <f aca="false">IF(OR($AG41=0,AA$3=""),"",IF(AND(INDEX(工程マスタ!$I:$I,$AG41)="○",$E41&gt;=AA$3,$E41&lt;EDATE(AA$3,1)),"▼",""))</f>
        <v/>
      </c>
      <c r="AB41" s="31" t="str">
        <f aca="false">IF(OR($AG41=0,AB$3=""),"",IF(AND(INDEX(工程マスタ!$I:$I,$AG41)="○",$E41&gt;=AB$3,$E41&lt;EDATE(AB$3,1)),"▼",""))</f>
        <v/>
      </c>
      <c r="AC41" s="31" t="str">
        <f aca="false">IF(OR($AG41=0,AC$3=""),"",IF(AND(INDEX(工程マスタ!$I:$I,$AG41)="○",$E41&gt;=AC$3,$E41&lt;EDATE(AC$3,1)),"▼",""))</f>
        <v/>
      </c>
      <c r="AD41" s="31" t="str">
        <f aca="false">IF(OR($AG41=0,AD$3=""),"",IF(AND(INDEX(工程マスタ!$I:$I,$AG41)="○",$E41&gt;=AD$3,$E41&lt;EDATE(AD$3,1)),"▼",""))</f>
        <v/>
      </c>
      <c r="AE41" s="31" t="str">
        <f aca="false">IF(OR($AG41=0,AE$3=""),"",IF(AND(INDEX(工程マスタ!$I:$I,$AG41)="○",$E41&gt;=AE$3,$E41&lt;EDATE(AE$3,1)),"▼",""))</f>
        <v/>
      </c>
      <c r="AG41" s="27" t="n">
        <f aca="false" t="array" ref="AG41:AG41">IFERROR(SMALL(IF(工程マスタ!$K$5:$K$154&gt;0,ROW(工程マスタ!$C$5:$C$154)),36),0)</f>
        <v>40</v>
      </c>
      <c r="AH41" s="27" t="n">
        <f aca="false">IF($AG41=0,0,INDEX(工程マスタ!$M:$M,$AG41))</f>
        <v>46419</v>
      </c>
    </row>
    <row r="42" customFormat="false" ht="15" hidden="false" customHeight="false" outlineLevel="0" collapsed="false">
      <c r="A42" s="28" t="n">
        <f aca="false">IF($AG42=0,"",IF(INDEX(工程マスタ!$A:$A,$AG42)="","",INDEX(工程マスタ!$A:$A,$AG42)))</f>
        <v>37</v>
      </c>
      <c r="B42" s="21" t="str">
        <f aca="false">IF($AG42=0,"",IF(INDEX(工程マスタ!$B:$B,$AG42)="","",INDEX(工程マスタ!$B:$B,$AG42)))</f>
        <v>外構工事</v>
      </c>
      <c r="C42" s="21" t="str">
        <f aca="false">IF($AG42=0,"",IF(INDEX(工程マスタ!$C:$C,$AG42)="","",INDEX(工程マスタ!$C:$C,$AG42)))</f>
        <v>外構土工・排水</v>
      </c>
      <c r="D42" s="21" t="str">
        <f aca="false">IF($AG42=0,"",IF(INDEX(工程マスタ!$D:$D,$AG42)="","",INDEX(工程マスタ!$D:$D,$AG42)))</f>
        <v>▲▲土木</v>
      </c>
      <c r="E42" s="29" t="n">
        <f aca="false">IF($AG42=0,"",IF(INDEX(工程マスタ!$E:$E,$AG42)="","",INDEX(工程マスタ!$E:$E,$AG42)))</f>
        <v>46426</v>
      </c>
      <c r="F42" s="29" t="n">
        <f aca="false">IF($AG42=0,"",IF(INDEX(工程マスタ!$F:$F,$AG42)="","",INDEX(工程マスタ!$F:$F,$AG42)))</f>
        <v>46444</v>
      </c>
      <c r="G42" s="30" t="n">
        <f aca="false">IF($AG42=0,"",IF(INDEX(工程マスタ!$H:$H,$AG42)="","",INDEX(工程マスタ!$H:$H,$AG42)))</f>
        <v>0</v>
      </c>
      <c r="H42" s="31" t="str">
        <f aca="false">IF(OR($AG42=0,H$3=""),"",IF(AND(INDEX(工程マスタ!$I:$I,$AG42)="○",$E42&gt;=H$3,$E42&lt;EDATE(H$3,1)),"▼",""))</f>
        <v/>
      </c>
      <c r="I42" s="31" t="str">
        <f aca="false">IF(OR($AG42=0,I$3=""),"",IF(AND(INDEX(工程マスタ!$I:$I,$AG42)="○",$E42&gt;=I$3,$E42&lt;EDATE(I$3,1)),"▼",""))</f>
        <v/>
      </c>
      <c r="J42" s="31" t="str">
        <f aca="false">IF(OR($AG42=0,J$3=""),"",IF(AND(INDEX(工程マスタ!$I:$I,$AG42)="○",$E42&gt;=J$3,$E42&lt;EDATE(J$3,1)),"▼",""))</f>
        <v/>
      </c>
      <c r="K42" s="31" t="str">
        <f aca="false">IF(OR($AG42=0,K$3=""),"",IF(AND(INDEX(工程マスタ!$I:$I,$AG42)="○",$E42&gt;=K$3,$E42&lt;EDATE(K$3,1)),"▼",""))</f>
        <v/>
      </c>
      <c r="L42" s="31" t="str">
        <f aca="false">IF(OR($AG42=0,L$3=""),"",IF(AND(INDEX(工程マスタ!$I:$I,$AG42)="○",$E42&gt;=L$3,$E42&lt;EDATE(L$3,1)),"▼",""))</f>
        <v/>
      </c>
      <c r="M42" s="31" t="str">
        <f aca="false">IF(OR($AG42=0,M$3=""),"",IF(AND(INDEX(工程マスタ!$I:$I,$AG42)="○",$E42&gt;=M$3,$E42&lt;EDATE(M$3,1)),"▼",""))</f>
        <v/>
      </c>
      <c r="N42" s="31" t="str">
        <f aca="false">IF(OR($AG42=0,N$3=""),"",IF(AND(INDEX(工程マスタ!$I:$I,$AG42)="○",$E42&gt;=N$3,$E42&lt;EDATE(N$3,1)),"▼",""))</f>
        <v/>
      </c>
      <c r="O42" s="31" t="str">
        <f aca="false">IF(OR($AG42=0,O$3=""),"",IF(AND(INDEX(工程マスタ!$I:$I,$AG42)="○",$E42&gt;=O$3,$E42&lt;EDATE(O$3,1)),"▼",""))</f>
        <v/>
      </c>
      <c r="P42" s="31" t="str">
        <f aca="false">IF(OR($AG42=0,P$3=""),"",IF(AND(INDEX(工程マスタ!$I:$I,$AG42)="○",$E42&gt;=P$3,$E42&lt;EDATE(P$3,1)),"▼",""))</f>
        <v/>
      </c>
      <c r="Q42" s="31" t="str">
        <f aca="false">IF(OR($AG42=0,Q$3=""),"",IF(AND(INDEX(工程マスタ!$I:$I,$AG42)="○",$E42&gt;=Q$3,$E42&lt;EDATE(Q$3,1)),"▼",""))</f>
        <v/>
      </c>
      <c r="R42" s="31" t="str">
        <f aca="false">IF(OR($AG42=0,R$3=""),"",IF(AND(INDEX(工程マスタ!$I:$I,$AG42)="○",$E42&gt;=R$3,$E42&lt;EDATE(R$3,1)),"▼",""))</f>
        <v/>
      </c>
      <c r="S42" s="31" t="str">
        <f aca="false">IF(OR($AG42=0,S$3=""),"",IF(AND(INDEX(工程マスタ!$I:$I,$AG42)="○",$E42&gt;=S$3,$E42&lt;EDATE(S$3,1)),"▼",""))</f>
        <v/>
      </c>
      <c r="T42" s="31" t="str">
        <f aca="false">IF(OR($AG42=0,T$3=""),"",IF(AND(INDEX(工程マスタ!$I:$I,$AG42)="○",$E42&gt;=T$3,$E42&lt;EDATE(T$3,1)),"▼",""))</f>
        <v/>
      </c>
      <c r="U42" s="31" t="str">
        <f aca="false">IF(OR($AG42=0,U$3=""),"",IF(AND(INDEX(工程マスタ!$I:$I,$AG42)="○",$E42&gt;=U$3,$E42&lt;EDATE(U$3,1)),"▼",""))</f>
        <v/>
      </c>
      <c r="V42" s="31" t="str">
        <f aca="false">IF(OR($AG42=0,V$3=""),"",IF(AND(INDEX(工程マスタ!$I:$I,$AG42)="○",$E42&gt;=V$3,$E42&lt;EDATE(V$3,1)),"▼",""))</f>
        <v/>
      </c>
      <c r="W42" s="31" t="str">
        <f aca="false">IF(OR($AG42=0,W$3=""),"",IF(AND(INDEX(工程マスタ!$I:$I,$AG42)="○",$E42&gt;=W$3,$E42&lt;EDATE(W$3,1)),"▼",""))</f>
        <v/>
      </c>
      <c r="X42" s="31" t="str">
        <f aca="false">IF(OR($AG42=0,X$3=""),"",IF(AND(INDEX(工程マスタ!$I:$I,$AG42)="○",$E42&gt;=X$3,$E42&lt;EDATE(X$3,1)),"▼",""))</f>
        <v/>
      </c>
      <c r="Y42" s="31" t="str">
        <f aca="false">IF(OR($AG42=0,Y$3=""),"",IF(AND(INDEX(工程マスタ!$I:$I,$AG42)="○",$E42&gt;=Y$3,$E42&lt;EDATE(Y$3,1)),"▼",""))</f>
        <v/>
      </c>
      <c r="Z42" s="31" t="str">
        <f aca="false">IF(OR($AG42=0,Z$3=""),"",IF(AND(INDEX(工程マスタ!$I:$I,$AG42)="○",$E42&gt;=Z$3,$E42&lt;EDATE(Z$3,1)),"▼",""))</f>
        <v/>
      </c>
      <c r="AA42" s="31" t="str">
        <f aca="false">IF(OR($AG42=0,AA$3=""),"",IF(AND(INDEX(工程マスタ!$I:$I,$AG42)="○",$E42&gt;=AA$3,$E42&lt;EDATE(AA$3,1)),"▼",""))</f>
        <v/>
      </c>
      <c r="AB42" s="31" t="str">
        <f aca="false">IF(OR($AG42=0,AB$3=""),"",IF(AND(INDEX(工程マスタ!$I:$I,$AG42)="○",$E42&gt;=AB$3,$E42&lt;EDATE(AB$3,1)),"▼",""))</f>
        <v/>
      </c>
      <c r="AC42" s="31" t="str">
        <f aca="false">IF(OR($AG42=0,AC$3=""),"",IF(AND(INDEX(工程マスタ!$I:$I,$AG42)="○",$E42&gt;=AC$3,$E42&lt;EDATE(AC$3,1)),"▼",""))</f>
        <v/>
      </c>
      <c r="AD42" s="31" t="str">
        <f aca="false">IF(OR($AG42=0,AD$3=""),"",IF(AND(INDEX(工程マスタ!$I:$I,$AG42)="○",$E42&gt;=AD$3,$E42&lt;EDATE(AD$3,1)),"▼",""))</f>
        <v/>
      </c>
      <c r="AE42" s="31" t="str">
        <f aca="false">IF(OR($AG42=0,AE$3=""),"",IF(AND(INDEX(工程マスタ!$I:$I,$AG42)="○",$E42&gt;=AE$3,$E42&lt;EDATE(AE$3,1)),"▼",""))</f>
        <v/>
      </c>
      <c r="AG42" s="27" t="n">
        <f aca="false" t="array" ref="AG42:AG42">IFERROR(SMALL(IF(工程マスタ!$K$5:$K$154&gt;0,ROW(工程マスタ!$C$5:$C$154)),37),0)</f>
        <v>41</v>
      </c>
      <c r="AH42" s="27" t="n">
        <f aca="false">IF($AG42=0,0,INDEX(工程マスタ!$M:$M,$AG42))</f>
        <v>46426</v>
      </c>
    </row>
    <row r="43" customFormat="false" ht="15" hidden="false" customHeight="false" outlineLevel="0" collapsed="false">
      <c r="A43" s="28" t="n">
        <f aca="false">IF($AG43=0,"",IF(INDEX(工程マスタ!$A:$A,$AG43)="","",INDEX(工程マスタ!$A:$A,$AG43)))</f>
        <v>38</v>
      </c>
      <c r="B43" s="21" t="str">
        <f aca="false">IF($AG43=0,"",IF(INDEX(工程マスタ!$B:$B,$AG43)="","",INDEX(工程マスタ!$B:$B,$AG43)))</f>
        <v>外構工事</v>
      </c>
      <c r="C43" s="21" t="str">
        <f aca="false">IF($AG43=0,"",IF(INDEX(工程マスタ!$C:$C,$AG43)="","",INDEX(工程マスタ!$C:$C,$AG43)))</f>
        <v>舗装・植栽</v>
      </c>
      <c r="D43" s="21" t="str">
        <f aca="false">IF($AG43=0,"",IF(INDEX(工程マスタ!$D:$D,$AG43)="","",INDEX(工程マスタ!$D:$D,$AG43)))</f>
        <v>▲▲土木</v>
      </c>
      <c r="E43" s="29" t="n">
        <f aca="false">IF($AG43=0,"",IF(INDEX(工程マスタ!$E:$E,$AG43)="","",INDEX(工程マスタ!$E:$E,$AG43)))</f>
        <v>46447</v>
      </c>
      <c r="F43" s="29" t="n">
        <f aca="false">IF($AG43=0,"",IF(INDEX(工程マスタ!$F:$F,$AG43)="","",INDEX(工程マスタ!$F:$F,$AG43)))</f>
        <v>46465</v>
      </c>
      <c r="G43" s="30" t="n">
        <f aca="false">IF($AG43=0,"",IF(INDEX(工程マスタ!$H:$H,$AG43)="","",INDEX(工程マスタ!$H:$H,$AG43)))</f>
        <v>0</v>
      </c>
      <c r="H43" s="31" t="str">
        <f aca="false">IF(OR($AG43=0,H$3=""),"",IF(AND(INDEX(工程マスタ!$I:$I,$AG43)="○",$E43&gt;=H$3,$E43&lt;EDATE(H$3,1)),"▼",""))</f>
        <v/>
      </c>
      <c r="I43" s="31" t="str">
        <f aca="false">IF(OR($AG43=0,I$3=""),"",IF(AND(INDEX(工程マスタ!$I:$I,$AG43)="○",$E43&gt;=I$3,$E43&lt;EDATE(I$3,1)),"▼",""))</f>
        <v/>
      </c>
      <c r="J43" s="31" t="str">
        <f aca="false">IF(OR($AG43=0,J$3=""),"",IF(AND(INDEX(工程マスタ!$I:$I,$AG43)="○",$E43&gt;=J$3,$E43&lt;EDATE(J$3,1)),"▼",""))</f>
        <v/>
      </c>
      <c r="K43" s="31" t="str">
        <f aca="false">IF(OR($AG43=0,K$3=""),"",IF(AND(INDEX(工程マスタ!$I:$I,$AG43)="○",$E43&gt;=K$3,$E43&lt;EDATE(K$3,1)),"▼",""))</f>
        <v/>
      </c>
      <c r="L43" s="31" t="str">
        <f aca="false">IF(OR($AG43=0,L$3=""),"",IF(AND(INDEX(工程マスタ!$I:$I,$AG43)="○",$E43&gt;=L$3,$E43&lt;EDATE(L$3,1)),"▼",""))</f>
        <v/>
      </c>
      <c r="M43" s="31" t="str">
        <f aca="false">IF(OR($AG43=0,M$3=""),"",IF(AND(INDEX(工程マスタ!$I:$I,$AG43)="○",$E43&gt;=M$3,$E43&lt;EDATE(M$3,1)),"▼",""))</f>
        <v/>
      </c>
      <c r="N43" s="31" t="str">
        <f aca="false">IF(OR($AG43=0,N$3=""),"",IF(AND(INDEX(工程マスタ!$I:$I,$AG43)="○",$E43&gt;=N$3,$E43&lt;EDATE(N$3,1)),"▼",""))</f>
        <v/>
      </c>
      <c r="O43" s="31" t="str">
        <f aca="false">IF(OR($AG43=0,O$3=""),"",IF(AND(INDEX(工程マスタ!$I:$I,$AG43)="○",$E43&gt;=O$3,$E43&lt;EDATE(O$3,1)),"▼",""))</f>
        <v/>
      </c>
      <c r="P43" s="31" t="str">
        <f aca="false">IF(OR($AG43=0,P$3=""),"",IF(AND(INDEX(工程マスタ!$I:$I,$AG43)="○",$E43&gt;=P$3,$E43&lt;EDATE(P$3,1)),"▼",""))</f>
        <v/>
      </c>
      <c r="Q43" s="31" t="str">
        <f aca="false">IF(OR($AG43=0,Q$3=""),"",IF(AND(INDEX(工程マスタ!$I:$I,$AG43)="○",$E43&gt;=Q$3,$E43&lt;EDATE(Q$3,1)),"▼",""))</f>
        <v/>
      </c>
      <c r="R43" s="31" t="str">
        <f aca="false">IF(OR($AG43=0,R$3=""),"",IF(AND(INDEX(工程マスタ!$I:$I,$AG43)="○",$E43&gt;=R$3,$E43&lt;EDATE(R$3,1)),"▼",""))</f>
        <v/>
      </c>
      <c r="S43" s="31" t="str">
        <f aca="false">IF(OR($AG43=0,S$3=""),"",IF(AND(INDEX(工程マスタ!$I:$I,$AG43)="○",$E43&gt;=S$3,$E43&lt;EDATE(S$3,1)),"▼",""))</f>
        <v/>
      </c>
      <c r="T43" s="31" t="str">
        <f aca="false">IF(OR($AG43=0,T$3=""),"",IF(AND(INDEX(工程マスタ!$I:$I,$AG43)="○",$E43&gt;=T$3,$E43&lt;EDATE(T$3,1)),"▼",""))</f>
        <v/>
      </c>
      <c r="U43" s="31" t="str">
        <f aca="false">IF(OR($AG43=0,U$3=""),"",IF(AND(INDEX(工程マスタ!$I:$I,$AG43)="○",$E43&gt;=U$3,$E43&lt;EDATE(U$3,1)),"▼",""))</f>
        <v/>
      </c>
      <c r="V43" s="31" t="str">
        <f aca="false">IF(OR($AG43=0,V$3=""),"",IF(AND(INDEX(工程マスタ!$I:$I,$AG43)="○",$E43&gt;=V$3,$E43&lt;EDATE(V$3,1)),"▼",""))</f>
        <v/>
      </c>
      <c r="W43" s="31" t="str">
        <f aca="false">IF(OR($AG43=0,W$3=""),"",IF(AND(INDEX(工程マスタ!$I:$I,$AG43)="○",$E43&gt;=W$3,$E43&lt;EDATE(W$3,1)),"▼",""))</f>
        <v/>
      </c>
      <c r="X43" s="31" t="str">
        <f aca="false">IF(OR($AG43=0,X$3=""),"",IF(AND(INDEX(工程マスタ!$I:$I,$AG43)="○",$E43&gt;=X$3,$E43&lt;EDATE(X$3,1)),"▼",""))</f>
        <v/>
      </c>
      <c r="Y43" s="31" t="str">
        <f aca="false">IF(OR($AG43=0,Y$3=""),"",IF(AND(INDEX(工程マスタ!$I:$I,$AG43)="○",$E43&gt;=Y$3,$E43&lt;EDATE(Y$3,1)),"▼",""))</f>
        <v/>
      </c>
      <c r="Z43" s="31" t="str">
        <f aca="false">IF(OR($AG43=0,Z$3=""),"",IF(AND(INDEX(工程マスタ!$I:$I,$AG43)="○",$E43&gt;=Z$3,$E43&lt;EDATE(Z$3,1)),"▼",""))</f>
        <v/>
      </c>
      <c r="AA43" s="31" t="str">
        <f aca="false">IF(OR($AG43=0,AA$3=""),"",IF(AND(INDEX(工程マスタ!$I:$I,$AG43)="○",$E43&gt;=AA$3,$E43&lt;EDATE(AA$3,1)),"▼",""))</f>
        <v/>
      </c>
      <c r="AB43" s="31" t="str">
        <f aca="false">IF(OR($AG43=0,AB$3=""),"",IF(AND(INDEX(工程マスタ!$I:$I,$AG43)="○",$E43&gt;=AB$3,$E43&lt;EDATE(AB$3,1)),"▼",""))</f>
        <v/>
      </c>
      <c r="AC43" s="31" t="str">
        <f aca="false">IF(OR($AG43=0,AC$3=""),"",IF(AND(INDEX(工程マスタ!$I:$I,$AG43)="○",$E43&gt;=AC$3,$E43&lt;EDATE(AC$3,1)),"▼",""))</f>
        <v/>
      </c>
      <c r="AD43" s="31" t="str">
        <f aca="false">IF(OR($AG43=0,AD$3=""),"",IF(AND(INDEX(工程マスタ!$I:$I,$AG43)="○",$E43&gt;=AD$3,$E43&lt;EDATE(AD$3,1)),"▼",""))</f>
        <v/>
      </c>
      <c r="AE43" s="31" t="str">
        <f aca="false">IF(OR($AG43=0,AE$3=""),"",IF(AND(INDEX(工程マスタ!$I:$I,$AG43)="○",$E43&gt;=AE$3,$E43&lt;EDATE(AE$3,1)),"▼",""))</f>
        <v/>
      </c>
      <c r="AG43" s="27" t="n">
        <f aca="false" t="array" ref="AG43:AG43">IFERROR(SMALL(IF(工程マスタ!$K$5:$K$154&gt;0,ROW(工程マスタ!$C$5:$C$154)),38),0)</f>
        <v>42</v>
      </c>
      <c r="AH43" s="27" t="n">
        <f aca="false">IF($AG43=0,0,INDEX(工程マスタ!$M:$M,$AG43))</f>
        <v>46447</v>
      </c>
    </row>
    <row r="44" customFormat="false" ht="15" hidden="false" customHeight="false" outlineLevel="0" collapsed="false">
      <c r="A44" s="28" t="n">
        <f aca="false">IF($AG44=0,"",IF(INDEX(工程マスタ!$A:$A,$AG44)="","",INDEX(工程マスタ!$A:$A,$AG44)))</f>
        <v>39</v>
      </c>
      <c r="B44" s="21" t="str">
        <f aca="false">IF($AG44=0,"",IF(INDEX(工程マスタ!$B:$B,$AG44)="","",INDEX(工程マスタ!$B:$B,$AG44)))</f>
        <v>検査・引渡</v>
      </c>
      <c r="C44" s="21" t="str">
        <f aca="false">IF($AG44=0,"",IF(INDEX(工程マスタ!$C:$C,$AG44)="","",INDEX(工程マスタ!$C:$C,$AG44)))</f>
        <v>社内検査・是正</v>
      </c>
      <c r="D44" s="21" t="str">
        <f aca="false">IF($AG44=0,"",IF(INDEX(工程マスタ!$D:$D,$AG44)="","",INDEX(工程マスタ!$D:$D,$AG44)))</f>
        <v>△△建設</v>
      </c>
      <c r="E44" s="29" t="n">
        <f aca="false">IF($AG44=0,"",IF(INDEX(工程マスタ!$E:$E,$AG44)="","",INDEX(工程マスタ!$E:$E,$AG44)))</f>
        <v>46454</v>
      </c>
      <c r="F44" s="29" t="n">
        <f aca="false">IF($AG44=0,"",IF(INDEX(工程マスタ!$F:$F,$AG44)="","",INDEX(工程マスタ!$F:$F,$AG44)))</f>
        <v>46463</v>
      </c>
      <c r="G44" s="30" t="n">
        <f aca="false">IF($AG44=0,"",IF(INDEX(工程マスタ!$H:$H,$AG44)="","",INDEX(工程マスタ!$H:$H,$AG44)))</f>
        <v>0</v>
      </c>
      <c r="H44" s="31" t="str">
        <f aca="false">IF(OR($AG44=0,H$3=""),"",IF(AND(INDEX(工程マスタ!$I:$I,$AG44)="○",$E44&gt;=H$3,$E44&lt;EDATE(H$3,1)),"▼",""))</f>
        <v/>
      </c>
      <c r="I44" s="31" t="str">
        <f aca="false">IF(OR($AG44=0,I$3=""),"",IF(AND(INDEX(工程マスタ!$I:$I,$AG44)="○",$E44&gt;=I$3,$E44&lt;EDATE(I$3,1)),"▼",""))</f>
        <v/>
      </c>
      <c r="J44" s="31" t="str">
        <f aca="false">IF(OR($AG44=0,J$3=""),"",IF(AND(INDEX(工程マスタ!$I:$I,$AG44)="○",$E44&gt;=J$3,$E44&lt;EDATE(J$3,1)),"▼",""))</f>
        <v/>
      </c>
      <c r="K44" s="31" t="str">
        <f aca="false">IF(OR($AG44=0,K$3=""),"",IF(AND(INDEX(工程マスタ!$I:$I,$AG44)="○",$E44&gt;=K$3,$E44&lt;EDATE(K$3,1)),"▼",""))</f>
        <v/>
      </c>
      <c r="L44" s="31" t="str">
        <f aca="false">IF(OR($AG44=0,L$3=""),"",IF(AND(INDEX(工程マスタ!$I:$I,$AG44)="○",$E44&gt;=L$3,$E44&lt;EDATE(L$3,1)),"▼",""))</f>
        <v/>
      </c>
      <c r="M44" s="31" t="str">
        <f aca="false">IF(OR($AG44=0,M$3=""),"",IF(AND(INDEX(工程マスタ!$I:$I,$AG44)="○",$E44&gt;=M$3,$E44&lt;EDATE(M$3,1)),"▼",""))</f>
        <v/>
      </c>
      <c r="N44" s="31" t="str">
        <f aca="false">IF(OR($AG44=0,N$3=""),"",IF(AND(INDEX(工程マスタ!$I:$I,$AG44)="○",$E44&gt;=N$3,$E44&lt;EDATE(N$3,1)),"▼",""))</f>
        <v/>
      </c>
      <c r="O44" s="31" t="str">
        <f aca="false">IF(OR($AG44=0,O$3=""),"",IF(AND(INDEX(工程マスタ!$I:$I,$AG44)="○",$E44&gt;=O$3,$E44&lt;EDATE(O$3,1)),"▼",""))</f>
        <v/>
      </c>
      <c r="P44" s="31" t="str">
        <f aca="false">IF(OR($AG44=0,P$3=""),"",IF(AND(INDEX(工程マスタ!$I:$I,$AG44)="○",$E44&gt;=P$3,$E44&lt;EDATE(P$3,1)),"▼",""))</f>
        <v/>
      </c>
      <c r="Q44" s="31" t="str">
        <f aca="false">IF(OR($AG44=0,Q$3=""),"",IF(AND(INDEX(工程マスタ!$I:$I,$AG44)="○",$E44&gt;=Q$3,$E44&lt;EDATE(Q$3,1)),"▼",""))</f>
        <v/>
      </c>
      <c r="R44" s="31" t="str">
        <f aca="false">IF(OR($AG44=0,R$3=""),"",IF(AND(INDEX(工程マスタ!$I:$I,$AG44)="○",$E44&gt;=R$3,$E44&lt;EDATE(R$3,1)),"▼",""))</f>
        <v/>
      </c>
      <c r="S44" s="31" t="str">
        <f aca="false">IF(OR($AG44=0,S$3=""),"",IF(AND(INDEX(工程マスタ!$I:$I,$AG44)="○",$E44&gt;=S$3,$E44&lt;EDATE(S$3,1)),"▼",""))</f>
        <v/>
      </c>
      <c r="T44" s="31" t="str">
        <f aca="false">IF(OR($AG44=0,T$3=""),"",IF(AND(INDEX(工程マスタ!$I:$I,$AG44)="○",$E44&gt;=T$3,$E44&lt;EDATE(T$3,1)),"▼",""))</f>
        <v/>
      </c>
      <c r="U44" s="31" t="str">
        <f aca="false">IF(OR($AG44=0,U$3=""),"",IF(AND(INDEX(工程マスタ!$I:$I,$AG44)="○",$E44&gt;=U$3,$E44&lt;EDATE(U$3,1)),"▼",""))</f>
        <v/>
      </c>
      <c r="V44" s="31" t="str">
        <f aca="false">IF(OR($AG44=0,V$3=""),"",IF(AND(INDEX(工程マスタ!$I:$I,$AG44)="○",$E44&gt;=V$3,$E44&lt;EDATE(V$3,1)),"▼",""))</f>
        <v/>
      </c>
      <c r="W44" s="31" t="str">
        <f aca="false">IF(OR($AG44=0,W$3=""),"",IF(AND(INDEX(工程マスタ!$I:$I,$AG44)="○",$E44&gt;=W$3,$E44&lt;EDATE(W$3,1)),"▼",""))</f>
        <v/>
      </c>
      <c r="X44" s="31" t="str">
        <f aca="false">IF(OR($AG44=0,X$3=""),"",IF(AND(INDEX(工程マスタ!$I:$I,$AG44)="○",$E44&gt;=X$3,$E44&lt;EDATE(X$3,1)),"▼",""))</f>
        <v/>
      </c>
      <c r="Y44" s="31" t="str">
        <f aca="false">IF(OR($AG44=0,Y$3=""),"",IF(AND(INDEX(工程マスタ!$I:$I,$AG44)="○",$E44&gt;=Y$3,$E44&lt;EDATE(Y$3,1)),"▼",""))</f>
        <v/>
      </c>
      <c r="Z44" s="31" t="str">
        <f aca="false">IF(OR($AG44=0,Z$3=""),"",IF(AND(INDEX(工程マスタ!$I:$I,$AG44)="○",$E44&gt;=Z$3,$E44&lt;EDATE(Z$3,1)),"▼",""))</f>
        <v/>
      </c>
      <c r="AA44" s="31" t="str">
        <f aca="false">IF(OR($AG44=0,AA$3=""),"",IF(AND(INDEX(工程マスタ!$I:$I,$AG44)="○",$E44&gt;=AA$3,$E44&lt;EDATE(AA$3,1)),"▼",""))</f>
        <v/>
      </c>
      <c r="AB44" s="31" t="str">
        <f aca="false">IF(OR($AG44=0,AB$3=""),"",IF(AND(INDEX(工程マスタ!$I:$I,$AG44)="○",$E44&gt;=AB$3,$E44&lt;EDATE(AB$3,1)),"▼",""))</f>
        <v/>
      </c>
      <c r="AC44" s="31" t="str">
        <f aca="false">IF(OR($AG44=0,AC$3=""),"",IF(AND(INDEX(工程マスタ!$I:$I,$AG44)="○",$E44&gt;=AC$3,$E44&lt;EDATE(AC$3,1)),"▼",""))</f>
        <v/>
      </c>
      <c r="AD44" s="31" t="str">
        <f aca="false">IF(OR($AG44=0,AD$3=""),"",IF(AND(INDEX(工程マスタ!$I:$I,$AG44)="○",$E44&gt;=AD$3,$E44&lt;EDATE(AD$3,1)),"▼",""))</f>
        <v/>
      </c>
      <c r="AE44" s="31" t="str">
        <f aca="false">IF(OR($AG44=0,AE$3=""),"",IF(AND(INDEX(工程マスタ!$I:$I,$AG44)="○",$E44&gt;=AE$3,$E44&lt;EDATE(AE$3,1)),"▼",""))</f>
        <v/>
      </c>
      <c r="AG44" s="27" t="n">
        <f aca="false" t="array" ref="AG44:AG44">IFERROR(SMALL(IF(工程マスタ!$K$5:$K$154&gt;0,ROW(工程マスタ!$C$5:$C$154)),39),0)</f>
        <v>43</v>
      </c>
      <c r="AH44" s="27" t="n">
        <f aca="false">IF($AG44=0,0,INDEX(工程マスタ!$M:$M,$AG44))</f>
        <v>46454</v>
      </c>
    </row>
    <row r="45" customFormat="false" ht="15" hidden="false" customHeight="false" outlineLevel="0" collapsed="false">
      <c r="A45" s="28" t="n">
        <f aca="false">IF($AG45=0,"",IF(INDEX(工程マスタ!$A:$A,$AG45)="","",INDEX(工程マスタ!$A:$A,$AG45)))</f>
        <v>40</v>
      </c>
      <c r="B45" s="21" t="str">
        <f aca="false">IF($AG45=0,"",IF(INDEX(工程マスタ!$B:$B,$AG45)="","",INDEX(工程マスタ!$B:$B,$AG45)))</f>
        <v>マイルストーン</v>
      </c>
      <c r="C45" s="21" t="str">
        <f aca="false">IF($AG45=0,"",IF(INDEX(工程マスタ!$C:$C,$AG45)="","",INDEX(工程マスタ!$C:$C,$AG45)))</f>
        <v>消防・完了検査</v>
      </c>
      <c r="D45" s="21" t="str">
        <f aca="false">IF($AG45=0,"",IF(INDEX(工程マスタ!$D:$D,$AG45)="","",INDEX(工程マスタ!$D:$D,$AG45)))</f>
        <v/>
      </c>
      <c r="E45" s="29" t="n">
        <f aca="false">IF($AG45=0,"",IF(INDEX(工程マスタ!$E:$E,$AG45)="","",INDEX(工程マスタ!$E:$E,$AG45)))</f>
        <v>46456</v>
      </c>
      <c r="F45" s="29" t="n">
        <f aca="false">IF($AG45=0,"",IF(INDEX(工程マスタ!$F:$F,$AG45)="","",INDEX(工程マスタ!$F:$F,$AG45)))</f>
        <v>46456</v>
      </c>
      <c r="G45" s="30" t="str">
        <f aca="false">IF($AG45=0,"",IF(INDEX(工程マスタ!$H:$H,$AG45)="","",INDEX(工程マスタ!$H:$H,$AG45)))</f>
        <v/>
      </c>
      <c r="H45" s="31" t="str">
        <f aca="false">IF(OR($AG45=0,H$3=""),"",IF(AND(INDEX(工程マスタ!$I:$I,$AG45)="○",$E45&gt;=H$3,$E45&lt;EDATE(H$3,1)),"▼",""))</f>
        <v/>
      </c>
      <c r="I45" s="31" t="str">
        <f aca="false">IF(OR($AG45=0,I$3=""),"",IF(AND(INDEX(工程マスタ!$I:$I,$AG45)="○",$E45&gt;=I$3,$E45&lt;EDATE(I$3,1)),"▼",""))</f>
        <v/>
      </c>
      <c r="J45" s="31" t="str">
        <f aca="false">IF(OR($AG45=0,J$3=""),"",IF(AND(INDEX(工程マスタ!$I:$I,$AG45)="○",$E45&gt;=J$3,$E45&lt;EDATE(J$3,1)),"▼",""))</f>
        <v/>
      </c>
      <c r="K45" s="31" t="str">
        <f aca="false">IF(OR($AG45=0,K$3=""),"",IF(AND(INDEX(工程マスタ!$I:$I,$AG45)="○",$E45&gt;=K$3,$E45&lt;EDATE(K$3,1)),"▼",""))</f>
        <v/>
      </c>
      <c r="L45" s="31" t="str">
        <f aca="false">IF(OR($AG45=0,L$3=""),"",IF(AND(INDEX(工程マスタ!$I:$I,$AG45)="○",$E45&gt;=L$3,$E45&lt;EDATE(L$3,1)),"▼",""))</f>
        <v/>
      </c>
      <c r="M45" s="31" t="str">
        <f aca="false">IF(OR($AG45=0,M$3=""),"",IF(AND(INDEX(工程マスタ!$I:$I,$AG45)="○",$E45&gt;=M$3,$E45&lt;EDATE(M$3,1)),"▼",""))</f>
        <v/>
      </c>
      <c r="N45" s="31" t="str">
        <f aca="false">IF(OR($AG45=0,N$3=""),"",IF(AND(INDEX(工程マスタ!$I:$I,$AG45)="○",$E45&gt;=N$3,$E45&lt;EDATE(N$3,1)),"▼",""))</f>
        <v/>
      </c>
      <c r="O45" s="31" t="str">
        <f aca="false">IF(OR($AG45=0,O$3=""),"",IF(AND(INDEX(工程マスタ!$I:$I,$AG45)="○",$E45&gt;=O$3,$E45&lt;EDATE(O$3,1)),"▼",""))</f>
        <v/>
      </c>
      <c r="P45" s="31" t="str">
        <f aca="false">IF(OR($AG45=0,P$3=""),"",IF(AND(INDEX(工程マスタ!$I:$I,$AG45)="○",$E45&gt;=P$3,$E45&lt;EDATE(P$3,1)),"▼",""))</f>
        <v>▼</v>
      </c>
      <c r="Q45" s="31" t="str">
        <f aca="false">IF(OR($AG45=0,Q$3=""),"",IF(AND(INDEX(工程マスタ!$I:$I,$AG45)="○",$E45&gt;=Q$3,$E45&lt;EDATE(Q$3,1)),"▼",""))</f>
        <v/>
      </c>
      <c r="R45" s="31" t="str">
        <f aca="false">IF(OR($AG45=0,R$3=""),"",IF(AND(INDEX(工程マスタ!$I:$I,$AG45)="○",$E45&gt;=R$3,$E45&lt;EDATE(R$3,1)),"▼",""))</f>
        <v/>
      </c>
      <c r="S45" s="31" t="str">
        <f aca="false">IF(OR($AG45=0,S$3=""),"",IF(AND(INDEX(工程マスタ!$I:$I,$AG45)="○",$E45&gt;=S$3,$E45&lt;EDATE(S$3,1)),"▼",""))</f>
        <v/>
      </c>
      <c r="T45" s="31" t="str">
        <f aca="false">IF(OR($AG45=0,T$3=""),"",IF(AND(INDEX(工程マスタ!$I:$I,$AG45)="○",$E45&gt;=T$3,$E45&lt;EDATE(T$3,1)),"▼",""))</f>
        <v/>
      </c>
      <c r="U45" s="31" t="str">
        <f aca="false">IF(OR($AG45=0,U$3=""),"",IF(AND(INDEX(工程マスタ!$I:$I,$AG45)="○",$E45&gt;=U$3,$E45&lt;EDATE(U$3,1)),"▼",""))</f>
        <v/>
      </c>
      <c r="V45" s="31" t="str">
        <f aca="false">IF(OR($AG45=0,V$3=""),"",IF(AND(INDEX(工程マスタ!$I:$I,$AG45)="○",$E45&gt;=V$3,$E45&lt;EDATE(V$3,1)),"▼",""))</f>
        <v/>
      </c>
      <c r="W45" s="31" t="str">
        <f aca="false">IF(OR($AG45=0,W$3=""),"",IF(AND(INDEX(工程マスタ!$I:$I,$AG45)="○",$E45&gt;=W$3,$E45&lt;EDATE(W$3,1)),"▼",""))</f>
        <v/>
      </c>
      <c r="X45" s="31" t="str">
        <f aca="false">IF(OR($AG45=0,X$3=""),"",IF(AND(INDEX(工程マスタ!$I:$I,$AG45)="○",$E45&gt;=X$3,$E45&lt;EDATE(X$3,1)),"▼",""))</f>
        <v/>
      </c>
      <c r="Y45" s="31" t="str">
        <f aca="false">IF(OR($AG45=0,Y$3=""),"",IF(AND(INDEX(工程マスタ!$I:$I,$AG45)="○",$E45&gt;=Y$3,$E45&lt;EDATE(Y$3,1)),"▼",""))</f>
        <v/>
      </c>
      <c r="Z45" s="31" t="str">
        <f aca="false">IF(OR($AG45=0,Z$3=""),"",IF(AND(INDEX(工程マスタ!$I:$I,$AG45)="○",$E45&gt;=Z$3,$E45&lt;EDATE(Z$3,1)),"▼",""))</f>
        <v/>
      </c>
      <c r="AA45" s="31" t="str">
        <f aca="false">IF(OR($AG45=0,AA$3=""),"",IF(AND(INDEX(工程マスタ!$I:$I,$AG45)="○",$E45&gt;=AA$3,$E45&lt;EDATE(AA$3,1)),"▼",""))</f>
        <v/>
      </c>
      <c r="AB45" s="31" t="str">
        <f aca="false">IF(OR($AG45=0,AB$3=""),"",IF(AND(INDEX(工程マスタ!$I:$I,$AG45)="○",$E45&gt;=AB$3,$E45&lt;EDATE(AB$3,1)),"▼",""))</f>
        <v/>
      </c>
      <c r="AC45" s="31" t="str">
        <f aca="false">IF(OR($AG45=0,AC$3=""),"",IF(AND(INDEX(工程マスタ!$I:$I,$AG45)="○",$E45&gt;=AC$3,$E45&lt;EDATE(AC$3,1)),"▼",""))</f>
        <v/>
      </c>
      <c r="AD45" s="31" t="str">
        <f aca="false">IF(OR($AG45=0,AD$3=""),"",IF(AND(INDEX(工程マスタ!$I:$I,$AG45)="○",$E45&gt;=AD$3,$E45&lt;EDATE(AD$3,1)),"▼",""))</f>
        <v/>
      </c>
      <c r="AE45" s="31" t="str">
        <f aca="false">IF(OR($AG45=0,AE$3=""),"",IF(AND(INDEX(工程マスタ!$I:$I,$AG45)="○",$E45&gt;=AE$3,$E45&lt;EDATE(AE$3,1)),"▼",""))</f>
        <v/>
      </c>
      <c r="AG45" s="27" t="n">
        <f aca="false" t="array" ref="AG45:AG45">IFERROR(SMALL(IF(工程マスタ!$K$5:$K$154&gt;0,ROW(工程マスタ!$C$5:$C$154)),40),0)</f>
        <v>44</v>
      </c>
      <c r="AH45" s="32" t="n">
        <f aca="false">IF($AG45=0,0,INDEX(工程マスタ!$M:$M,$AG45))</f>
        <v>46456</v>
      </c>
    </row>
    <row r="46" customFormat="false" ht="15" hidden="false" customHeight="false" outlineLevel="0" collapsed="false">
      <c r="A46" s="28" t="n">
        <f aca="false">IF($AG46=0,"",IF(INDEX(工程マスタ!$A:$A,$AG46)="","",INDEX(工程マスタ!$A:$A,$AG46)))</f>
        <v>41</v>
      </c>
      <c r="B46" s="21" t="str">
        <f aca="false">IF($AG46=0,"",IF(INDEX(工程マスタ!$B:$B,$AG46)="","",INDEX(工程マスタ!$B:$B,$AG46)))</f>
        <v>検査・引渡</v>
      </c>
      <c r="C46" s="21" t="str">
        <f aca="false">IF($AG46=0,"",IF(INDEX(工程マスタ!$C:$C,$AG46)="","",INDEX(工程マスタ!$C:$C,$AG46)))</f>
        <v>美装クリーニング</v>
      </c>
      <c r="D46" s="21" t="str">
        <f aca="false">IF($AG46=0,"",IF(INDEX(工程マスタ!$D:$D,$AG46)="","",INDEX(工程マスタ!$D:$D,$AG46)))</f>
        <v>▼▼美装</v>
      </c>
      <c r="E46" s="29" t="n">
        <f aca="false">IF($AG46=0,"",IF(INDEX(工程マスタ!$E:$E,$AG46)="","",INDEX(工程マスタ!$E:$E,$AG46)))</f>
        <v>46461</v>
      </c>
      <c r="F46" s="29" t="n">
        <f aca="false">IF($AG46=0,"",IF(INDEX(工程マスタ!$F:$F,$AG46)="","",INDEX(工程マスタ!$F:$F,$AG46)))</f>
        <v>46470</v>
      </c>
      <c r="G46" s="30" t="n">
        <f aca="false">IF($AG46=0,"",IF(INDEX(工程マスタ!$H:$H,$AG46)="","",INDEX(工程マスタ!$H:$H,$AG46)))</f>
        <v>0</v>
      </c>
      <c r="H46" s="31" t="str">
        <f aca="false">IF(OR($AG46=0,H$3=""),"",IF(AND(INDEX(工程マスタ!$I:$I,$AG46)="○",$E46&gt;=H$3,$E46&lt;EDATE(H$3,1)),"▼",""))</f>
        <v/>
      </c>
      <c r="I46" s="31" t="str">
        <f aca="false">IF(OR($AG46=0,I$3=""),"",IF(AND(INDEX(工程マスタ!$I:$I,$AG46)="○",$E46&gt;=I$3,$E46&lt;EDATE(I$3,1)),"▼",""))</f>
        <v/>
      </c>
      <c r="J46" s="31" t="str">
        <f aca="false">IF(OR($AG46=0,J$3=""),"",IF(AND(INDEX(工程マスタ!$I:$I,$AG46)="○",$E46&gt;=J$3,$E46&lt;EDATE(J$3,1)),"▼",""))</f>
        <v/>
      </c>
      <c r="K46" s="31" t="str">
        <f aca="false">IF(OR($AG46=0,K$3=""),"",IF(AND(INDEX(工程マスタ!$I:$I,$AG46)="○",$E46&gt;=K$3,$E46&lt;EDATE(K$3,1)),"▼",""))</f>
        <v/>
      </c>
      <c r="L46" s="31" t="str">
        <f aca="false">IF(OR($AG46=0,L$3=""),"",IF(AND(INDEX(工程マスタ!$I:$I,$AG46)="○",$E46&gt;=L$3,$E46&lt;EDATE(L$3,1)),"▼",""))</f>
        <v/>
      </c>
      <c r="M46" s="31" t="str">
        <f aca="false">IF(OR($AG46=0,M$3=""),"",IF(AND(INDEX(工程マスタ!$I:$I,$AG46)="○",$E46&gt;=M$3,$E46&lt;EDATE(M$3,1)),"▼",""))</f>
        <v/>
      </c>
      <c r="N46" s="31" t="str">
        <f aca="false">IF(OR($AG46=0,N$3=""),"",IF(AND(INDEX(工程マスタ!$I:$I,$AG46)="○",$E46&gt;=N$3,$E46&lt;EDATE(N$3,1)),"▼",""))</f>
        <v/>
      </c>
      <c r="O46" s="31" t="str">
        <f aca="false">IF(OR($AG46=0,O$3=""),"",IF(AND(INDEX(工程マスタ!$I:$I,$AG46)="○",$E46&gt;=O$3,$E46&lt;EDATE(O$3,1)),"▼",""))</f>
        <v/>
      </c>
      <c r="P46" s="31" t="str">
        <f aca="false">IF(OR($AG46=0,P$3=""),"",IF(AND(INDEX(工程マスタ!$I:$I,$AG46)="○",$E46&gt;=P$3,$E46&lt;EDATE(P$3,1)),"▼",""))</f>
        <v/>
      </c>
      <c r="Q46" s="31" t="str">
        <f aca="false">IF(OR($AG46=0,Q$3=""),"",IF(AND(INDEX(工程マスタ!$I:$I,$AG46)="○",$E46&gt;=Q$3,$E46&lt;EDATE(Q$3,1)),"▼",""))</f>
        <v/>
      </c>
      <c r="R46" s="31" t="str">
        <f aca="false">IF(OR($AG46=0,R$3=""),"",IF(AND(INDEX(工程マスタ!$I:$I,$AG46)="○",$E46&gt;=R$3,$E46&lt;EDATE(R$3,1)),"▼",""))</f>
        <v/>
      </c>
      <c r="S46" s="31" t="str">
        <f aca="false">IF(OR($AG46=0,S$3=""),"",IF(AND(INDEX(工程マスタ!$I:$I,$AG46)="○",$E46&gt;=S$3,$E46&lt;EDATE(S$3,1)),"▼",""))</f>
        <v/>
      </c>
      <c r="T46" s="31" t="str">
        <f aca="false">IF(OR($AG46=0,T$3=""),"",IF(AND(INDEX(工程マスタ!$I:$I,$AG46)="○",$E46&gt;=T$3,$E46&lt;EDATE(T$3,1)),"▼",""))</f>
        <v/>
      </c>
      <c r="U46" s="31" t="str">
        <f aca="false">IF(OR($AG46=0,U$3=""),"",IF(AND(INDEX(工程マスタ!$I:$I,$AG46)="○",$E46&gt;=U$3,$E46&lt;EDATE(U$3,1)),"▼",""))</f>
        <v/>
      </c>
      <c r="V46" s="31" t="str">
        <f aca="false">IF(OR($AG46=0,V$3=""),"",IF(AND(INDEX(工程マスタ!$I:$I,$AG46)="○",$E46&gt;=V$3,$E46&lt;EDATE(V$3,1)),"▼",""))</f>
        <v/>
      </c>
      <c r="W46" s="31" t="str">
        <f aca="false">IF(OR($AG46=0,W$3=""),"",IF(AND(INDEX(工程マスタ!$I:$I,$AG46)="○",$E46&gt;=W$3,$E46&lt;EDATE(W$3,1)),"▼",""))</f>
        <v/>
      </c>
      <c r="X46" s="31" t="str">
        <f aca="false">IF(OR($AG46=0,X$3=""),"",IF(AND(INDEX(工程マスタ!$I:$I,$AG46)="○",$E46&gt;=X$3,$E46&lt;EDATE(X$3,1)),"▼",""))</f>
        <v/>
      </c>
      <c r="Y46" s="31" t="str">
        <f aca="false">IF(OR($AG46=0,Y$3=""),"",IF(AND(INDEX(工程マスタ!$I:$I,$AG46)="○",$E46&gt;=Y$3,$E46&lt;EDATE(Y$3,1)),"▼",""))</f>
        <v/>
      </c>
      <c r="Z46" s="31" t="str">
        <f aca="false">IF(OR($AG46=0,Z$3=""),"",IF(AND(INDEX(工程マスタ!$I:$I,$AG46)="○",$E46&gt;=Z$3,$E46&lt;EDATE(Z$3,1)),"▼",""))</f>
        <v/>
      </c>
      <c r="AA46" s="31" t="str">
        <f aca="false">IF(OR($AG46=0,AA$3=""),"",IF(AND(INDEX(工程マスタ!$I:$I,$AG46)="○",$E46&gt;=AA$3,$E46&lt;EDATE(AA$3,1)),"▼",""))</f>
        <v/>
      </c>
      <c r="AB46" s="31" t="str">
        <f aca="false">IF(OR($AG46=0,AB$3=""),"",IF(AND(INDEX(工程マスタ!$I:$I,$AG46)="○",$E46&gt;=AB$3,$E46&lt;EDATE(AB$3,1)),"▼",""))</f>
        <v/>
      </c>
      <c r="AC46" s="31" t="str">
        <f aca="false">IF(OR($AG46=0,AC$3=""),"",IF(AND(INDEX(工程マスタ!$I:$I,$AG46)="○",$E46&gt;=AC$3,$E46&lt;EDATE(AC$3,1)),"▼",""))</f>
        <v/>
      </c>
      <c r="AD46" s="31" t="str">
        <f aca="false">IF(OR($AG46=0,AD$3=""),"",IF(AND(INDEX(工程マスタ!$I:$I,$AG46)="○",$E46&gt;=AD$3,$E46&lt;EDATE(AD$3,1)),"▼",""))</f>
        <v/>
      </c>
      <c r="AE46" s="31" t="str">
        <f aca="false">IF(OR($AG46=0,AE$3=""),"",IF(AND(INDEX(工程マスタ!$I:$I,$AG46)="○",$E46&gt;=AE$3,$E46&lt;EDATE(AE$3,1)),"▼",""))</f>
        <v/>
      </c>
      <c r="AG46" s="27" t="n">
        <f aca="false" t="array" ref="AG46:AG46">IFERROR(SMALL(IF(工程マスタ!$K$5:$K$154&gt;0,ROW(工程マスタ!$C$5:$C$154)),41),0)</f>
        <v>45</v>
      </c>
      <c r="AH46" s="27" t="n">
        <f aca="false">IF($AG46=0,0,INDEX(工程マスタ!$M:$M,$AG46))</f>
        <v>46461</v>
      </c>
    </row>
    <row r="47" customFormat="false" ht="15" hidden="false" customHeight="false" outlineLevel="0" collapsed="false">
      <c r="A47" s="28" t="n">
        <f aca="false">IF($AG47=0,"",IF(INDEX(工程マスタ!$A:$A,$AG47)="","",INDEX(工程マスタ!$A:$A,$AG47)))</f>
        <v>42</v>
      </c>
      <c r="B47" s="21" t="str">
        <f aca="false">IF($AG47=0,"",IF(INDEX(工程マスタ!$B:$B,$AG47)="","",INDEX(工程マスタ!$B:$B,$AG47)))</f>
        <v>マイルストーン</v>
      </c>
      <c r="C47" s="21" t="str">
        <f aca="false">IF($AG47=0,"",IF(INDEX(工程マスタ!$C:$C,$AG47)="","",INDEX(工程マスタ!$C:$C,$AG47)))</f>
        <v>施主検査</v>
      </c>
      <c r="D47" s="21" t="str">
        <f aca="false">IF($AG47=0,"",IF(INDEX(工程マスタ!$D:$D,$AG47)="","",INDEX(工程マスタ!$D:$D,$AG47)))</f>
        <v/>
      </c>
      <c r="E47" s="29" t="n">
        <f aca="false">IF($AG47=0,"",IF(INDEX(工程マスタ!$E:$E,$AG47)="","",INDEX(工程マスタ!$E:$E,$AG47)))</f>
        <v>46464</v>
      </c>
      <c r="F47" s="29" t="n">
        <f aca="false">IF($AG47=0,"",IF(INDEX(工程マスタ!$F:$F,$AG47)="","",INDEX(工程マスタ!$F:$F,$AG47)))</f>
        <v>46464</v>
      </c>
      <c r="G47" s="30" t="str">
        <f aca="false">IF($AG47=0,"",IF(INDEX(工程マスタ!$H:$H,$AG47)="","",INDEX(工程マスタ!$H:$H,$AG47)))</f>
        <v/>
      </c>
      <c r="H47" s="31" t="str">
        <f aca="false">IF(OR($AG47=0,H$3=""),"",IF(AND(INDEX(工程マスタ!$I:$I,$AG47)="○",$E47&gt;=H$3,$E47&lt;EDATE(H$3,1)),"▼",""))</f>
        <v/>
      </c>
      <c r="I47" s="31" t="str">
        <f aca="false">IF(OR($AG47=0,I$3=""),"",IF(AND(INDEX(工程マスタ!$I:$I,$AG47)="○",$E47&gt;=I$3,$E47&lt;EDATE(I$3,1)),"▼",""))</f>
        <v/>
      </c>
      <c r="J47" s="31" t="str">
        <f aca="false">IF(OR($AG47=0,J$3=""),"",IF(AND(INDEX(工程マスタ!$I:$I,$AG47)="○",$E47&gt;=J$3,$E47&lt;EDATE(J$3,1)),"▼",""))</f>
        <v/>
      </c>
      <c r="K47" s="31" t="str">
        <f aca="false">IF(OR($AG47=0,K$3=""),"",IF(AND(INDEX(工程マスタ!$I:$I,$AG47)="○",$E47&gt;=K$3,$E47&lt;EDATE(K$3,1)),"▼",""))</f>
        <v/>
      </c>
      <c r="L47" s="31" t="str">
        <f aca="false">IF(OR($AG47=0,L$3=""),"",IF(AND(INDEX(工程マスタ!$I:$I,$AG47)="○",$E47&gt;=L$3,$E47&lt;EDATE(L$3,1)),"▼",""))</f>
        <v/>
      </c>
      <c r="M47" s="31" t="str">
        <f aca="false">IF(OR($AG47=0,M$3=""),"",IF(AND(INDEX(工程マスタ!$I:$I,$AG47)="○",$E47&gt;=M$3,$E47&lt;EDATE(M$3,1)),"▼",""))</f>
        <v/>
      </c>
      <c r="N47" s="31" t="str">
        <f aca="false">IF(OR($AG47=0,N$3=""),"",IF(AND(INDEX(工程マスタ!$I:$I,$AG47)="○",$E47&gt;=N$3,$E47&lt;EDATE(N$3,1)),"▼",""))</f>
        <v/>
      </c>
      <c r="O47" s="31" t="str">
        <f aca="false">IF(OR($AG47=0,O$3=""),"",IF(AND(INDEX(工程マスタ!$I:$I,$AG47)="○",$E47&gt;=O$3,$E47&lt;EDATE(O$3,1)),"▼",""))</f>
        <v/>
      </c>
      <c r="P47" s="31" t="str">
        <f aca="false">IF(OR($AG47=0,P$3=""),"",IF(AND(INDEX(工程マスタ!$I:$I,$AG47)="○",$E47&gt;=P$3,$E47&lt;EDATE(P$3,1)),"▼",""))</f>
        <v>▼</v>
      </c>
      <c r="Q47" s="31" t="str">
        <f aca="false">IF(OR($AG47=0,Q$3=""),"",IF(AND(INDEX(工程マスタ!$I:$I,$AG47)="○",$E47&gt;=Q$3,$E47&lt;EDATE(Q$3,1)),"▼",""))</f>
        <v/>
      </c>
      <c r="R47" s="31" t="str">
        <f aca="false">IF(OR($AG47=0,R$3=""),"",IF(AND(INDEX(工程マスタ!$I:$I,$AG47)="○",$E47&gt;=R$3,$E47&lt;EDATE(R$3,1)),"▼",""))</f>
        <v/>
      </c>
      <c r="S47" s="31" t="str">
        <f aca="false">IF(OR($AG47=0,S$3=""),"",IF(AND(INDEX(工程マスタ!$I:$I,$AG47)="○",$E47&gt;=S$3,$E47&lt;EDATE(S$3,1)),"▼",""))</f>
        <v/>
      </c>
      <c r="T47" s="31" t="str">
        <f aca="false">IF(OR($AG47=0,T$3=""),"",IF(AND(INDEX(工程マスタ!$I:$I,$AG47)="○",$E47&gt;=T$3,$E47&lt;EDATE(T$3,1)),"▼",""))</f>
        <v/>
      </c>
      <c r="U47" s="31" t="str">
        <f aca="false">IF(OR($AG47=0,U$3=""),"",IF(AND(INDEX(工程マスタ!$I:$I,$AG47)="○",$E47&gt;=U$3,$E47&lt;EDATE(U$3,1)),"▼",""))</f>
        <v/>
      </c>
      <c r="V47" s="31" t="str">
        <f aca="false">IF(OR($AG47=0,V$3=""),"",IF(AND(INDEX(工程マスタ!$I:$I,$AG47)="○",$E47&gt;=V$3,$E47&lt;EDATE(V$3,1)),"▼",""))</f>
        <v/>
      </c>
      <c r="W47" s="31" t="str">
        <f aca="false">IF(OR($AG47=0,W$3=""),"",IF(AND(INDEX(工程マスタ!$I:$I,$AG47)="○",$E47&gt;=W$3,$E47&lt;EDATE(W$3,1)),"▼",""))</f>
        <v/>
      </c>
      <c r="X47" s="31" t="str">
        <f aca="false">IF(OR($AG47=0,X$3=""),"",IF(AND(INDEX(工程マスタ!$I:$I,$AG47)="○",$E47&gt;=X$3,$E47&lt;EDATE(X$3,1)),"▼",""))</f>
        <v/>
      </c>
      <c r="Y47" s="31" t="str">
        <f aca="false">IF(OR($AG47=0,Y$3=""),"",IF(AND(INDEX(工程マスタ!$I:$I,$AG47)="○",$E47&gt;=Y$3,$E47&lt;EDATE(Y$3,1)),"▼",""))</f>
        <v/>
      </c>
      <c r="Z47" s="31" t="str">
        <f aca="false">IF(OR($AG47=0,Z$3=""),"",IF(AND(INDEX(工程マスタ!$I:$I,$AG47)="○",$E47&gt;=Z$3,$E47&lt;EDATE(Z$3,1)),"▼",""))</f>
        <v/>
      </c>
      <c r="AA47" s="31" t="str">
        <f aca="false">IF(OR($AG47=0,AA$3=""),"",IF(AND(INDEX(工程マスタ!$I:$I,$AG47)="○",$E47&gt;=AA$3,$E47&lt;EDATE(AA$3,1)),"▼",""))</f>
        <v/>
      </c>
      <c r="AB47" s="31" t="str">
        <f aca="false">IF(OR($AG47=0,AB$3=""),"",IF(AND(INDEX(工程マスタ!$I:$I,$AG47)="○",$E47&gt;=AB$3,$E47&lt;EDATE(AB$3,1)),"▼",""))</f>
        <v/>
      </c>
      <c r="AC47" s="31" t="str">
        <f aca="false">IF(OR($AG47=0,AC$3=""),"",IF(AND(INDEX(工程マスタ!$I:$I,$AG47)="○",$E47&gt;=AC$3,$E47&lt;EDATE(AC$3,1)),"▼",""))</f>
        <v/>
      </c>
      <c r="AD47" s="31" t="str">
        <f aca="false">IF(OR($AG47=0,AD$3=""),"",IF(AND(INDEX(工程マスタ!$I:$I,$AG47)="○",$E47&gt;=AD$3,$E47&lt;EDATE(AD$3,1)),"▼",""))</f>
        <v/>
      </c>
      <c r="AE47" s="31" t="str">
        <f aca="false">IF(OR($AG47=0,AE$3=""),"",IF(AND(INDEX(工程マスタ!$I:$I,$AG47)="○",$E47&gt;=AE$3,$E47&lt;EDATE(AE$3,1)),"▼",""))</f>
        <v/>
      </c>
      <c r="AG47" s="27" t="n">
        <f aca="false" t="array" ref="AG47:AG47">IFERROR(SMALL(IF(工程マスタ!$K$5:$K$154&gt;0,ROW(工程マスタ!$C$5:$C$154)),42),0)</f>
        <v>46</v>
      </c>
      <c r="AH47" s="32" t="n">
        <f aca="false">IF($AG47=0,0,INDEX(工程マスタ!$M:$M,$AG47))</f>
        <v>46464</v>
      </c>
    </row>
    <row r="48" customFormat="false" ht="15" hidden="false" customHeight="false" outlineLevel="0" collapsed="false">
      <c r="A48" s="28" t="n">
        <f aca="false">IF($AG48=0,"",IF(INDEX(工程マスタ!$A:$A,$AG48)="","",INDEX(工程マスタ!$A:$A,$AG48)))</f>
        <v>43</v>
      </c>
      <c r="B48" s="21" t="str">
        <f aca="false">IF($AG48=0,"",IF(INDEX(工程マスタ!$B:$B,$AG48)="","",INDEX(工程マスタ!$B:$B,$AG48)))</f>
        <v>検査・引渡</v>
      </c>
      <c r="C48" s="21" t="str">
        <f aca="false">IF($AG48=0,"",IF(INDEX(工程マスタ!$C:$C,$AG48)="","",INDEX(工程マスタ!$C:$C,$AG48)))</f>
        <v>是正・手直し</v>
      </c>
      <c r="D48" s="21" t="str">
        <f aca="false">IF($AG48=0,"",IF(INDEX(工程マスタ!$D:$D,$AG48)="","",INDEX(工程マスタ!$D:$D,$AG48)))</f>
        <v>△△建設</v>
      </c>
      <c r="E48" s="29" t="n">
        <f aca="false">IF($AG48=0,"",IF(INDEX(工程マスタ!$E:$E,$AG48)="","",INDEX(工程マスタ!$E:$E,$AG48)))</f>
        <v>46465</v>
      </c>
      <c r="F48" s="29" t="n">
        <f aca="false">IF($AG48=0,"",IF(INDEX(工程マスタ!$F:$F,$AG48)="","",INDEX(工程マスタ!$F:$F,$AG48)))</f>
        <v>46475</v>
      </c>
      <c r="G48" s="30" t="n">
        <f aca="false">IF($AG48=0,"",IF(INDEX(工程マスタ!$H:$H,$AG48)="","",INDEX(工程マスタ!$H:$H,$AG48)))</f>
        <v>0</v>
      </c>
      <c r="H48" s="31" t="str">
        <f aca="false">IF(OR($AG48=0,H$3=""),"",IF(AND(INDEX(工程マスタ!$I:$I,$AG48)="○",$E48&gt;=H$3,$E48&lt;EDATE(H$3,1)),"▼",""))</f>
        <v/>
      </c>
      <c r="I48" s="31" t="str">
        <f aca="false">IF(OR($AG48=0,I$3=""),"",IF(AND(INDEX(工程マスタ!$I:$I,$AG48)="○",$E48&gt;=I$3,$E48&lt;EDATE(I$3,1)),"▼",""))</f>
        <v/>
      </c>
      <c r="J48" s="31" t="str">
        <f aca="false">IF(OR($AG48=0,J$3=""),"",IF(AND(INDEX(工程マスタ!$I:$I,$AG48)="○",$E48&gt;=J$3,$E48&lt;EDATE(J$3,1)),"▼",""))</f>
        <v/>
      </c>
      <c r="K48" s="31" t="str">
        <f aca="false">IF(OR($AG48=0,K$3=""),"",IF(AND(INDEX(工程マスタ!$I:$I,$AG48)="○",$E48&gt;=K$3,$E48&lt;EDATE(K$3,1)),"▼",""))</f>
        <v/>
      </c>
      <c r="L48" s="31" t="str">
        <f aca="false">IF(OR($AG48=0,L$3=""),"",IF(AND(INDEX(工程マスタ!$I:$I,$AG48)="○",$E48&gt;=L$3,$E48&lt;EDATE(L$3,1)),"▼",""))</f>
        <v/>
      </c>
      <c r="M48" s="31" t="str">
        <f aca="false">IF(OR($AG48=0,M$3=""),"",IF(AND(INDEX(工程マスタ!$I:$I,$AG48)="○",$E48&gt;=M$3,$E48&lt;EDATE(M$3,1)),"▼",""))</f>
        <v/>
      </c>
      <c r="N48" s="31" t="str">
        <f aca="false">IF(OR($AG48=0,N$3=""),"",IF(AND(INDEX(工程マスタ!$I:$I,$AG48)="○",$E48&gt;=N$3,$E48&lt;EDATE(N$3,1)),"▼",""))</f>
        <v/>
      </c>
      <c r="O48" s="31" t="str">
        <f aca="false">IF(OR($AG48=0,O$3=""),"",IF(AND(INDEX(工程マスタ!$I:$I,$AG48)="○",$E48&gt;=O$3,$E48&lt;EDATE(O$3,1)),"▼",""))</f>
        <v/>
      </c>
      <c r="P48" s="31" t="str">
        <f aca="false">IF(OR($AG48=0,P$3=""),"",IF(AND(INDEX(工程マスタ!$I:$I,$AG48)="○",$E48&gt;=P$3,$E48&lt;EDATE(P$3,1)),"▼",""))</f>
        <v/>
      </c>
      <c r="Q48" s="31" t="str">
        <f aca="false">IF(OR($AG48=0,Q$3=""),"",IF(AND(INDEX(工程マスタ!$I:$I,$AG48)="○",$E48&gt;=Q$3,$E48&lt;EDATE(Q$3,1)),"▼",""))</f>
        <v/>
      </c>
      <c r="R48" s="31" t="str">
        <f aca="false">IF(OR($AG48=0,R$3=""),"",IF(AND(INDEX(工程マスタ!$I:$I,$AG48)="○",$E48&gt;=R$3,$E48&lt;EDATE(R$3,1)),"▼",""))</f>
        <v/>
      </c>
      <c r="S48" s="31" t="str">
        <f aca="false">IF(OR($AG48=0,S$3=""),"",IF(AND(INDEX(工程マスタ!$I:$I,$AG48)="○",$E48&gt;=S$3,$E48&lt;EDATE(S$3,1)),"▼",""))</f>
        <v/>
      </c>
      <c r="T48" s="31" t="str">
        <f aca="false">IF(OR($AG48=0,T$3=""),"",IF(AND(INDEX(工程マスタ!$I:$I,$AG48)="○",$E48&gt;=T$3,$E48&lt;EDATE(T$3,1)),"▼",""))</f>
        <v/>
      </c>
      <c r="U48" s="31" t="str">
        <f aca="false">IF(OR($AG48=0,U$3=""),"",IF(AND(INDEX(工程マスタ!$I:$I,$AG48)="○",$E48&gt;=U$3,$E48&lt;EDATE(U$3,1)),"▼",""))</f>
        <v/>
      </c>
      <c r="V48" s="31" t="str">
        <f aca="false">IF(OR($AG48=0,V$3=""),"",IF(AND(INDEX(工程マスタ!$I:$I,$AG48)="○",$E48&gt;=V$3,$E48&lt;EDATE(V$3,1)),"▼",""))</f>
        <v/>
      </c>
      <c r="W48" s="31" t="str">
        <f aca="false">IF(OR($AG48=0,W$3=""),"",IF(AND(INDEX(工程マスタ!$I:$I,$AG48)="○",$E48&gt;=W$3,$E48&lt;EDATE(W$3,1)),"▼",""))</f>
        <v/>
      </c>
      <c r="X48" s="31" t="str">
        <f aca="false">IF(OR($AG48=0,X$3=""),"",IF(AND(INDEX(工程マスタ!$I:$I,$AG48)="○",$E48&gt;=X$3,$E48&lt;EDATE(X$3,1)),"▼",""))</f>
        <v/>
      </c>
      <c r="Y48" s="31" t="str">
        <f aca="false">IF(OR($AG48=0,Y$3=""),"",IF(AND(INDEX(工程マスタ!$I:$I,$AG48)="○",$E48&gt;=Y$3,$E48&lt;EDATE(Y$3,1)),"▼",""))</f>
        <v/>
      </c>
      <c r="Z48" s="31" t="str">
        <f aca="false">IF(OR($AG48=0,Z$3=""),"",IF(AND(INDEX(工程マスタ!$I:$I,$AG48)="○",$E48&gt;=Z$3,$E48&lt;EDATE(Z$3,1)),"▼",""))</f>
        <v/>
      </c>
      <c r="AA48" s="31" t="str">
        <f aca="false">IF(OR($AG48=0,AA$3=""),"",IF(AND(INDEX(工程マスタ!$I:$I,$AG48)="○",$E48&gt;=AA$3,$E48&lt;EDATE(AA$3,1)),"▼",""))</f>
        <v/>
      </c>
      <c r="AB48" s="31" t="str">
        <f aca="false">IF(OR($AG48=0,AB$3=""),"",IF(AND(INDEX(工程マスタ!$I:$I,$AG48)="○",$E48&gt;=AB$3,$E48&lt;EDATE(AB$3,1)),"▼",""))</f>
        <v/>
      </c>
      <c r="AC48" s="31" t="str">
        <f aca="false">IF(OR($AG48=0,AC$3=""),"",IF(AND(INDEX(工程マスタ!$I:$I,$AG48)="○",$E48&gt;=AC$3,$E48&lt;EDATE(AC$3,1)),"▼",""))</f>
        <v/>
      </c>
      <c r="AD48" s="31" t="str">
        <f aca="false">IF(OR($AG48=0,AD$3=""),"",IF(AND(INDEX(工程マスタ!$I:$I,$AG48)="○",$E48&gt;=AD$3,$E48&lt;EDATE(AD$3,1)),"▼",""))</f>
        <v/>
      </c>
      <c r="AE48" s="31" t="str">
        <f aca="false">IF(OR($AG48=0,AE$3=""),"",IF(AND(INDEX(工程マスタ!$I:$I,$AG48)="○",$E48&gt;=AE$3,$E48&lt;EDATE(AE$3,1)),"▼",""))</f>
        <v/>
      </c>
      <c r="AG48" s="27" t="n">
        <f aca="false" t="array" ref="AG48:AG48">IFERROR(SMALL(IF(工程マスタ!$K$5:$K$154&gt;0,ROW(工程マスタ!$C$5:$C$154)),43),0)</f>
        <v>47</v>
      </c>
      <c r="AH48" s="27" t="n">
        <f aca="false">IF($AG48=0,0,INDEX(工程マスタ!$M:$M,$AG48))</f>
        <v>46465</v>
      </c>
    </row>
    <row r="49" customFormat="false" ht="15" hidden="false" customHeight="false" outlineLevel="0" collapsed="false">
      <c r="A49" s="28" t="n">
        <f aca="false">IF($AG49=0,"",IF(INDEX(工程マスタ!$A:$A,$AG49)="","",INDEX(工程マスタ!$A:$A,$AG49)))</f>
        <v>44</v>
      </c>
      <c r="B49" s="21" t="str">
        <f aca="false">IF($AG49=0,"",IF(INDEX(工程マスタ!$B:$B,$AG49)="","",INDEX(工程マスタ!$B:$B,$AG49)))</f>
        <v>仮設工事</v>
      </c>
      <c r="C49" s="21" t="str">
        <f aca="false">IF($AG49=0,"",IF(INDEX(工程マスタ!$C:$C,$AG49)="","",INDEX(工程マスタ!$C:$C,$AG49)))</f>
        <v>仮囲い・事務所撤去</v>
      </c>
      <c r="D49" s="21" t="str">
        <f aca="false">IF($AG49=0,"",IF(INDEX(工程マスタ!$D:$D,$AG49)="","",INDEX(工程マスタ!$D:$D,$AG49)))</f>
        <v>○○仮設工業</v>
      </c>
      <c r="E49" s="29" t="n">
        <f aca="false">IF($AG49=0,"",IF(INDEX(工程マスタ!$E:$E,$AG49)="","",INDEX(工程マスタ!$E:$E,$AG49)))</f>
        <v>46468</v>
      </c>
      <c r="F49" s="29" t="n">
        <f aca="false">IF($AG49=0,"",IF(INDEX(工程マスタ!$F:$F,$AG49)="","",INDEX(工程マスタ!$F:$F,$AG49)))</f>
        <v>46473</v>
      </c>
      <c r="G49" s="30" t="n">
        <f aca="false">IF($AG49=0,"",IF(INDEX(工程マスタ!$H:$H,$AG49)="","",INDEX(工程マスタ!$H:$H,$AG49)))</f>
        <v>0</v>
      </c>
      <c r="H49" s="31" t="str">
        <f aca="false">IF(OR($AG49=0,H$3=""),"",IF(AND(INDEX(工程マスタ!$I:$I,$AG49)="○",$E49&gt;=H$3,$E49&lt;EDATE(H$3,1)),"▼",""))</f>
        <v/>
      </c>
      <c r="I49" s="31" t="str">
        <f aca="false">IF(OR($AG49=0,I$3=""),"",IF(AND(INDEX(工程マスタ!$I:$I,$AG49)="○",$E49&gt;=I$3,$E49&lt;EDATE(I$3,1)),"▼",""))</f>
        <v/>
      </c>
      <c r="J49" s="31" t="str">
        <f aca="false">IF(OR($AG49=0,J$3=""),"",IF(AND(INDEX(工程マスタ!$I:$I,$AG49)="○",$E49&gt;=J$3,$E49&lt;EDATE(J$3,1)),"▼",""))</f>
        <v/>
      </c>
      <c r="K49" s="31" t="str">
        <f aca="false">IF(OR($AG49=0,K$3=""),"",IF(AND(INDEX(工程マスタ!$I:$I,$AG49)="○",$E49&gt;=K$3,$E49&lt;EDATE(K$3,1)),"▼",""))</f>
        <v/>
      </c>
      <c r="L49" s="31" t="str">
        <f aca="false">IF(OR($AG49=0,L$3=""),"",IF(AND(INDEX(工程マスタ!$I:$I,$AG49)="○",$E49&gt;=L$3,$E49&lt;EDATE(L$3,1)),"▼",""))</f>
        <v/>
      </c>
      <c r="M49" s="31" t="str">
        <f aca="false">IF(OR($AG49=0,M$3=""),"",IF(AND(INDEX(工程マスタ!$I:$I,$AG49)="○",$E49&gt;=M$3,$E49&lt;EDATE(M$3,1)),"▼",""))</f>
        <v/>
      </c>
      <c r="N49" s="31" t="str">
        <f aca="false">IF(OR($AG49=0,N$3=""),"",IF(AND(INDEX(工程マスタ!$I:$I,$AG49)="○",$E49&gt;=N$3,$E49&lt;EDATE(N$3,1)),"▼",""))</f>
        <v/>
      </c>
      <c r="O49" s="31" t="str">
        <f aca="false">IF(OR($AG49=0,O$3=""),"",IF(AND(INDEX(工程マスタ!$I:$I,$AG49)="○",$E49&gt;=O$3,$E49&lt;EDATE(O$3,1)),"▼",""))</f>
        <v/>
      </c>
      <c r="P49" s="31" t="str">
        <f aca="false">IF(OR($AG49=0,P$3=""),"",IF(AND(INDEX(工程マスタ!$I:$I,$AG49)="○",$E49&gt;=P$3,$E49&lt;EDATE(P$3,1)),"▼",""))</f>
        <v/>
      </c>
      <c r="Q49" s="31" t="str">
        <f aca="false">IF(OR($AG49=0,Q$3=""),"",IF(AND(INDEX(工程マスタ!$I:$I,$AG49)="○",$E49&gt;=Q$3,$E49&lt;EDATE(Q$3,1)),"▼",""))</f>
        <v/>
      </c>
      <c r="R49" s="31" t="str">
        <f aca="false">IF(OR($AG49=0,R$3=""),"",IF(AND(INDEX(工程マスタ!$I:$I,$AG49)="○",$E49&gt;=R$3,$E49&lt;EDATE(R$3,1)),"▼",""))</f>
        <v/>
      </c>
      <c r="S49" s="31" t="str">
        <f aca="false">IF(OR($AG49=0,S$3=""),"",IF(AND(INDEX(工程マスタ!$I:$I,$AG49)="○",$E49&gt;=S$3,$E49&lt;EDATE(S$3,1)),"▼",""))</f>
        <v/>
      </c>
      <c r="T49" s="31" t="str">
        <f aca="false">IF(OR($AG49=0,T$3=""),"",IF(AND(INDEX(工程マスタ!$I:$I,$AG49)="○",$E49&gt;=T$3,$E49&lt;EDATE(T$3,1)),"▼",""))</f>
        <v/>
      </c>
      <c r="U49" s="31" t="str">
        <f aca="false">IF(OR($AG49=0,U$3=""),"",IF(AND(INDEX(工程マスタ!$I:$I,$AG49)="○",$E49&gt;=U$3,$E49&lt;EDATE(U$3,1)),"▼",""))</f>
        <v/>
      </c>
      <c r="V49" s="31" t="str">
        <f aca="false">IF(OR($AG49=0,V$3=""),"",IF(AND(INDEX(工程マスタ!$I:$I,$AG49)="○",$E49&gt;=V$3,$E49&lt;EDATE(V$3,1)),"▼",""))</f>
        <v/>
      </c>
      <c r="W49" s="31" t="str">
        <f aca="false">IF(OR($AG49=0,W$3=""),"",IF(AND(INDEX(工程マスタ!$I:$I,$AG49)="○",$E49&gt;=W$3,$E49&lt;EDATE(W$3,1)),"▼",""))</f>
        <v/>
      </c>
      <c r="X49" s="31" t="str">
        <f aca="false">IF(OR($AG49=0,X$3=""),"",IF(AND(INDEX(工程マスタ!$I:$I,$AG49)="○",$E49&gt;=X$3,$E49&lt;EDATE(X$3,1)),"▼",""))</f>
        <v/>
      </c>
      <c r="Y49" s="31" t="str">
        <f aca="false">IF(OR($AG49=0,Y$3=""),"",IF(AND(INDEX(工程マスタ!$I:$I,$AG49)="○",$E49&gt;=Y$3,$E49&lt;EDATE(Y$3,1)),"▼",""))</f>
        <v/>
      </c>
      <c r="Z49" s="31" t="str">
        <f aca="false">IF(OR($AG49=0,Z$3=""),"",IF(AND(INDEX(工程マスタ!$I:$I,$AG49)="○",$E49&gt;=Z$3,$E49&lt;EDATE(Z$3,1)),"▼",""))</f>
        <v/>
      </c>
      <c r="AA49" s="31" t="str">
        <f aca="false">IF(OR($AG49=0,AA$3=""),"",IF(AND(INDEX(工程マスタ!$I:$I,$AG49)="○",$E49&gt;=AA$3,$E49&lt;EDATE(AA$3,1)),"▼",""))</f>
        <v/>
      </c>
      <c r="AB49" s="31" t="str">
        <f aca="false">IF(OR($AG49=0,AB$3=""),"",IF(AND(INDEX(工程マスタ!$I:$I,$AG49)="○",$E49&gt;=AB$3,$E49&lt;EDATE(AB$3,1)),"▼",""))</f>
        <v/>
      </c>
      <c r="AC49" s="31" t="str">
        <f aca="false">IF(OR($AG49=0,AC$3=""),"",IF(AND(INDEX(工程マスタ!$I:$I,$AG49)="○",$E49&gt;=AC$3,$E49&lt;EDATE(AC$3,1)),"▼",""))</f>
        <v/>
      </c>
      <c r="AD49" s="31" t="str">
        <f aca="false">IF(OR($AG49=0,AD$3=""),"",IF(AND(INDEX(工程マスタ!$I:$I,$AG49)="○",$E49&gt;=AD$3,$E49&lt;EDATE(AD$3,1)),"▼",""))</f>
        <v/>
      </c>
      <c r="AE49" s="31" t="str">
        <f aca="false">IF(OR($AG49=0,AE$3=""),"",IF(AND(INDEX(工程マスタ!$I:$I,$AG49)="○",$E49&gt;=AE$3,$E49&lt;EDATE(AE$3,1)),"▼",""))</f>
        <v/>
      </c>
      <c r="AG49" s="27" t="n">
        <f aca="false" t="array" ref="AG49:AG49">IFERROR(SMALL(IF(工程マスタ!$K$5:$K$154&gt;0,ROW(工程マスタ!$C$5:$C$154)),44),0)</f>
        <v>48</v>
      </c>
      <c r="AH49" s="27" t="n">
        <f aca="false">IF($AG49=0,0,INDEX(工程マスタ!$M:$M,$AG49))</f>
        <v>46468</v>
      </c>
    </row>
    <row r="50" customFormat="false" ht="15" hidden="false" customHeight="false" outlineLevel="0" collapsed="false">
      <c r="A50" s="28" t="n">
        <f aca="false">IF($AG50=0,"",IF(INDEX(工程マスタ!$A:$A,$AG50)="","",INDEX(工程マスタ!$A:$A,$AG50)))</f>
        <v>45</v>
      </c>
      <c r="B50" s="21" t="str">
        <f aca="false">IF($AG50=0,"",IF(INDEX(工程マスタ!$B:$B,$AG50)="","",INDEX(工程マスタ!$B:$B,$AG50)))</f>
        <v>マイルストーン</v>
      </c>
      <c r="C50" s="21" t="str">
        <f aca="false">IF($AG50=0,"",IF(INDEX(工程マスタ!$C:$C,$AG50)="","",INDEX(工程マスタ!$C:$C,$AG50)))</f>
        <v>竣工・引渡し</v>
      </c>
      <c r="D50" s="21" t="str">
        <f aca="false">IF($AG50=0,"",IF(INDEX(工程マスタ!$D:$D,$AG50)="","",INDEX(工程マスタ!$D:$D,$AG50)))</f>
        <v/>
      </c>
      <c r="E50" s="29" t="n">
        <f aca="false">IF($AG50=0,"",IF(INDEX(工程マスタ!$E:$E,$AG50)="","",INDEX(工程マスタ!$E:$E,$AG50)))</f>
        <v>46477</v>
      </c>
      <c r="F50" s="29" t="n">
        <f aca="false">IF($AG50=0,"",IF(INDEX(工程マスタ!$F:$F,$AG50)="","",INDEX(工程マスタ!$F:$F,$AG50)))</f>
        <v>46477</v>
      </c>
      <c r="G50" s="30" t="str">
        <f aca="false">IF($AG50=0,"",IF(INDEX(工程マスタ!$H:$H,$AG50)="","",INDEX(工程マスタ!$H:$H,$AG50)))</f>
        <v/>
      </c>
      <c r="H50" s="31" t="str">
        <f aca="false">IF(OR($AG50=0,H$3=""),"",IF(AND(INDEX(工程マスタ!$I:$I,$AG50)="○",$E50&gt;=H$3,$E50&lt;EDATE(H$3,1)),"▼",""))</f>
        <v/>
      </c>
      <c r="I50" s="31" t="str">
        <f aca="false">IF(OR($AG50=0,I$3=""),"",IF(AND(INDEX(工程マスタ!$I:$I,$AG50)="○",$E50&gt;=I$3,$E50&lt;EDATE(I$3,1)),"▼",""))</f>
        <v/>
      </c>
      <c r="J50" s="31" t="str">
        <f aca="false">IF(OR($AG50=0,J$3=""),"",IF(AND(INDEX(工程マスタ!$I:$I,$AG50)="○",$E50&gt;=J$3,$E50&lt;EDATE(J$3,1)),"▼",""))</f>
        <v/>
      </c>
      <c r="K50" s="31" t="str">
        <f aca="false">IF(OR($AG50=0,K$3=""),"",IF(AND(INDEX(工程マスタ!$I:$I,$AG50)="○",$E50&gt;=K$3,$E50&lt;EDATE(K$3,1)),"▼",""))</f>
        <v/>
      </c>
      <c r="L50" s="31" t="str">
        <f aca="false">IF(OR($AG50=0,L$3=""),"",IF(AND(INDEX(工程マスタ!$I:$I,$AG50)="○",$E50&gt;=L$3,$E50&lt;EDATE(L$3,1)),"▼",""))</f>
        <v/>
      </c>
      <c r="M50" s="31" t="str">
        <f aca="false">IF(OR($AG50=0,M$3=""),"",IF(AND(INDEX(工程マスタ!$I:$I,$AG50)="○",$E50&gt;=M$3,$E50&lt;EDATE(M$3,1)),"▼",""))</f>
        <v/>
      </c>
      <c r="N50" s="31" t="str">
        <f aca="false">IF(OR($AG50=0,N$3=""),"",IF(AND(INDEX(工程マスタ!$I:$I,$AG50)="○",$E50&gt;=N$3,$E50&lt;EDATE(N$3,1)),"▼",""))</f>
        <v/>
      </c>
      <c r="O50" s="31" t="str">
        <f aca="false">IF(OR($AG50=0,O$3=""),"",IF(AND(INDEX(工程マスタ!$I:$I,$AG50)="○",$E50&gt;=O$3,$E50&lt;EDATE(O$3,1)),"▼",""))</f>
        <v/>
      </c>
      <c r="P50" s="31" t="str">
        <f aca="false">IF(OR($AG50=0,P$3=""),"",IF(AND(INDEX(工程マスタ!$I:$I,$AG50)="○",$E50&gt;=P$3,$E50&lt;EDATE(P$3,1)),"▼",""))</f>
        <v>▼</v>
      </c>
      <c r="Q50" s="31" t="str">
        <f aca="false">IF(OR($AG50=0,Q$3=""),"",IF(AND(INDEX(工程マスタ!$I:$I,$AG50)="○",$E50&gt;=Q$3,$E50&lt;EDATE(Q$3,1)),"▼",""))</f>
        <v/>
      </c>
      <c r="R50" s="31" t="str">
        <f aca="false">IF(OR($AG50=0,R$3=""),"",IF(AND(INDEX(工程マスタ!$I:$I,$AG50)="○",$E50&gt;=R$3,$E50&lt;EDATE(R$3,1)),"▼",""))</f>
        <v/>
      </c>
      <c r="S50" s="31" t="str">
        <f aca="false">IF(OR($AG50=0,S$3=""),"",IF(AND(INDEX(工程マスタ!$I:$I,$AG50)="○",$E50&gt;=S$3,$E50&lt;EDATE(S$3,1)),"▼",""))</f>
        <v/>
      </c>
      <c r="T50" s="31" t="str">
        <f aca="false">IF(OR($AG50=0,T$3=""),"",IF(AND(INDEX(工程マスタ!$I:$I,$AG50)="○",$E50&gt;=T$3,$E50&lt;EDATE(T$3,1)),"▼",""))</f>
        <v/>
      </c>
      <c r="U50" s="31" t="str">
        <f aca="false">IF(OR($AG50=0,U$3=""),"",IF(AND(INDEX(工程マスタ!$I:$I,$AG50)="○",$E50&gt;=U$3,$E50&lt;EDATE(U$3,1)),"▼",""))</f>
        <v/>
      </c>
      <c r="V50" s="31" t="str">
        <f aca="false">IF(OR($AG50=0,V$3=""),"",IF(AND(INDEX(工程マスタ!$I:$I,$AG50)="○",$E50&gt;=V$3,$E50&lt;EDATE(V$3,1)),"▼",""))</f>
        <v/>
      </c>
      <c r="W50" s="31" t="str">
        <f aca="false">IF(OR($AG50=0,W$3=""),"",IF(AND(INDEX(工程マスタ!$I:$I,$AG50)="○",$E50&gt;=W$3,$E50&lt;EDATE(W$3,1)),"▼",""))</f>
        <v/>
      </c>
      <c r="X50" s="31" t="str">
        <f aca="false">IF(OR($AG50=0,X$3=""),"",IF(AND(INDEX(工程マスタ!$I:$I,$AG50)="○",$E50&gt;=X$3,$E50&lt;EDATE(X$3,1)),"▼",""))</f>
        <v/>
      </c>
      <c r="Y50" s="31" t="str">
        <f aca="false">IF(OR($AG50=0,Y$3=""),"",IF(AND(INDEX(工程マスタ!$I:$I,$AG50)="○",$E50&gt;=Y$3,$E50&lt;EDATE(Y$3,1)),"▼",""))</f>
        <v/>
      </c>
      <c r="Z50" s="31" t="str">
        <f aca="false">IF(OR($AG50=0,Z$3=""),"",IF(AND(INDEX(工程マスタ!$I:$I,$AG50)="○",$E50&gt;=Z$3,$E50&lt;EDATE(Z$3,1)),"▼",""))</f>
        <v/>
      </c>
      <c r="AA50" s="31" t="str">
        <f aca="false">IF(OR($AG50=0,AA$3=""),"",IF(AND(INDEX(工程マスタ!$I:$I,$AG50)="○",$E50&gt;=AA$3,$E50&lt;EDATE(AA$3,1)),"▼",""))</f>
        <v/>
      </c>
      <c r="AB50" s="31" t="str">
        <f aca="false">IF(OR($AG50=0,AB$3=""),"",IF(AND(INDEX(工程マスタ!$I:$I,$AG50)="○",$E50&gt;=AB$3,$E50&lt;EDATE(AB$3,1)),"▼",""))</f>
        <v/>
      </c>
      <c r="AC50" s="31" t="str">
        <f aca="false">IF(OR($AG50=0,AC$3=""),"",IF(AND(INDEX(工程マスタ!$I:$I,$AG50)="○",$E50&gt;=AC$3,$E50&lt;EDATE(AC$3,1)),"▼",""))</f>
        <v/>
      </c>
      <c r="AD50" s="31" t="str">
        <f aca="false">IF(OR($AG50=0,AD$3=""),"",IF(AND(INDEX(工程マスタ!$I:$I,$AG50)="○",$E50&gt;=AD$3,$E50&lt;EDATE(AD$3,1)),"▼",""))</f>
        <v/>
      </c>
      <c r="AE50" s="31" t="str">
        <f aca="false">IF(OR($AG50=0,AE$3=""),"",IF(AND(INDEX(工程マスタ!$I:$I,$AG50)="○",$E50&gt;=AE$3,$E50&lt;EDATE(AE$3,1)),"▼",""))</f>
        <v/>
      </c>
      <c r="AG50" s="27" t="n">
        <f aca="false" t="array" ref="AG50:AG50">IFERROR(SMALL(IF(工程マスタ!$K$5:$K$154&gt;0,ROW(工程マスタ!$C$5:$C$154)),45),0)</f>
        <v>49</v>
      </c>
      <c r="AH50" s="32" t="n">
        <f aca="false">IF($AG50=0,0,INDEX(工程マスタ!$M:$M,$AG50))</f>
        <v>46477</v>
      </c>
    </row>
    <row r="51" customFormat="false" ht="15" hidden="false" customHeight="false" outlineLevel="0" collapsed="false">
      <c r="A51" s="28" t="str">
        <f aca="false">IF($AG51=0,"",IF(INDEX(工程マスタ!$A:$A,$AG51)="","",INDEX(工程マスタ!$A:$A,$AG51)))</f>
        <v/>
      </c>
      <c r="B51" s="21" t="str">
        <f aca="false">IF($AG51=0,"",IF(INDEX(工程マスタ!$B:$B,$AG51)="","",INDEX(工程マスタ!$B:$B,$AG51)))</f>
        <v/>
      </c>
      <c r="C51" s="21" t="str">
        <f aca="false">IF($AG51=0,"",IF(INDEX(工程マスタ!$C:$C,$AG51)="","",INDEX(工程マスタ!$C:$C,$AG51)))</f>
        <v/>
      </c>
      <c r="D51" s="21" t="str">
        <f aca="false">IF($AG51=0,"",IF(INDEX(工程マスタ!$D:$D,$AG51)="","",INDEX(工程マスタ!$D:$D,$AG51)))</f>
        <v/>
      </c>
      <c r="E51" s="29" t="str">
        <f aca="false">IF($AG51=0,"",IF(INDEX(工程マスタ!$E:$E,$AG51)="","",INDEX(工程マスタ!$E:$E,$AG51)))</f>
        <v/>
      </c>
      <c r="F51" s="29" t="str">
        <f aca="false">IF($AG51=0,"",IF(INDEX(工程マスタ!$F:$F,$AG51)="","",INDEX(工程マスタ!$F:$F,$AG51)))</f>
        <v/>
      </c>
      <c r="G51" s="30" t="str">
        <f aca="false">IF($AG51=0,"",IF(INDEX(工程マスタ!$H:$H,$AG51)="","",INDEX(工程マスタ!$H:$H,$AG51)))</f>
        <v/>
      </c>
      <c r="H51" s="31" t="str">
        <f aca="false">IF(OR($AG51=0,H$3=""),"",IF(AND(INDEX(工程マスタ!$I:$I,$AG51)="○",$E51&gt;=H$3,$E51&lt;EDATE(H$3,1)),"▼",""))</f>
        <v/>
      </c>
      <c r="I51" s="31" t="str">
        <f aca="false">IF(OR($AG51=0,I$3=""),"",IF(AND(INDEX(工程マスタ!$I:$I,$AG51)="○",$E51&gt;=I$3,$E51&lt;EDATE(I$3,1)),"▼",""))</f>
        <v/>
      </c>
      <c r="J51" s="31" t="str">
        <f aca="false">IF(OR($AG51=0,J$3=""),"",IF(AND(INDEX(工程マスタ!$I:$I,$AG51)="○",$E51&gt;=J$3,$E51&lt;EDATE(J$3,1)),"▼",""))</f>
        <v/>
      </c>
      <c r="K51" s="31" t="str">
        <f aca="false">IF(OR($AG51=0,K$3=""),"",IF(AND(INDEX(工程マスタ!$I:$I,$AG51)="○",$E51&gt;=K$3,$E51&lt;EDATE(K$3,1)),"▼",""))</f>
        <v/>
      </c>
      <c r="L51" s="31" t="str">
        <f aca="false">IF(OR($AG51=0,L$3=""),"",IF(AND(INDEX(工程マスタ!$I:$I,$AG51)="○",$E51&gt;=L$3,$E51&lt;EDATE(L$3,1)),"▼",""))</f>
        <v/>
      </c>
      <c r="M51" s="31" t="str">
        <f aca="false">IF(OR($AG51=0,M$3=""),"",IF(AND(INDEX(工程マスタ!$I:$I,$AG51)="○",$E51&gt;=M$3,$E51&lt;EDATE(M$3,1)),"▼",""))</f>
        <v/>
      </c>
      <c r="N51" s="31" t="str">
        <f aca="false">IF(OR($AG51=0,N$3=""),"",IF(AND(INDEX(工程マスタ!$I:$I,$AG51)="○",$E51&gt;=N$3,$E51&lt;EDATE(N$3,1)),"▼",""))</f>
        <v/>
      </c>
      <c r="O51" s="31" t="str">
        <f aca="false">IF(OR($AG51=0,O$3=""),"",IF(AND(INDEX(工程マスタ!$I:$I,$AG51)="○",$E51&gt;=O$3,$E51&lt;EDATE(O$3,1)),"▼",""))</f>
        <v/>
      </c>
      <c r="P51" s="31" t="str">
        <f aca="false">IF(OR($AG51=0,P$3=""),"",IF(AND(INDEX(工程マスタ!$I:$I,$AG51)="○",$E51&gt;=P$3,$E51&lt;EDATE(P$3,1)),"▼",""))</f>
        <v/>
      </c>
      <c r="Q51" s="31" t="str">
        <f aca="false">IF(OR($AG51=0,Q$3=""),"",IF(AND(INDEX(工程マスタ!$I:$I,$AG51)="○",$E51&gt;=Q$3,$E51&lt;EDATE(Q$3,1)),"▼",""))</f>
        <v/>
      </c>
      <c r="R51" s="31" t="str">
        <f aca="false">IF(OR($AG51=0,R$3=""),"",IF(AND(INDEX(工程マスタ!$I:$I,$AG51)="○",$E51&gt;=R$3,$E51&lt;EDATE(R$3,1)),"▼",""))</f>
        <v/>
      </c>
      <c r="S51" s="31" t="str">
        <f aca="false">IF(OR($AG51=0,S$3=""),"",IF(AND(INDEX(工程マスタ!$I:$I,$AG51)="○",$E51&gt;=S$3,$E51&lt;EDATE(S$3,1)),"▼",""))</f>
        <v/>
      </c>
      <c r="T51" s="31" t="str">
        <f aca="false">IF(OR($AG51=0,T$3=""),"",IF(AND(INDEX(工程マスタ!$I:$I,$AG51)="○",$E51&gt;=T$3,$E51&lt;EDATE(T$3,1)),"▼",""))</f>
        <v/>
      </c>
      <c r="U51" s="31" t="str">
        <f aca="false">IF(OR($AG51=0,U$3=""),"",IF(AND(INDEX(工程マスタ!$I:$I,$AG51)="○",$E51&gt;=U$3,$E51&lt;EDATE(U$3,1)),"▼",""))</f>
        <v/>
      </c>
      <c r="V51" s="31" t="str">
        <f aca="false">IF(OR($AG51=0,V$3=""),"",IF(AND(INDEX(工程マスタ!$I:$I,$AG51)="○",$E51&gt;=V$3,$E51&lt;EDATE(V$3,1)),"▼",""))</f>
        <v/>
      </c>
      <c r="W51" s="31" t="str">
        <f aca="false">IF(OR($AG51=0,W$3=""),"",IF(AND(INDEX(工程マスタ!$I:$I,$AG51)="○",$E51&gt;=W$3,$E51&lt;EDATE(W$3,1)),"▼",""))</f>
        <v/>
      </c>
      <c r="X51" s="31" t="str">
        <f aca="false">IF(OR($AG51=0,X$3=""),"",IF(AND(INDEX(工程マスタ!$I:$I,$AG51)="○",$E51&gt;=X$3,$E51&lt;EDATE(X$3,1)),"▼",""))</f>
        <v/>
      </c>
      <c r="Y51" s="31" t="str">
        <f aca="false">IF(OR($AG51=0,Y$3=""),"",IF(AND(INDEX(工程マスタ!$I:$I,$AG51)="○",$E51&gt;=Y$3,$E51&lt;EDATE(Y$3,1)),"▼",""))</f>
        <v/>
      </c>
      <c r="Z51" s="31" t="str">
        <f aca="false">IF(OR($AG51=0,Z$3=""),"",IF(AND(INDEX(工程マスタ!$I:$I,$AG51)="○",$E51&gt;=Z$3,$E51&lt;EDATE(Z$3,1)),"▼",""))</f>
        <v/>
      </c>
      <c r="AA51" s="31" t="str">
        <f aca="false">IF(OR($AG51=0,AA$3=""),"",IF(AND(INDEX(工程マスタ!$I:$I,$AG51)="○",$E51&gt;=AA$3,$E51&lt;EDATE(AA$3,1)),"▼",""))</f>
        <v/>
      </c>
      <c r="AB51" s="31" t="str">
        <f aca="false">IF(OR($AG51=0,AB$3=""),"",IF(AND(INDEX(工程マスタ!$I:$I,$AG51)="○",$E51&gt;=AB$3,$E51&lt;EDATE(AB$3,1)),"▼",""))</f>
        <v/>
      </c>
      <c r="AC51" s="31" t="str">
        <f aca="false">IF(OR($AG51=0,AC$3=""),"",IF(AND(INDEX(工程マスタ!$I:$I,$AG51)="○",$E51&gt;=AC$3,$E51&lt;EDATE(AC$3,1)),"▼",""))</f>
        <v/>
      </c>
      <c r="AD51" s="31" t="str">
        <f aca="false">IF(OR($AG51=0,AD$3=""),"",IF(AND(INDEX(工程マスタ!$I:$I,$AG51)="○",$E51&gt;=AD$3,$E51&lt;EDATE(AD$3,1)),"▼",""))</f>
        <v/>
      </c>
      <c r="AE51" s="31" t="str">
        <f aca="false">IF(OR($AG51=0,AE$3=""),"",IF(AND(INDEX(工程マスタ!$I:$I,$AG51)="○",$E51&gt;=AE$3,$E51&lt;EDATE(AE$3,1)),"▼",""))</f>
        <v/>
      </c>
      <c r="AG51" s="27" t="n">
        <f aca="false" t="array" ref="AG51:AG51">IFERROR(SMALL(IF(工程マスタ!$K$5:$K$154&gt;0,ROW(工程マスタ!$C$5:$C$154)),46),0)</f>
        <v>0</v>
      </c>
      <c r="AH51" s="27" t="n">
        <f aca="false">IF($AG51=0,0,INDEX(工程マスタ!$M:$M,$AG51))</f>
        <v>0</v>
      </c>
    </row>
    <row r="52" customFormat="false" ht="15" hidden="false" customHeight="false" outlineLevel="0" collapsed="false">
      <c r="A52" s="28" t="str">
        <f aca="false">IF($AG52=0,"",IF(INDEX(工程マスタ!$A:$A,$AG52)="","",INDEX(工程マスタ!$A:$A,$AG52)))</f>
        <v/>
      </c>
      <c r="B52" s="21" t="str">
        <f aca="false">IF($AG52=0,"",IF(INDEX(工程マスタ!$B:$B,$AG52)="","",INDEX(工程マスタ!$B:$B,$AG52)))</f>
        <v/>
      </c>
      <c r="C52" s="21" t="str">
        <f aca="false">IF($AG52=0,"",IF(INDEX(工程マスタ!$C:$C,$AG52)="","",INDEX(工程マスタ!$C:$C,$AG52)))</f>
        <v/>
      </c>
      <c r="D52" s="21" t="str">
        <f aca="false">IF($AG52=0,"",IF(INDEX(工程マスタ!$D:$D,$AG52)="","",INDEX(工程マスタ!$D:$D,$AG52)))</f>
        <v/>
      </c>
      <c r="E52" s="29" t="str">
        <f aca="false">IF($AG52=0,"",IF(INDEX(工程マスタ!$E:$E,$AG52)="","",INDEX(工程マスタ!$E:$E,$AG52)))</f>
        <v/>
      </c>
      <c r="F52" s="29" t="str">
        <f aca="false">IF($AG52=0,"",IF(INDEX(工程マスタ!$F:$F,$AG52)="","",INDEX(工程マスタ!$F:$F,$AG52)))</f>
        <v/>
      </c>
      <c r="G52" s="30" t="str">
        <f aca="false">IF($AG52=0,"",IF(INDEX(工程マスタ!$H:$H,$AG52)="","",INDEX(工程マスタ!$H:$H,$AG52)))</f>
        <v/>
      </c>
      <c r="H52" s="31" t="str">
        <f aca="false">IF(OR($AG52=0,H$3=""),"",IF(AND(INDEX(工程マスタ!$I:$I,$AG52)="○",$E52&gt;=H$3,$E52&lt;EDATE(H$3,1)),"▼",""))</f>
        <v/>
      </c>
      <c r="I52" s="31" t="str">
        <f aca="false">IF(OR($AG52=0,I$3=""),"",IF(AND(INDEX(工程マスタ!$I:$I,$AG52)="○",$E52&gt;=I$3,$E52&lt;EDATE(I$3,1)),"▼",""))</f>
        <v/>
      </c>
      <c r="J52" s="31" t="str">
        <f aca="false">IF(OR($AG52=0,J$3=""),"",IF(AND(INDEX(工程マスタ!$I:$I,$AG52)="○",$E52&gt;=J$3,$E52&lt;EDATE(J$3,1)),"▼",""))</f>
        <v/>
      </c>
      <c r="K52" s="31" t="str">
        <f aca="false">IF(OR($AG52=0,K$3=""),"",IF(AND(INDEX(工程マスタ!$I:$I,$AG52)="○",$E52&gt;=K$3,$E52&lt;EDATE(K$3,1)),"▼",""))</f>
        <v/>
      </c>
      <c r="L52" s="31" t="str">
        <f aca="false">IF(OR($AG52=0,L$3=""),"",IF(AND(INDEX(工程マスタ!$I:$I,$AG52)="○",$E52&gt;=L$3,$E52&lt;EDATE(L$3,1)),"▼",""))</f>
        <v/>
      </c>
      <c r="M52" s="31" t="str">
        <f aca="false">IF(OR($AG52=0,M$3=""),"",IF(AND(INDEX(工程マスタ!$I:$I,$AG52)="○",$E52&gt;=M$3,$E52&lt;EDATE(M$3,1)),"▼",""))</f>
        <v/>
      </c>
      <c r="N52" s="31" t="str">
        <f aca="false">IF(OR($AG52=0,N$3=""),"",IF(AND(INDEX(工程マスタ!$I:$I,$AG52)="○",$E52&gt;=N$3,$E52&lt;EDATE(N$3,1)),"▼",""))</f>
        <v/>
      </c>
      <c r="O52" s="31" t="str">
        <f aca="false">IF(OR($AG52=0,O$3=""),"",IF(AND(INDEX(工程マスタ!$I:$I,$AG52)="○",$E52&gt;=O$3,$E52&lt;EDATE(O$3,1)),"▼",""))</f>
        <v/>
      </c>
      <c r="P52" s="31" t="str">
        <f aca="false">IF(OR($AG52=0,P$3=""),"",IF(AND(INDEX(工程マスタ!$I:$I,$AG52)="○",$E52&gt;=P$3,$E52&lt;EDATE(P$3,1)),"▼",""))</f>
        <v/>
      </c>
      <c r="Q52" s="31" t="str">
        <f aca="false">IF(OR($AG52=0,Q$3=""),"",IF(AND(INDEX(工程マスタ!$I:$I,$AG52)="○",$E52&gt;=Q$3,$E52&lt;EDATE(Q$3,1)),"▼",""))</f>
        <v/>
      </c>
      <c r="R52" s="31" t="str">
        <f aca="false">IF(OR($AG52=0,R$3=""),"",IF(AND(INDEX(工程マスタ!$I:$I,$AG52)="○",$E52&gt;=R$3,$E52&lt;EDATE(R$3,1)),"▼",""))</f>
        <v/>
      </c>
      <c r="S52" s="31" t="str">
        <f aca="false">IF(OR($AG52=0,S$3=""),"",IF(AND(INDEX(工程マスタ!$I:$I,$AG52)="○",$E52&gt;=S$3,$E52&lt;EDATE(S$3,1)),"▼",""))</f>
        <v/>
      </c>
      <c r="T52" s="31" t="str">
        <f aca="false">IF(OR($AG52=0,T$3=""),"",IF(AND(INDEX(工程マスタ!$I:$I,$AG52)="○",$E52&gt;=T$3,$E52&lt;EDATE(T$3,1)),"▼",""))</f>
        <v/>
      </c>
      <c r="U52" s="31" t="str">
        <f aca="false">IF(OR($AG52=0,U$3=""),"",IF(AND(INDEX(工程マスタ!$I:$I,$AG52)="○",$E52&gt;=U$3,$E52&lt;EDATE(U$3,1)),"▼",""))</f>
        <v/>
      </c>
      <c r="V52" s="31" t="str">
        <f aca="false">IF(OR($AG52=0,V$3=""),"",IF(AND(INDEX(工程マスタ!$I:$I,$AG52)="○",$E52&gt;=V$3,$E52&lt;EDATE(V$3,1)),"▼",""))</f>
        <v/>
      </c>
      <c r="W52" s="31" t="str">
        <f aca="false">IF(OR($AG52=0,W$3=""),"",IF(AND(INDEX(工程マスタ!$I:$I,$AG52)="○",$E52&gt;=W$3,$E52&lt;EDATE(W$3,1)),"▼",""))</f>
        <v/>
      </c>
      <c r="X52" s="31" t="str">
        <f aca="false">IF(OR($AG52=0,X$3=""),"",IF(AND(INDEX(工程マスタ!$I:$I,$AG52)="○",$E52&gt;=X$3,$E52&lt;EDATE(X$3,1)),"▼",""))</f>
        <v/>
      </c>
      <c r="Y52" s="31" t="str">
        <f aca="false">IF(OR($AG52=0,Y$3=""),"",IF(AND(INDEX(工程マスタ!$I:$I,$AG52)="○",$E52&gt;=Y$3,$E52&lt;EDATE(Y$3,1)),"▼",""))</f>
        <v/>
      </c>
      <c r="Z52" s="31" t="str">
        <f aca="false">IF(OR($AG52=0,Z$3=""),"",IF(AND(INDEX(工程マスタ!$I:$I,$AG52)="○",$E52&gt;=Z$3,$E52&lt;EDATE(Z$3,1)),"▼",""))</f>
        <v/>
      </c>
      <c r="AA52" s="31" t="str">
        <f aca="false">IF(OR($AG52=0,AA$3=""),"",IF(AND(INDEX(工程マスタ!$I:$I,$AG52)="○",$E52&gt;=AA$3,$E52&lt;EDATE(AA$3,1)),"▼",""))</f>
        <v/>
      </c>
      <c r="AB52" s="31" t="str">
        <f aca="false">IF(OR($AG52=0,AB$3=""),"",IF(AND(INDEX(工程マスタ!$I:$I,$AG52)="○",$E52&gt;=AB$3,$E52&lt;EDATE(AB$3,1)),"▼",""))</f>
        <v/>
      </c>
      <c r="AC52" s="31" t="str">
        <f aca="false">IF(OR($AG52=0,AC$3=""),"",IF(AND(INDEX(工程マスタ!$I:$I,$AG52)="○",$E52&gt;=AC$3,$E52&lt;EDATE(AC$3,1)),"▼",""))</f>
        <v/>
      </c>
      <c r="AD52" s="31" t="str">
        <f aca="false">IF(OR($AG52=0,AD$3=""),"",IF(AND(INDEX(工程マスタ!$I:$I,$AG52)="○",$E52&gt;=AD$3,$E52&lt;EDATE(AD$3,1)),"▼",""))</f>
        <v/>
      </c>
      <c r="AE52" s="31" t="str">
        <f aca="false">IF(OR($AG52=0,AE$3=""),"",IF(AND(INDEX(工程マスタ!$I:$I,$AG52)="○",$E52&gt;=AE$3,$E52&lt;EDATE(AE$3,1)),"▼",""))</f>
        <v/>
      </c>
      <c r="AG52" s="27" t="n">
        <f aca="false" t="array" ref="AG52:AG52">IFERROR(SMALL(IF(工程マスタ!$K$5:$K$154&gt;0,ROW(工程マスタ!$C$5:$C$154)),47),0)</f>
        <v>0</v>
      </c>
      <c r="AH52" s="27" t="n">
        <f aca="false">IF($AG52=0,0,INDEX(工程マスタ!$M:$M,$AG52))</f>
        <v>0</v>
      </c>
    </row>
    <row r="53" customFormat="false" ht="15" hidden="false" customHeight="false" outlineLevel="0" collapsed="false">
      <c r="A53" s="28" t="str">
        <f aca="false">IF($AG53=0,"",IF(INDEX(工程マスタ!$A:$A,$AG53)="","",INDEX(工程マスタ!$A:$A,$AG53)))</f>
        <v/>
      </c>
      <c r="B53" s="21" t="str">
        <f aca="false">IF($AG53=0,"",IF(INDEX(工程マスタ!$B:$B,$AG53)="","",INDEX(工程マスタ!$B:$B,$AG53)))</f>
        <v/>
      </c>
      <c r="C53" s="21" t="str">
        <f aca="false">IF($AG53=0,"",IF(INDEX(工程マスタ!$C:$C,$AG53)="","",INDEX(工程マスタ!$C:$C,$AG53)))</f>
        <v/>
      </c>
      <c r="D53" s="21" t="str">
        <f aca="false">IF($AG53=0,"",IF(INDEX(工程マスタ!$D:$D,$AG53)="","",INDEX(工程マスタ!$D:$D,$AG53)))</f>
        <v/>
      </c>
      <c r="E53" s="29" t="str">
        <f aca="false">IF($AG53=0,"",IF(INDEX(工程マスタ!$E:$E,$AG53)="","",INDEX(工程マスタ!$E:$E,$AG53)))</f>
        <v/>
      </c>
      <c r="F53" s="29" t="str">
        <f aca="false">IF($AG53=0,"",IF(INDEX(工程マスタ!$F:$F,$AG53)="","",INDEX(工程マスタ!$F:$F,$AG53)))</f>
        <v/>
      </c>
      <c r="G53" s="30" t="str">
        <f aca="false">IF($AG53=0,"",IF(INDEX(工程マスタ!$H:$H,$AG53)="","",INDEX(工程マスタ!$H:$H,$AG53)))</f>
        <v/>
      </c>
      <c r="H53" s="31" t="str">
        <f aca="false">IF(OR($AG53=0,H$3=""),"",IF(AND(INDEX(工程マスタ!$I:$I,$AG53)="○",$E53&gt;=H$3,$E53&lt;EDATE(H$3,1)),"▼",""))</f>
        <v/>
      </c>
      <c r="I53" s="31" t="str">
        <f aca="false">IF(OR($AG53=0,I$3=""),"",IF(AND(INDEX(工程マスタ!$I:$I,$AG53)="○",$E53&gt;=I$3,$E53&lt;EDATE(I$3,1)),"▼",""))</f>
        <v/>
      </c>
      <c r="J53" s="31" t="str">
        <f aca="false">IF(OR($AG53=0,J$3=""),"",IF(AND(INDEX(工程マスタ!$I:$I,$AG53)="○",$E53&gt;=J$3,$E53&lt;EDATE(J$3,1)),"▼",""))</f>
        <v/>
      </c>
      <c r="K53" s="31" t="str">
        <f aca="false">IF(OR($AG53=0,K$3=""),"",IF(AND(INDEX(工程マスタ!$I:$I,$AG53)="○",$E53&gt;=K$3,$E53&lt;EDATE(K$3,1)),"▼",""))</f>
        <v/>
      </c>
      <c r="L53" s="31" t="str">
        <f aca="false">IF(OR($AG53=0,L$3=""),"",IF(AND(INDEX(工程マスタ!$I:$I,$AG53)="○",$E53&gt;=L$3,$E53&lt;EDATE(L$3,1)),"▼",""))</f>
        <v/>
      </c>
      <c r="M53" s="31" t="str">
        <f aca="false">IF(OR($AG53=0,M$3=""),"",IF(AND(INDEX(工程マスタ!$I:$I,$AG53)="○",$E53&gt;=M$3,$E53&lt;EDATE(M$3,1)),"▼",""))</f>
        <v/>
      </c>
      <c r="N53" s="31" t="str">
        <f aca="false">IF(OR($AG53=0,N$3=""),"",IF(AND(INDEX(工程マスタ!$I:$I,$AG53)="○",$E53&gt;=N$3,$E53&lt;EDATE(N$3,1)),"▼",""))</f>
        <v/>
      </c>
      <c r="O53" s="31" t="str">
        <f aca="false">IF(OR($AG53=0,O$3=""),"",IF(AND(INDEX(工程マスタ!$I:$I,$AG53)="○",$E53&gt;=O$3,$E53&lt;EDATE(O$3,1)),"▼",""))</f>
        <v/>
      </c>
      <c r="P53" s="31" t="str">
        <f aca="false">IF(OR($AG53=0,P$3=""),"",IF(AND(INDEX(工程マスタ!$I:$I,$AG53)="○",$E53&gt;=P$3,$E53&lt;EDATE(P$3,1)),"▼",""))</f>
        <v/>
      </c>
      <c r="Q53" s="31" t="str">
        <f aca="false">IF(OR($AG53=0,Q$3=""),"",IF(AND(INDEX(工程マスタ!$I:$I,$AG53)="○",$E53&gt;=Q$3,$E53&lt;EDATE(Q$3,1)),"▼",""))</f>
        <v/>
      </c>
      <c r="R53" s="31" t="str">
        <f aca="false">IF(OR($AG53=0,R$3=""),"",IF(AND(INDEX(工程マスタ!$I:$I,$AG53)="○",$E53&gt;=R$3,$E53&lt;EDATE(R$3,1)),"▼",""))</f>
        <v/>
      </c>
      <c r="S53" s="31" t="str">
        <f aca="false">IF(OR($AG53=0,S$3=""),"",IF(AND(INDEX(工程マスタ!$I:$I,$AG53)="○",$E53&gt;=S$3,$E53&lt;EDATE(S$3,1)),"▼",""))</f>
        <v/>
      </c>
      <c r="T53" s="31" t="str">
        <f aca="false">IF(OR($AG53=0,T$3=""),"",IF(AND(INDEX(工程マスタ!$I:$I,$AG53)="○",$E53&gt;=T$3,$E53&lt;EDATE(T$3,1)),"▼",""))</f>
        <v/>
      </c>
      <c r="U53" s="31" t="str">
        <f aca="false">IF(OR($AG53=0,U$3=""),"",IF(AND(INDEX(工程マスタ!$I:$I,$AG53)="○",$E53&gt;=U$3,$E53&lt;EDATE(U$3,1)),"▼",""))</f>
        <v/>
      </c>
      <c r="V53" s="31" t="str">
        <f aca="false">IF(OR($AG53=0,V$3=""),"",IF(AND(INDEX(工程マスタ!$I:$I,$AG53)="○",$E53&gt;=V$3,$E53&lt;EDATE(V$3,1)),"▼",""))</f>
        <v/>
      </c>
      <c r="W53" s="31" t="str">
        <f aca="false">IF(OR($AG53=0,W$3=""),"",IF(AND(INDEX(工程マスタ!$I:$I,$AG53)="○",$E53&gt;=W$3,$E53&lt;EDATE(W$3,1)),"▼",""))</f>
        <v/>
      </c>
      <c r="X53" s="31" t="str">
        <f aca="false">IF(OR($AG53=0,X$3=""),"",IF(AND(INDEX(工程マスタ!$I:$I,$AG53)="○",$E53&gt;=X$3,$E53&lt;EDATE(X$3,1)),"▼",""))</f>
        <v/>
      </c>
      <c r="Y53" s="31" t="str">
        <f aca="false">IF(OR($AG53=0,Y$3=""),"",IF(AND(INDEX(工程マスタ!$I:$I,$AG53)="○",$E53&gt;=Y$3,$E53&lt;EDATE(Y$3,1)),"▼",""))</f>
        <v/>
      </c>
      <c r="Z53" s="31" t="str">
        <f aca="false">IF(OR($AG53=0,Z$3=""),"",IF(AND(INDEX(工程マスタ!$I:$I,$AG53)="○",$E53&gt;=Z$3,$E53&lt;EDATE(Z$3,1)),"▼",""))</f>
        <v/>
      </c>
      <c r="AA53" s="31" t="str">
        <f aca="false">IF(OR($AG53=0,AA$3=""),"",IF(AND(INDEX(工程マスタ!$I:$I,$AG53)="○",$E53&gt;=AA$3,$E53&lt;EDATE(AA$3,1)),"▼",""))</f>
        <v/>
      </c>
      <c r="AB53" s="31" t="str">
        <f aca="false">IF(OR($AG53=0,AB$3=""),"",IF(AND(INDEX(工程マスタ!$I:$I,$AG53)="○",$E53&gt;=AB$3,$E53&lt;EDATE(AB$3,1)),"▼",""))</f>
        <v/>
      </c>
      <c r="AC53" s="31" t="str">
        <f aca="false">IF(OR($AG53=0,AC$3=""),"",IF(AND(INDEX(工程マスタ!$I:$I,$AG53)="○",$E53&gt;=AC$3,$E53&lt;EDATE(AC$3,1)),"▼",""))</f>
        <v/>
      </c>
      <c r="AD53" s="31" t="str">
        <f aca="false">IF(OR($AG53=0,AD$3=""),"",IF(AND(INDEX(工程マスタ!$I:$I,$AG53)="○",$E53&gt;=AD$3,$E53&lt;EDATE(AD$3,1)),"▼",""))</f>
        <v/>
      </c>
      <c r="AE53" s="31" t="str">
        <f aca="false">IF(OR($AG53=0,AE$3=""),"",IF(AND(INDEX(工程マスタ!$I:$I,$AG53)="○",$E53&gt;=AE$3,$E53&lt;EDATE(AE$3,1)),"▼",""))</f>
        <v/>
      </c>
      <c r="AG53" s="27" t="n">
        <f aca="false" t="array" ref="AG53:AG53">IFERROR(SMALL(IF(工程マスタ!$K$5:$K$154&gt;0,ROW(工程マスタ!$C$5:$C$154)),48),0)</f>
        <v>0</v>
      </c>
      <c r="AH53" s="27" t="n">
        <f aca="false">IF($AG53=0,0,INDEX(工程マスタ!$M:$M,$AG53))</f>
        <v>0</v>
      </c>
    </row>
    <row r="54" customFormat="false" ht="15" hidden="false" customHeight="false" outlineLevel="0" collapsed="false">
      <c r="A54" s="28" t="str">
        <f aca="false">IF($AG54=0,"",IF(INDEX(工程マスタ!$A:$A,$AG54)="","",INDEX(工程マスタ!$A:$A,$AG54)))</f>
        <v/>
      </c>
      <c r="B54" s="21" t="str">
        <f aca="false">IF($AG54=0,"",IF(INDEX(工程マスタ!$B:$B,$AG54)="","",INDEX(工程マスタ!$B:$B,$AG54)))</f>
        <v/>
      </c>
      <c r="C54" s="21" t="str">
        <f aca="false">IF($AG54=0,"",IF(INDEX(工程マスタ!$C:$C,$AG54)="","",INDEX(工程マスタ!$C:$C,$AG54)))</f>
        <v/>
      </c>
      <c r="D54" s="21" t="str">
        <f aca="false">IF($AG54=0,"",IF(INDEX(工程マスタ!$D:$D,$AG54)="","",INDEX(工程マスタ!$D:$D,$AG54)))</f>
        <v/>
      </c>
      <c r="E54" s="29" t="str">
        <f aca="false">IF($AG54=0,"",IF(INDEX(工程マスタ!$E:$E,$AG54)="","",INDEX(工程マスタ!$E:$E,$AG54)))</f>
        <v/>
      </c>
      <c r="F54" s="29" t="str">
        <f aca="false">IF($AG54=0,"",IF(INDEX(工程マスタ!$F:$F,$AG54)="","",INDEX(工程マスタ!$F:$F,$AG54)))</f>
        <v/>
      </c>
      <c r="G54" s="30" t="str">
        <f aca="false">IF($AG54=0,"",IF(INDEX(工程マスタ!$H:$H,$AG54)="","",INDEX(工程マスタ!$H:$H,$AG54)))</f>
        <v/>
      </c>
      <c r="H54" s="31" t="str">
        <f aca="false">IF(OR($AG54=0,H$3=""),"",IF(AND(INDEX(工程マスタ!$I:$I,$AG54)="○",$E54&gt;=H$3,$E54&lt;EDATE(H$3,1)),"▼",""))</f>
        <v/>
      </c>
      <c r="I54" s="31" t="str">
        <f aca="false">IF(OR($AG54=0,I$3=""),"",IF(AND(INDEX(工程マスタ!$I:$I,$AG54)="○",$E54&gt;=I$3,$E54&lt;EDATE(I$3,1)),"▼",""))</f>
        <v/>
      </c>
      <c r="J54" s="31" t="str">
        <f aca="false">IF(OR($AG54=0,J$3=""),"",IF(AND(INDEX(工程マスタ!$I:$I,$AG54)="○",$E54&gt;=J$3,$E54&lt;EDATE(J$3,1)),"▼",""))</f>
        <v/>
      </c>
      <c r="K54" s="31" t="str">
        <f aca="false">IF(OR($AG54=0,K$3=""),"",IF(AND(INDEX(工程マスタ!$I:$I,$AG54)="○",$E54&gt;=K$3,$E54&lt;EDATE(K$3,1)),"▼",""))</f>
        <v/>
      </c>
      <c r="L54" s="31" t="str">
        <f aca="false">IF(OR($AG54=0,L$3=""),"",IF(AND(INDEX(工程マスタ!$I:$I,$AG54)="○",$E54&gt;=L$3,$E54&lt;EDATE(L$3,1)),"▼",""))</f>
        <v/>
      </c>
      <c r="M54" s="31" t="str">
        <f aca="false">IF(OR($AG54=0,M$3=""),"",IF(AND(INDEX(工程マスタ!$I:$I,$AG54)="○",$E54&gt;=M$3,$E54&lt;EDATE(M$3,1)),"▼",""))</f>
        <v/>
      </c>
      <c r="N54" s="31" t="str">
        <f aca="false">IF(OR($AG54=0,N$3=""),"",IF(AND(INDEX(工程マスタ!$I:$I,$AG54)="○",$E54&gt;=N$3,$E54&lt;EDATE(N$3,1)),"▼",""))</f>
        <v/>
      </c>
      <c r="O54" s="31" t="str">
        <f aca="false">IF(OR($AG54=0,O$3=""),"",IF(AND(INDEX(工程マスタ!$I:$I,$AG54)="○",$E54&gt;=O$3,$E54&lt;EDATE(O$3,1)),"▼",""))</f>
        <v/>
      </c>
      <c r="P54" s="31" t="str">
        <f aca="false">IF(OR($AG54=0,P$3=""),"",IF(AND(INDEX(工程マスタ!$I:$I,$AG54)="○",$E54&gt;=P$3,$E54&lt;EDATE(P$3,1)),"▼",""))</f>
        <v/>
      </c>
      <c r="Q54" s="31" t="str">
        <f aca="false">IF(OR($AG54=0,Q$3=""),"",IF(AND(INDEX(工程マスタ!$I:$I,$AG54)="○",$E54&gt;=Q$3,$E54&lt;EDATE(Q$3,1)),"▼",""))</f>
        <v/>
      </c>
      <c r="R54" s="31" t="str">
        <f aca="false">IF(OR($AG54=0,R$3=""),"",IF(AND(INDEX(工程マスタ!$I:$I,$AG54)="○",$E54&gt;=R$3,$E54&lt;EDATE(R$3,1)),"▼",""))</f>
        <v/>
      </c>
      <c r="S54" s="31" t="str">
        <f aca="false">IF(OR($AG54=0,S$3=""),"",IF(AND(INDEX(工程マスタ!$I:$I,$AG54)="○",$E54&gt;=S$3,$E54&lt;EDATE(S$3,1)),"▼",""))</f>
        <v/>
      </c>
      <c r="T54" s="31" t="str">
        <f aca="false">IF(OR($AG54=0,T$3=""),"",IF(AND(INDEX(工程マスタ!$I:$I,$AG54)="○",$E54&gt;=T$3,$E54&lt;EDATE(T$3,1)),"▼",""))</f>
        <v/>
      </c>
      <c r="U54" s="31" t="str">
        <f aca="false">IF(OR($AG54=0,U$3=""),"",IF(AND(INDEX(工程マスタ!$I:$I,$AG54)="○",$E54&gt;=U$3,$E54&lt;EDATE(U$3,1)),"▼",""))</f>
        <v/>
      </c>
      <c r="V54" s="31" t="str">
        <f aca="false">IF(OR($AG54=0,V$3=""),"",IF(AND(INDEX(工程マスタ!$I:$I,$AG54)="○",$E54&gt;=V$3,$E54&lt;EDATE(V$3,1)),"▼",""))</f>
        <v/>
      </c>
      <c r="W54" s="31" t="str">
        <f aca="false">IF(OR($AG54=0,W$3=""),"",IF(AND(INDEX(工程マスタ!$I:$I,$AG54)="○",$E54&gt;=W$3,$E54&lt;EDATE(W$3,1)),"▼",""))</f>
        <v/>
      </c>
      <c r="X54" s="31" t="str">
        <f aca="false">IF(OR($AG54=0,X$3=""),"",IF(AND(INDEX(工程マスタ!$I:$I,$AG54)="○",$E54&gt;=X$3,$E54&lt;EDATE(X$3,1)),"▼",""))</f>
        <v/>
      </c>
      <c r="Y54" s="31" t="str">
        <f aca="false">IF(OR($AG54=0,Y$3=""),"",IF(AND(INDEX(工程マスタ!$I:$I,$AG54)="○",$E54&gt;=Y$3,$E54&lt;EDATE(Y$3,1)),"▼",""))</f>
        <v/>
      </c>
      <c r="Z54" s="31" t="str">
        <f aca="false">IF(OR($AG54=0,Z$3=""),"",IF(AND(INDEX(工程マスタ!$I:$I,$AG54)="○",$E54&gt;=Z$3,$E54&lt;EDATE(Z$3,1)),"▼",""))</f>
        <v/>
      </c>
      <c r="AA54" s="31" t="str">
        <f aca="false">IF(OR($AG54=0,AA$3=""),"",IF(AND(INDEX(工程マスタ!$I:$I,$AG54)="○",$E54&gt;=AA$3,$E54&lt;EDATE(AA$3,1)),"▼",""))</f>
        <v/>
      </c>
      <c r="AB54" s="31" t="str">
        <f aca="false">IF(OR($AG54=0,AB$3=""),"",IF(AND(INDEX(工程マスタ!$I:$I,$AG54)="○",$E54&gt;=AB$3,$E54&lt;EDATE(AB$3,1)),"▼",""))</f>
        <v/>
      </c>
      <c r="AC54" s="31" t="str">
        <f aca="false">IF(OR($AG54=0,AC$3=""),"",IF(AND(INDEX(工程マスタ!$I:$I,$AG54)="○",$E54&gt;=AC$3,$E54&lt;EDATE(AC$3,1)),"▼",""))</f>
        <v/>
      </c>
      <c r="AD54" s="31" t="str">
        <f aca="false">IF(OR($AG54=0,AD$3=""),"",IF(AND(INDEX(工程マスタ!$I:$I,$AG54)="○",$E54&gt;=AD$3,$E54&lt;EDATE(AD$3,1)),"▼",""))</f>
        <v/>
      </c>
      <c r="AE54" s="31" t="str">
        <f aca="false">IF(OR($AG54=0,AE$3=""),"",IF(AND(INDEX(工程マスタ!$I:$I,$AG54)="○",$E54&gt;=AE$3,$E54&lt;EDATE(AE$3,1)),"▼",""))</f>
        <v/>
      </c>
      <c r="AG54" s="27" t="n">
        <f aca="false" t="array" ref="AG54:AG54">IFERROR(SMALL(IF(工程マスタ!$K$5:$K$154&gt;0,ROW(工程マスタ!$C$5:$C$154)),49),0)</f>
        <v>0</v>
      </c>
      <c r="AH54" s="27" t="n">
        <f aca="false">IF($AG54=0,0,INDEX(工程マスタ!$M:$M,$AG54))</f>
        <v>0</v>
      </c>
    </row>
    <row r="55" customFormat="false" ht="15" hidden="false" customHeight="false" outlineLevel="0" collapsed="false">
      <c r="A55" s="28" t="str">
        <f aca="false">IF($AG55=0,"",IF(INDEX(工程マスタ!$A:$A,$AG55)="","",INDEX(工程マスタ!$A:$A,$AG55)))</f>
        <v/>
      </c>
      <c r="B55" s="21" t="str">
        <f aca="false">IF($AG55=0,"",IF(INDEX(工程マスタ!$B:$B,$AG55)="","",INDEX(工程マスタ!$B:$B,$AG55)))</f>
        <v/>
      </c>
      <c r="C55" s="21" t="str">
        <f aca="false">IF($AG55=0,"",IF(INDEX(工程マスタ!$C:$C,$AG55)="","",INDEX(工程マスタ!$C:$C,$AG55)))</f>
        <v/>
      </c>
      <c r="D55" s="21" t="str">
        <f aca="false">IF($AG55=0,"",IF(INDEX(工程マスタ!$D:$D,$AG55)="","",INDEX(工程マスタ!$D:$D,$AG55)))</f>
        <v/>
      </c>
      <c r="E55" s="29" t="str">
        <f aca="false">IF($AG55=0,"",IF(INDEX(工程マスタ!$E:$E,$AG55)="","",INDEX(工程マスタ!$E:$E,$AG55)))</f>
        <v/>
      </c>
      <c r="F55" s="29" t="str">
        <f aca="false">IF($AG55=0,"",IF(INDEX(工程マスタ!$F:$F,$AG55)="","",INDEX(工程マスタ!$F:$F,$AG55)))</f>
        <v/>
      </c>
      <c r="G55" s="30" t="str">
        <f aca="false">IF($AG55=0,"",IF(INDEX(工程マスタ!$H:$H,$AG55)="","",INDEX(工程マスタ!$H:$H,$AG55)))</f>
        <v/>
      </c>
      <c r="H55" s="31" t="str">
        <f aca="false">IF(OR($AG55=0,H$3=""),"",IF(AND(INDEX(工程マスタ!$I:$I,$AG55)="○",$E55&gt;=H$3,$E55&lt;EDATE(H$3,1)),"▼",""))</f>
        <v/>
      </c>
      <c r="I55" s="31" t="str">
        <f aca="false">IF(OR($AG55=0,I$3=""),"",IF(AND(INDEX(工程マスタ!$I:$I,$AG55)="○",$E55&gt;=I$3,$E55&lt;EDATE(I$3,1)),"▼",""))</f>
        <v/>
      </c>
      <c r="J55" s="31" t="str">
        <f aca="false">IF(OR($AG55=0,J$3=""),"",IF(AND(INDEX(工程マスタ!$I:$I,$AG55)="○",$E55&gt;=J$3,$E55&lt;EDATE(J$3,1)),"▼",""))</f>
        <v/>
      </c>
      <c r="K55" s="31" t="str">
        <f aca="false">IF(OR($AG55=0,K$3=""),"",IF(AND(INDEX(工程マスタ!$I:$I,$AG55)="○",$E55&gt;=K$3,$E55&lt;EDATE(K$3,1)),"▼",""))</f>
        <v/>
      </c>
      <c r="L55" s="31" t="str">
        <f aca="false">IF(OR($AG55=0,L$3=""),"",IF(AND(INDEX(工程マスタ!$I:$I,$AG55)="○",$E55&gt;=L$3,$E55&lt;EDATE(L$3,1)),"▼",""))</f>
        <v/>
      </c>
      <c r="M55" s="31" t="str">
        <f aca="false">IF(OR($AG55=0,M$3=""),"",IF(AND(INDEX(工程マスタ!$I:$I,$AG55)="○",$E55&gt;=M$3,$E55&lt;EDATE(M$3,1)),"▼",""))</f>
        <v/>
      </c>
      <c r="N55" s="31" t="str">
        <f aca="false">IF(OR($AG55=0,N$3=""),"",IF(AND(INDEX(工程マスタ!$I:$I,$AG55)="○",$E55&gt;=N$3,$E55&lt;EDATE(N$3,1)),"▼",""))</f>
        <v/>
      </c>
      <c r="O55" s="31" t="str">
        <f aca="false">IF(OR($AG55=0,O$3=""),"",IF(AND(INDEX(工程マスタ!$I:$I,$AG55)="○",$E55&gt;=O$3,$E55&lt;EDATE(O$3,1)),"▼",""))</f>
        <v/>
      </c>
      <c r="P55" s="31" t="str">
        <f aca="false">IF(OR($AG55=0,P$3=""),"",IF(AND(INDEX(工程マスタ!$I:$I,$AG55)="○",$E55&gt;=P$3,$E55&lt;EDATE(P$3,1)),"▼",""))</f>
        <v/>
      </c>
      <c r="Q55" s="31" t="str">
        <f aca="false">IF(OR($AG55=0,Q$3=""),"",IF(AND(INDEX(工程マスタ!$I:$I,$AG55)="○",$E55&gt;=Q$3,$E55&lt;EDATE(Q$3,1)),"▼",""))</f>
        <v/>
      </c>
      <c r="R55" s="31" t="str">
        <f aca="false">IF(OR($AG55=0,R$3=""),"",IF(AND(INDEX(工程マスタ!$I:$I,$AG55)="○",$E55&gt;=R$3,$E55&lt;EDATE(R$3,1)),"▼",""))</f>
        <v/>
      </c>
      <c r="S55" s="31" t="str">
        <f aca="false">IF(OR($AG55=0,S$3=""),"",IF(AND(INDEX(工程マスタ!$I:$I,$AG55)="○",$E55&gt;=S$3,$E55&lt;EDATE(S$3,1)),"▼",""))</f>
        <v/>
      </c>
      <c r="T55" s="31" t="str">
        <f aca="false">IF(OR($AG55=0,T$3=""),"",IF(AND(INDEX(工程マスタ!$I:$I,$AG55)="○",$E55&gt;=T$3,$E55&lt;EDATE(T$3,1)),"▼",""))</f>
        <v/>
      </c>
      <c r="U55" s="31" t="str">
        <f aca="false">IF(OR($AG55=0,U$3=""),"",IF(AND(INDEX(工程マスタ!$I:$I,$AG55)="○",$E55&gt;=U$3,$E55&lt;EDATE(U$3,1)),"▼",""))</f>
        <v/>
      </c>
      <c r="V55" s="31" t="str">
        <f aca="false">IF(OR($AG55=0,V$3=""),"",IF(AND(INDEX(工程マスタ!$I:$I,$AG55)="○",$E55&gt;=V$3,$E55&lt;EDATE(V$3,1)),"▼",""))</f>
        <v/>
      </c>
      <c r="W55" s="31" t="str">
        <f aca="false">IF(OR($AG55=0,W$3=""),"",IF(AND(INDEX(工程マスタ!$I:$I,$AG55)="○",$E55&gt;=W$3,$E55&lt;EDATE(W$3,1)),"▼",""))</f>
        <v/>
      </c>
      <c r="X55" s="31" t="str">
        <f aca="false">IF(OR($AG55=0,X$3=""),"",IF(AND(INDEX(工程マスタ!$I:$I,$AG55)="○",$E55&gt;=X$3,$E55&lt;EDATE(X$3,1)),"▼",""))</f>
        <v/>
      </c>
      <c r="Y55" s="31" t="str">
        <f aca="false">IF(OR($AG55=0,Y$3=""),"",IF(AND(INDEX(工程マスタ!$I:$I,$AG55)="○",$E55&gt;=Y$3,$E55&lt;EDATE(Y$3,1)),"▼",""))</f>
        <v/>
      </c>
      <c r="Z55" s="31" t="str">
        <f aca="false">IF(OR($AG55=0,Z$3=""),"",IF(AND(INDEX(工程マスタ!$I:$I,$AG55)="○",$E55&gt;=Z$3,$E55&lt;EDATE(Z$3,1)),"▼",""))</f>
        <v/>
      </c>
      <c r="AA55" s="31" t="str">
        <f aca="false">IF(OR($AG55=0,AA$3=""),"",IF(AND(INDEX(工程マスタ!$I:$I,$AG55)="○",$E55&gt;=AA$3,$E55&lt;EDATE(AA$3,1)),"▼",""))</f>
        <v/>
      </c>
      <c r="AB55" s="31" t="str">
        <f aca="false">IF(OR($AG55=0,AB$3=""),"",IF(AND(INDEX(工程マスタ!$I:$I,$AG55)="○",$E55&gt;=AB$3,$E55&lt;EDATE(AB$3,1)),"▼",""))</f>
        <v/>
      </c>
      <c r="AC55" s="31" t="str">
        <f aca="false">IF(OR($AG55=0,AC$3=""),"",IF(AND(INDEX(工程マスタ!$I:$I,$AG55)="○",$E55&gt;=AC$3,$E55&lt;EDATE(AC$3,1)),"▼",""))</f>
        <v/>
      </c>
      <c r="AD55" s="31" t="str">
        <f aca="false">IF(OR($AG55=0,AD$3=""),"",IF(AND(INDEX(工程マスタ!$I:$I,$AG55)="○",$E55&gt;=AD$3,$E55&lt;EDATE(AD$3,1)),"▼",""))</f>
        <v/>
      </c>
      <c r="AE55" s="31" t="str">
        <f aca="false">IF(OR($AG55=0,AE$3=""),"",IF(AND(INDEX(工程マスタ!$I:$I,$AG55)="○",$E55&gt;=AE$3,$E55&lt;EDATE(AE$3,1)),"▼",""))</f>
        <v/>
      </c>
      <c r="AG55" s="27" t="n">
        <f aca="false" t="array" ref="AG55:AG55">IFERROR(SMALL(IF(工程マスタ!$K$5:$K$154&gt;0,ROW(工程マスタ!$C$5:$C$154)),50),0)</f>
        <v>0</v>
      </c>
      <c r="AH55" s="27" t="n">
        <f aca="false">IF($AG55=0,0,INDEX(工程マスタ!$M:$M,$AG55))</f>
        <v>0</v>
      </c>
    </row>
    <row r="56" customFormat="false" ht="15" hidden="false" customHeight="false" outlineLevel="0" collapsed="false">
      <c r="A56" s="28" t="str">
        <f aca="false">IF($AG56=0,"",IF(INDEX(工程マスタ!$A:$A,$AG56)="","",INDEX(工程マスタ!$A:$A,$AG56)))</f>
        <v/>
      </c>
      <c r="B56" s="21" t="str">
        <f aca="false">IF($AG56=0,"",IF(INDEX(工程マスタ!$B:$B,$AG56)="","",INDEX(工程マスタ!$B:$B,$AG56)))</f>
        <v/>
      </c>
      <c r="C56" s="21" t="str">
        <f aca="false">IF($AG56=0,"",IF(INDEX(工程マスタ!$C:$C,$AG56)="","",INDEX(工程マスタ!$C:$C,$AG56)))</f>
        <v/>
      </c>
      <c r="D56" s="21" t="str">
        <f aca="false">IF($AG56=0,"",IF(INDEX(工程マスタ!$D:$D,$AG56)="","",INDEX(工程マスタ!$D:$D,$AG56)))</f>
        <v/>
      </c>
      <c r="E56" s="29" t="str">
        <f aca="false">IF($AG56=0,"",IF(INDEX(工程マスタ!$E:$E,$AG56)="","",INDEX(工程マスタ!$E:$E,$AG56)))</f>
        <v/>
      </c>
      <c r="F56" s="29" t="str">
        <f aca="false">IF($AG56=0,"",IF(INDEX(工程マスタ!$F:$F,$AG56)="","",INDEX(工程マスタ!$F:$F,$AG56)))</f>
        <v/>
      </c>
      <c r="G56" s="30" t="str">
        <f aca="false">IF($AG56=0,"",IF(INDEX(工程マスタ!$H:$H,$AG56)="","",INDEX(工程マスタ!$H:$H,$AG56)))</f>
        <v/>
      </c>
      <c r="H56" s="31" t="str">
        <f aca="false">IF(OR($AG56=0,H$3=""),"",IF(AND(INDEX(工程マスタ!$I:$I,$AG56)="○",$E56&gt;=H$3,$E56&lt;EDATE(H$3,1)),"▼",""))</f>
        <v/>
      </c>
      <c r="I56" s="31" t="str">
        <f aca="false">IF(OR($AG56=0,I$3=""),"",IF(AND(INDEX(工程マスタ!$I:$I,$AG56)="○",$E56&gt;=I$3,$E56&lt;EDATE(I$3,1)),"▼",""))</f>
        <v/>
      </c>
      <c r="J56" s="31" t="str">
        <f aca="false">IF(OR($AG56=0,J$3=""),"",IF(AND(INDEX(工程マスタ!$I:$I,$AG56)="○",$E56&gt;=J$3,$E56&lt;EDATE(J$3,1)),"▼",""))</f>
        <v/>
      </c>
      <c r="K56" s="31" t="str">
        <f aca="false">IF(OR($AG56=0,K$3=""),"",IF(AND(INDEX(工程マスタ!$I:$I,$AG56)="○",$E56&gt;=K$3,$E56&lt;EDATE(K$3,1)),"▼",""))</f>
        <v/>
      </c>
      <c r="L56" s="31" t="str">
        <f aca="false">IF(OR($AG56=0,L$3=""),"",IF(AND(INDEX(工程マスタ!$I:$I,$AG56)="○",$E56&gt;=L$3,$E56&lt;EDATE(L$3,1)),"▼",""))</f>
        <v/>
      </c>
      <c r="M56" s="31" t="str">
        <f aca="false">IF(OR($AG56=0,M$3=""),"",IF(AND(INDEX(工程マスタ!$I:$I,$AG56)="○",$E56&gt;=M$3,$E56&lt;EDATE(M$3,1)),"▼",""))</f>
        <v/>
      </c>
      <c r="N56" s="31" t="str">
        <f aca="false">IF(OR($AG56=0,N$3=""),"",IF(AND(INDEX(工程マスタ!$I:$I,$AG56)="○",$E56&gt;=N$3,$E56&lt;EDATE(N$3,1)),"▼",""))</f>
        <v/>
      </c>
      <c r="O56" s="31" t="str">
        <f aca="false">IF(OR($AG56=0,O$3=""),"",IF(AND(INDEX(工程マスタ!$I:$I,$AG56)="○",$E56&gt;=O$3,$E56&lt;EDATE(O$3,1)),"▼",""))</f>
        <v/>
      </c>
      <c r="P56" s="31" t="str">
        <f aca="false">IF(OR($AG56=0,P$3=""),"",IF(AND(INDEX(工程マスタ!$I:$I,$AG56)="○",$E56&gt;=P$3,$E56&lt;EDATE(P$3,1)),"▼",""))</f>
        <v/>
      </c>
      <c r="Q56" s="31" t="str">
        <f aca="false">IF(OR($AG56=0,Q$3=""),"",IF(AND(INDEX(工程マスタ!$I:$I,$AG56)="○",$E56&gt;=Q$3,$E56&lt;EDATE(Q$3,1)),"▼",""))</f>
        <v/>
      </c>
      <c r="R56" s="31" t="str">
        <f aca="false">IF(OR($AG56=0,R$3=""),"",IF(AND(INDEX(工程マスタ!$I:$I,$AG56)="○",$E56&gt;=R$3,$E56&lt;EDATE(R$3,1)),"▼",""))</f>
        <v/>
      </c>
      <c r="S56" s="31" t="str">
        <f aca="false">IF(OR($AG56=0,S$3=""),"",IF(AND(INDEX(工程マスタ!$I:$I,$AG56)="○",$E56&gt;=S$3,$E56&lt;EDATE(S$3,1)),"▼",""))</f>
        <v/>
      </c>
      <c r="T56" s="31" t="str">
        <f aca="false">IF(OR($AG56=0,T$3=""),"",IF(AND(INDEX(工程マスタ!$I:$I,$AG56)="○",$E56&gt;=T$3,$E56&lt;EDATE(T$3,1)),"▼",""))</f>
        <v/>
      </c>
      <c r="U56" s="31" t="str">
        <f aca="false">IF(OR($AG56=0,U$3=""),"",IF(AND(INDEX(工程マスタ!$I:$I,$AG56)="○",$E56&gt;=U$3,$E56&lt;EDATE(U$3,1)),"▼",""))</f>
        <v/>
      </c>
      <c r="V56" s="31" t="str">
        <f aca="false">IF(OR($AG56=0,V$3=""),"",IF(AND(INDEX(工程マスタ!$I:$I,$AG56)="○",$E56&gt;=V$3,$E56&lt;EDATE(V$3,1)),"▼",""))</f>
        <v/>
      </c>
      <c r="W56" s="31" t="str">
        <f aca="false">IF(OR($AG56=0,W$3=""),"",IF(AND(INDEX(工程マスタ!$I:$I,$AG56)="○",$E56&gt;=W$3,$E56&lt;EDATE(W$3,1)),"▼",""))</f>
        <v/>
      </c>
      <c r="X56" s="31" t="str">
        <f aca="false">IF(OR($AG56=0,X$3=""),"",IF(AND(INDEX(工程マスタ!$I:$I,$AG56)="○",$E56&gt;=X$3,$E56&lt;EDATE(X$3,1)),"▼",""))</f>
        <v/>
      </c>
      <c r="Y56" s="31" t="str">
        <f aca="false">IF(OR($AG56=0,Y$3=""),"",IF(AND(INDEX(工程マスタ!$I:$I,$AG56)="○",$E56&gt;=Y$3,$E56&lt;EDATE(Y$3,1)),"▼",""))</f>
        <v/>
      </c>
      <c r="Z56" s="31" t="str">
        <f aca="false">IF(OR($AG56=0,Z$3=""),"",IF(AND(INDEX(工程マスタ!$I:$I,$AG56)="○",$E56&gt;=Z$3,$E56&lt;EDATE(Z$3,1)),"▼",""))</f>
        <v/>
      </c>
      <c r="AA56" s="31" t="str">
        <f aca="false">IF(OR($AG56=0,AA$3=""),"",IF(AND(INDEX(工程マスタ!$I:$I,$AG56)="○",$E56&gt;=AA$3,$E56&lt;EDATE(AA$3,1)),"▼",""))</f>
        <v/>
      </c>
      <c r="AB56" s="31" t="str">
        <f aca="false">IF(OR($AG56=0,AB$3=""),"",IF(AND(INDEX(工程マスタ!$I:$I,$AG56)="○",$E56&gt;=AB$3,$E56&lt;EDATE(AB$3,1)),"▼",""))</f>
        <v/>
      </c>
      <c r="AC56" s="31" t="str">
        <f aca="false">IF(OR($AG56=0,AC$3=""),"",IF(AND(INDEX(工程マスタ!$I:$I,$AG56)="○",$E56&gt;=AC$3,$E56&lt;EDATE(AC$3,1)),"▼",""))</f>
        <v/>
      </c>
      <c r="AD56" s="31" t="str">
        <f aca="false">IF(OR($AG56=0,AD$3=""),"",IF(AND(INDEX(工程マスタ!$I:$I,$AG56)="○",$E56&gt;=AD$3,$E56&lt;EDATE(AD$3,1)),"▼",""))</f>
        <v/>
      </c>
      <c r="AE56" s="31" t="str">
        <f aca="false">IF(OR($AG56=0,AE$3=""),"",IF(AND(INDEX(工程マスタ!$I:$I,$AG56)="○",$E56&gt;=AE$3,$E56&lt;EDATE(AE$3,1)),"▼",""))</f>
        <v/>
      </c>
      <c r="AG56" s="27" t="n">
        <f aca="false" t="array" ref="AG56:AG56">IFERROR(SMALL(IF(工程マスタ!$K$5:$K$154&gt;0,ROW(工程マスタ!$C$5:$C$154)),51),0)</f>
        <v>0</v>
      </c>
      <c r="AH56" s="27" t="n">
        <f aca="false">IF($AG56=0,0,INDEX(工程マスタ!$M:$M,$AG56))</f>
        <v>0</v>
      </c>
    </row>
    <row r="57" customFormat="false" ht="15" hidden="false" customHeight="false" outlineLevel="0" collapsed="false">
      <c r="A57" s="28" t="str">
        <f aca="false">IF($AG57=0,"",IF(INDEX(工程マスタ!$A:$A,$AG57)="","",INDEX(工程マスタ!$A:$A,$AG57)))</f>
        <v/>
      </c>
      <c r="B57" s="21" t="str">
        <f aca="false">IF($AG57=0,"",IF(INDEX(工程マスタ!$B:$B,$AG57)="","",INDEX(工程マスタ!$B:$B,$AG57)))</f>
        <v/>
      </c>
      <c r="C57" s="21" t="str">
        <f aca="false">IF($AG57=0,"",IF(INDEX(工程マスタ!$C:$C,$AG57)="","",INDEX(工程マスタ!$C:$C,$AG57)))</f>
        <v/>
      </c>
      <c r="D57" s="21" t="str">
        <f aca="false">IF($AG57=0,"",IF(INDEX(工程マスタ!$D:$D,$AG57)="","",INDEX(工程マスタ!$D:$D,$AG57)))</f>
        <v/>
      </c>
      <c r="E57" s="29" t="str">
        <f aca="false">IF($AG57=0,"",IF(INDEX(工程マスタ!$E:$E,$AG57)="","",INDEX(工程マスタ!$E:$E,$AG57)))</f>
        <v/>
      </c>
      <c r="F57" s="29" t="str">
        <f aca="false">IF($AG57=0,"",IF(INDEX(工程マスタ!$F:$F,$AG57)="","",INDEX(工程マスタ!$F:$F,$AG57)))</f>
        <v/>
      </c>
      <c r="G57" s="30" t="str">
        <f aca="false">IF($AG57=0,"",IF(INDEX(工程マスタ!$H:$H,$AG57)="","",INDEX(工程マスタ!$H:$H,$AG57)))</f>
        <v/>
      </c>
      <c r="H57" s="31" t="str">
        <f aca="false">IF(OR($AG57=0,H$3=""),"",IF(AND(INDEX(工程マスタ!$I:$I,$AG57)="○",$E57&gt;=H$3,$E57&lt;EDATE(H$3,1)),"▼",""))</f>
        <v/>
      </c>
      <c r="I57" s="31" t="str">
        <f aca="false">IF(OR($AG57=0,I$3=""),"",IF(AND(INDEX(工程マスタ!$I:$I,$AG57)="○",$E57&gt;=I$3,$E57&lt;EDATE(I$3,1)),"▼",""))</f>
        <v/>
      </c>
      <c r="J57" s="31" t="str">
        <f aca="false">IF(OR($AG57=0,J$3=""),"",IF(AND(INDEX(工程マスタ!$I:$I,$AG57)="○",$E57&gt;=J$3,$E57&lt;EDATE(J$3,1)),"▼",""))</f>
        <v/>
      </c>
      <c r="K57" s="31" t="str">
        <f aca="false">IF(OR($AG57=0,K$3=""),"",IF(AND(INDEX(工程マスタ!$I:$I,$AG57)="○",$E57&gt;=K$3,$E57&lt;EDATE(K$3,1)),"▼",""))</f>
        <v/>
      </c>
      <c r="L57" s="31" t="str">
        <f aca="false">IF(OR($AG57=0,L$3=""),"",IF(AND(INDEX(工程マスタ!$I:$I,$AG57)="○",$E57&gt;=L$3,$E57&lt;EDATE(L$3,1)),"▼",""))</f>
        <v/>
      </c>
      <c r="M57" s="31" t="str">
        <f aca="false">IF(OR($AG57=0,M$3=""),"",IF(AND(INDEX(工程マスタ!$I:$I,$AG57)="○",$E57&gt;=M$3,$E57&lt;EDATE(M$3,1)),"▼",""))</f>
        <v/>
      </c>
      <c r="N57" s="31" t="str">
        <f aca="false">IF(OR($AG57=0,N$3=""),"",IF(AND(INDEX(工程マスタ!$I:$I,$AG57)="○",$E57&gt;=N$3,$E57&lt;EDATE(N$3,1)),"▼",""))</f>
        <v/>
      </c>
      <c r="O57" s="31" t="str">
        <f aca="false">IF(OR($AG57=0,O$3=""),"",IF(AND(INDEX(工程マスタ!$I:$I,$AG57)="○",$E57&gt;=O$3,$E57&lt;EDATE(O$3,1)),"▼",""))</f>
        <v/>
      </c>
      <c r="P57" s="31" t="str">
        <f aca="false">IF(OR($AG57=0,P$3=""),"",IF(AND(INDEX(工程マスタ!$I:$I,$AG57)="○",$E57&gt;=P$3,$E57&lt;EDATE(P$3,1)),"▼",""))</f>
        <v/>
      </c>
      <c r="Q57" s="31" t="str">
        <f aca="false">IF(OR($AG57=0,Q$3=""),"",IF(AND(INDEX(工程マスタ!$I:$I,$AG57)="○",$E57&gt;=Q$3,$E57&lt;EDATE(Q$3,1)),"▼",""))</f>
        <v/>
      </c>
      <c r="R57" s="31" t="str">
        <f aca="false">IF(OR($AG57=0,R$3=""),"",IF(AND(INDEX(工程マスタ!$I:$I,$AG57)="○",$E57&gt;=R$3,$E57&lt;EDATE(R$3,1)),"▼",""))</f>
        <v/>
      </c>
      <c r="S57" s="31" t="str">
        <f aca="false">IF(OR($AG57=0,S$3=""),"",IF(AND(INDEX(工程マスタ!$I:$I,$AG57)="○",$E57&gt;=S$3,$E57&lt;EDATE(S$3,1)),"▼",""))</f>
        <v/>
      </c>
      <c r="T57" s="31" t="str">
        <f aca="false">IF(OR($AG57=0,T$3=""),"",IF(AND(INDEX(工程マスタ!$I:$I,$AG57)="○",$E57&gt;=T$3,$E57&lt;EDATE(T$3,1)),"▼",""))</f>
        <v/>
      </c>
      <c r="U57" s="31" t="str">
        <f aca="false">IF(OR($AG57=0,U$3=""),"",IF(AND(INDEX(工程マスタ!$I:$I,$AG57)="○",$E57&gt;=U$3,$E57&lt;EDATE(U$3,1)),"▼",""))</f>
        <v/>
      </c>
      <c r="V57" s="31" t="str">
        <f aca="false">IF(OR($AG57=0,V$3=""),"",IF(AND(INDEX(工程マスタ!$I:$I,$AG57)="○",$E57&gt;=V$3,$E57&lt;EDATE(V$3,1)),"▼",""))</f>
        <v/>
      </c>
      <c r="W57" s="31" t="str">
        <f aca="false">IF(OR($AG57=0,W$3=""),"",IF(AND(INDEX(工程マスタ!$I:$I,$AG57)="○",$E57&gt;=W$3,$E57&lt;EDATE(W$3,1)),"▼",""))</f>
        <v/>
      </c>
      <c r="X57" s="31" t="str">
        <f aca="false">IF(OR($AG57=0,X$3=""),"",IF(AND(INDEX(工程マスタ!$I:$I,$AG57)="○",$E57&gt;=X$3,$E57&lt;EDATE(X$3,1)),"▼",""))</f>
        <v/>
      </c>
      <c r="Y57" s="31" t="str">
        <f aca="false">IF(OR($AG57=0,Y$3=""),"",IF(AND(INDEX(工程マスタ!$I:$I,$AG57)="○",$E57&gt;=Y$3,$E57&lt;EDATE(Y$3,1)),"▼",""))</f>
        <v/>
      </c>
      <c r="Z57" s="31" t="str">
        <f aca="false">IF(OR($AG57=0,Z$3=""),"",IF(AND(INDEX(工程マスタ!$I:$I,$AG57)="○",$E57&gt;=Z$3,$E57&lt;EDATE(Z$3,1)),"▼",""))</f>
        <v/>
      </c>
      <c r="AA57" s="31" t="str">
        <f aca="false">IF(OR($AG57=0,AA$3=""),"",IF(AND(INDEX(工程マスタ!$I:$I,$AG57)="○",$E57&gt;=AA$3,$E57&lt;EDATE(AA$3,1)),"▼",""))</f>
        <v/>
      </c>
      <c r="AB57" s="31" t="str">
        <f aca="false">IF(OR($AG57=0,AB$3=""),"",IF(AND(INDEX(工程マスタ!$I:$I,$AG57)="○",$E57&gt;=AB$3,$E57&lt;EDATE(AB$3,1)),"▼",""))</f>
        <v/>
      </c>
      <c r="AC57" s="31" t="str">
        <f aca="false">IF(OR($AG57=0,AC$3=""),"",IF(AND(INDEX(工程マスタ!$I:$I,$AG57)="○",$E57&gt;=AC$3,$E57&lt;EDATE(AC$3,1)),"▼",""))</f>
        <v/>
      </c>
      <c r="AD57" s="31" t="str">
        <f aca="false">IF(OR($AG57=0,AD$3=""),"",IF(AND(INDEX(工程マスタ!$I:$I,$AG57)="○",$E57&gt;=AD$3,$E57&lt;EDATE(AD$3,1)),"▼",""))</f>
        <v/>
      </c>
      <c r="AE57" s="31" t="str">
        <f aca="false">IF(OR($AG57=0,AE$3=""),"",IF(AND(INDEX(工程マスタ!$I:$I,$AG57)="○",$E57&gt;=AE$3,$E57&lt;EDATE(AE$3,1)),"▼",""))</f>
        <v/>
      </c>
      <c r="AG57" s="27" t="n">
        <f aca="false" t="array" ref="AG57:AG57">IFERROR(SMALL(IF(工程マスタ!$K$5:$K$154&gt;0,ROW(工程マスタ!$C$5:$C$154)),52),0)</f>
        <v>0</v>
      </c>
      <c r="AH57" s="27" t="n">
        <f aca="false">IF($AG57=0,0,INDEX(工程マスタ!$M:$M,$AG57))</f>
        <v>0</v>
      </c>
    </row>
    <row r="58" customFormat="false" ht="15" hidden="false" customHeight="false" outlineLevel="0" collapsed="false">
      <c r="A58" s="28" t="str">
        <f aca="false">IF($AG58=0,"",IF(INDEX(工程マスタ!$A:$A,$AG58)="","",INDEX(工程マスタ!$A:$A,$AG58)))</f>
        <v/>
      </c>
      <c r="B58" s="21" t="str">
        <f aca="false">IF($AG58=0,"",IF(INDEX(工程マスタ!$B:$B,$AG58)="","",INDEX(工程マスタ!$B:$B,$AG58)))</f>
        <v/>
      </c>
      <c r="C58" s="21" t="str">
        <f aca="false">IF($AG58=0,"",IF(INDEX(工程マスタ!$C:$C,$AG58)="","",INDEX(工程マスタ!$C:$C,$AG58)))</f>
        <v/>
      </c>
      <c r="D58" s="21" t="str">
        <f aca="false">IF($AG58=0,"",IF(INDEX(工程マスタ!$D:$D,$AG58)="","",INDEX(工程マスタ!$D:$D,$AG58)))</f>
        <v/>
      </c>
      <c r="E58" s="29" t="str">
        <f aca="false">IF($AG58=0,"",IF(INDEX(工程マスタ!$E:$E,$AG58)="","",INDEX(工程マスタ!$E:$E,$AG58)))</f>
        <v/>
      </c>
      <c r="F58" s="29" t="str">
        <f aca="false">IF($AG58=0,"",IF(INDEX(工程マスタ!$F:$F,$AG58)="","",INDEX(工程マスタ!$F:$F,$AG58)))</f>
        <v/>
      </c>
      <c r="G58" s="30" t="str">
        <f aca="false">IF($AG58=0,"",IF(INDEX(工程マスタ!$H:$H,$AG58)="","",INDEX(工程マスタ!$H:$H,$AG58)))</f>
        <v/>
      </c>
      <c r="H58" s="31" t="str">
        <f aca="false">IF(OR($AG58=0,H$3=""),"",IF(AND(INDEX(工程マスタ!$I:$I,$AG58)="○",$E58&gt;=H$3,$E58&lt;EDATE(H$3,1)),"▼",""))</f>
        <v/>
      </c>
      <c r="I58" s="31" t="str">
        <f aca="false">IF(OR($AG58=0,I$3=""),"",IF(AND(INDEX(工程マスタ!$I:$I,$AG58)="○",$E58&gt;=I$3,$E58&lt;EDATE(I$3,1)),"▼",""))</f>
        <v/>
      </c>
      <c r="J58" s="31" t="str">
        <f aca="false">IF(OR($AG58=0,J$3=""),"",IF(AND(INDEX(工程マスタ!$I:$I,$AG58)="○",$E58&gt;=J$3,$E58&lt;EDATE(J$3,1)),"▼",""))</f>
        <v/>
      </c>
      <c r="K58" s="31" t="str">
        <f aca="false">IF(OR($AG58=0,K$3=""),"",IF(AND(INDEX(工程マスタ!$I:$I,$AG58)="○",$E58&gt;=K$3,$E58&lt;EDATE(K$3,1)),"▼",""))</f>
        <v/>
      </c>
      <c r="L58" s="31" t="str">
        <f aca="false">IF(OR($AG58=0,L$3=""),"",IF(AND(INDEX(工程マスタ!$I:$I,$AG58)="○",$E58&gt;=L$3,$E58&lt;EDATE(L$3,1)),"▼",""))</f>
        <v/>
      </c>
      <c r="M58" s="31" t="str">
        <f aca="false">IF(OR($AG58=0,M$3=""),"",IF(AND(INDEX(工程マスタ!$I:$I,$AG58)="○",$E58&gt;=M$3,$E58&lt;EDATE(M$3,1)),"▼",""))</f>
        <v/>
      </c>
      <c r="N58" s="31" t="str">
        <f aca="false">IF(OR($AG58=0,N$3=""),"",IF(AND(INDEX(工程マスタ!$I:$I,$AG58)="○",$E58&gt;=N$3,$E58&lt;EDATE(N$3,1)),"▼",""))</f>
        <v/>
      </c>
      <c r="O58" s="31" t="str">
        <f aca="false">IF(OR($AG58=0,O$3=""),"",IF(AND(INDEX(工程マスタ!$I:$I,$AG58)="○",$E58&gt;=O$3,$E58&lt;EDATE(O$3,1)),"▼",""))</f>
        <v/>
      </c>
      <c r="P58" s="31" t="str">
        <f aca="false">IF(OR($AG58=0,P$3=""),"",IF(AND(INDEX(工程マスタ!$I:$I,$AG58)="○",$E58&gt;=P$3,$E58&lt;EDATE(P$3,1)),"▼",""))</f>
        <v/>
      </c>
      <c r="Q58" s="31" t="str">
        <f aca="false">IF(OR($AG58=0,Q$3=""),"",IF(AND(INDEX(工程マスタ!$I:$I,$AG58)="○",$E58&gt;=Q$3,$E58&lt;EDATE(Q$3,1)),"▼",""))</f>
        <v/>
      </c>
      <c r="R58" s="31" t="str">
        <f aca="false">IF(OR($AG58=0,R$3=""),"",IF(AND(INDEX(工程マスタ!$I:$I,$AG58)="○",$E58&gt;=R$3,$E58&lt;EDATE(R$3,1)),"▼",""))</f>
        <v/>
      </c>
      <c r="S58" s="31" t="str">
        <f aca="false">IF(OR($AG58=0,S$3=""),"",IF(AND(INDEX(工程マスタ!$I:$I,$AG58)="○",$E58&gt;=S$3,$E58&lt;EDATE(S$3,1)),"▼",""))</f>
        <v/>
      </c>
      <c r="T58" s="31" t="str">
        <f aca="false">IF(OR($AG58=0,T$3=""),"",IF(AND(INDEX(工程マスタ!$I:$I,$AG58)="○",$E58&gt;=T$3,$E58&lt;EDATE(T$3,1)),"▼",""))</f>
        <v/>
      </c>
      <c r="U58" s="31" t="str">
        <f aca="false">IF(OR($AG58=0,U$3=""),"",IF(AND(INDEX(工程マスタ!$I:$I,$AG58)="○",$E58&gt;=U$3,$E58&lt;EDATE(U$3,1)),"▼",""))</f>
        <v/>
      </c>
      <c r="V58" s="31" t="str">
        <f aca="false">IF(OR($AG58=0,V$3=""),"",IF(AND(INDEX(工程マスタ!$I:$I,$AG58)="○",$E58&gt;=V$3,$E58&lt;EDATE(V$3,1)),"▼",""))</f>
        <v/>
      </c>
      <c r="W58" s="31" t="str">
        <f aca="false">IF(OR($AG58=0,W$3=""),"",IF(AND(INDEX(工程マスタ!$I:$I,$AG58)="○",$E58&gt;=W$3,$E58&lt;EDATE(W$3,1)),"▼",""))</f>
        <v/>
      </c>
      <c r="X58" s="31" t="str">
        <f aca="false">IF(OR($AG58=0,X$3=""),"",IF(AND(INDEX(工程マスタ!$I:$I,$AG58)="○",$E58&gt;=X$3,$E58&lt;EDATE(X$3,1)),"▼",""))</f>
        <v/>
      </c>
      <c r="Y58" s="31" t="str">
        <f aca="false">IF(OR($AG58=0,Y$3=""),"",IF(AND(INDEX(工程マスタ!$I:$I,$AG58)="○",$E58&gt;=Y$3,$E58&lt;EDATE(Y$3,1)),"▼",""))</f>
        <v/>
      </c>
      <c r="Z58" s="31" t="str">
        <f aca="false">IF(OR($AG58=0,Z$3=""),"",IF(AND(INDEX(工程マスタ!$I:$I,$AG58)="○",$E58&gt;=Z$3,$E58&lt;EDATE(Z$3,1)),"▼",""))</f>
        <v/>
      </c>
      <c r="AA58" s="31" t="str">
        <f aca="false">IF(OR($AG58=0,AA$3=""),"",IF(AND(INDEX(工程マスタ!$I:$I,$AG58)="○",$E58&gt;=AA$3,$E58&lt;EDATE(AA$3,1)),"▼",""))</f>
        <v/>
      </c>
      <c r="AB58" s="31" t="str">
        <f aca="false">IF(OR($AG58=0,AB$3=""),"",IF(AND(INDEX(工程マスタ!$I:$I,$AG58)="○",$E58&gt;=AB$3,$E58&lt;EDATE(AB$3,1)),"▼",""))</f>
        <v/>
      </c>
      <c r="AC58" s="31" t="str">
        <f aca="false">IF(OR($AG58=0,AC$3=""),"",IF(AND(INDEX(工程マスタ!$I:$I,$AG58)="○",$E58&gt;=AC$3,$E58&lt;EDATE(AC$3,1)),"▼",""))</f>
        <v/>
      </c>
      <c r="AD58" s="31" t="str">
        <f aca="false">IF(OR($AG58=0,AD$3=""),"",IF(AND(INDEX(工程マスタ!$I:$I,$AG58)="○",$E58&gt;=AD$3,$E58&lt;EDATE(AD$3,1)),"▼",""))</f>
        <v/>
      </c>
      <c r="AE58" s="31" t="str">
        <f aca="false">IF(OR($AG58=0,AE$3=""),"",IF(AND(INDEX(工程マスタ!$I:$I,$AG58)="○",$E58&gt;=AE$3,$E58&lt;EDATE(AE$3,1)),"▼",""))</f>
        <v/>
      </c>
      <c r="AG58" s="27" t="n">
        <f aca="false" t="array" ref="AG58:AG58">IFERROR(SMALL(IF(工程マスタ!$K$5:$K$154&gt;0,ROW(工程マスタ!$C$5:$C$154)),53),0)</f>
        <v>0</v>
      </c>
      <c r="AH58" s="27" t="n">
        <f aca="false">IF($AG58=0,0,INDEX(工程マスタ!$M:$M,$AG58))</f>
        <v>0</v>
      </c>
    </row>
    <row r="59" customFormat="false" ht="15" hidden="false" customHeight="false" outlineLevel="0" collapsed="false">
      <c r="A59" s="28" t="str">
        <f aca="false">IF($AG59=0,"",IF(INDEX(工程マスタ!$A:$A,$AG59)="","",INDEX(工程マスタ!$A:$A,$AG59)))</f>
        <v/>
      </c>
      <c r="B59" s="21" t="str">
        <f aca="false">IF($AG59=0,"",IF(INDEX(工程マスタ!$B:$B,$AG59)="","",INDEX(工程マスタ!$B:$B,$AG59)))</f>
        <v/>
      </c>
      <c r="C59" s="21" t="str">
        <f aca="false">IF($AG59=0,"",IF(INDEX(工程マスタ!$C:$C,$AG59)="","",INDEX(工程マスタ!$C:$C,$AG59)))</f>
        <v/>
      </c>
      <c r="D59" s="21" t="str">
        <f aca="false">IF($AG59=0,"",IF(INDEX(工程マスタ!$D:$D,$AG59)="","",INDEX(工程マスタ!$D:$D,$AG59)))</f>
        <v/>
      </c>
      <c r="E59" s="29" t="str">
        <f aca="false">IF($AG59=0,"",IF(INDEX(工程マスタ!$E:$E,$AG59)="","",INDEX(工程マスタ!$E:$E,$AG59)))</f>
        <v/>
      </c>
      <c r="F59" s="29" t="str">
        <f aca="false">IF($AG59=0,"",IF(INDEX(工程マスタ!$F:$F,$AG59)="","",INDEX(工程マスタ!$F:$F,$AG59)))</f>
        <v/>
      </c>
      <c r="G59" s="30" t="str">
        <f aca="false">IF($AG59=0,"",IF(INDEX(工程マスタ!$H:$H,$AG59)="","",INDEX(工程マスタ!$H:$H,$AG59)))</f>
        <v/>
      </c>
      <c r="H59" s="31" t="str">
        <f aca="false">IF(OR($AG59=0,H$3=""),"",IF(AND(INDEX(工程マスタ!$I:$I,$AG59)="○",$E59&gt;=H$3,$E59&lt;EDATE(H$3,1)),"▼",""))</f>
        <v/>
      </c>
      <c r="I59" s="31" t="str">
        <f aca="false">IF(OR($AG59=0,I$3=""),"",IF(AND(INDEX(工程マスタ!$I:$I,$AG59)="○",$E59&gt;=I$3,$E59&lt;EDATE(I$3,1)),"▼",""))</f>
        <v/>
      </c>
      <c r="J59" s="31" t="str">
        <f aca="false">IF(OR($AG59=0,J$3=""),"",IF(AND(INDEX(工程マスタ!$I:$I,$AG59)="○",$E59&gt;=J$3,$E59&lt;EDATE(J$3,1)),"▼",""))</f>
        <v/>
      </c>
      <c r="K59" s="31" t="str">
        <f aca="false">IF(OR($AG59=0,K$3=""),"",IF(AND(INDEX(工程マスタ!$I:$I,$AG59)="○",$E59&gt;=K$3,$E59&lt;EDATE(K$3,1)),"▼",""))</f>
        <v/>
      </c>
      <c r="L59" s="31" t="str">
        <f aca="false">IF(OR($AG59=0,L$3=""),"",IF(AND(INDEX(工程マスタ!$I:$I,$AG59)="○",$E59&gt;=L$3,$E59&lt;EDATE(L$3,1)),"▼",""))</f>
        <v/>
      </c>
      <c r="M59" s="31" t="str">
        <f aca="false">IF(OR($AG59=0,M$3=""),"",IF(AND(INDEX(工程マスタ!$I:$I,$AG59)="○",$E59&gt;=M$3,$E59&lt;EDATE(M$3,1)),"▼",""))</f>
        <v/>
      </c>
      <c r="N59" s="31" t="str">
        <f aca="false">IF(OR($AG59=0,N$3=""),"",IF(AND(INDEX(工程マスタ!$I:$I,$AG59)="○",$E59&gt;=N$3,$E59&lt;EDATE(N$3,1)),"▼",""))</f>
        <v/>
      </c>
      <c r="O59" s="31" t="str">
        <f aca="false">IF(OR($AG59=0,O$3=""),"",IF(AND(INDEX(工程マスタ!$I:$I,$AG59)="○",$E59&gt;=O$3,$E59&lt;EDATE(O$3,1)),"▼",""))</f>
        <v/>
      </c>
      <c r="P59" s="31" t="str">
        <f aca="false">IF(OR($AG59=0,P$3=""),"",IF(AND(INDEX(工程マスタ!$I:$I,$AG59)="○",$E59&gt;=P$3,$E59&lt;EDATE(P$3,1)),"▼",""))</f>
        <v/>
      </c>
      <c r="Q59" s="31" t="str">
        <f aca="false">IF(OR($AG59=0,Q$3=""),"",IF(AND(INDEX(工程マスタ!$I:$I,$AG59)="○",$E59&gt;=Q$3,$E59&lt;EDATE(Q$3,1)),"▼",""))</f>
        <v/>
      </c>
      <c r="R59" s="31" t="str">
        <f aca="false">IF(OR($AG59=0,R$3=""),"",IF(AND(INDEX(工程マスタ!$I:$I,$AG59)="○",$E59&gt;=R$3,$E59&lt;EDATE(R$3,1)),"▼",""))</f>
        <v/>
      </c>
      <c r="S59" s="31" t="str">
        <f aca="false">IF(OR($AG59=0,S$3=""),"",IF(AND(INDEX(工程マスタ!$I:$I,$AG59)="○",$E59&gt;=S$3,$E59&lt;EDATE(S$3,1)),"▼",""))</f>
        <v/>
      </c>
      <c r="T59" s="31" t="str">
        <f aca="false">IF(OR($AG59=0,T$3=""),"",IF(AND(INDEX(工程マスタ!$I:$I,$AG59)="○",$E59&gt;=T$3,$E59&lt;EDATE(T$3,1)),"▼",""))</f>
        <v/>
      </c>
      <c r="U59" s="31" t="str">
        <f aca="false">IF(OR($AG59=0,U$3=""),"",IF(AND(INDEX(工程マスタ!$I:$I,$AG59)="○",$E59&gt;=U$3,$E59&lt;EDATE(U$3,1)),"▼",""))</f>
        <v/>
      </c>
      <c r="V59" s="31" t="str">
        <f aca="false">IF(OR($AG59=0,V$3=""),"",IF(AND(INDEX(工程マスタ!$I:$I,$AG59)="○",$E59&gt;=V$3,$E59&lt;EDATE(V$3,1)),"▼",""))</f>
        <v/>
      </c>
      <c r="W59" s="31" t="str">
        <f aca="false">IF(OR($AG59=0,W$3=""),"",IF(AND(INDEX(工程マスタ!$I:$I,$AG59)="○",$E59&gt;=W$3,$E59&lt;EDATE(W$3,1)),"▼",""))</f>
        <v/>
      </c>
      <c r="X59" s="31" t="str">
        <f aca="false">IF(OR($AG59=0,X$3=""),"",IF(AND(INDEX(工程マスタ!$I:$I,$AG59)="○",$E59&gt;=X$3,$E59&lt;EDATE(X$3,1)),"▼",""))</f>
        <v/>
      </c>
      <c r="Y59" s="31" t="str">
        <f aca="false">IF(OR($AG59=0,Y$3=""),"",IF(AND(INDEX(工程マスタ!$I:$I,$AG59)="○",$E59&gt;=Y$3,$E59&lt;EDATE(Y$3,1)),"▼",""))</f>
        <v/>
      </c>
      <c r="Z59" s="31" t="str">
        <f aca="false">IF(OR($AG59=0,Z$3=""),"",IF(AND(INDEX(工程マスタ!$I:$I,$AG59)="○",$E59&gt;=Z$3,$E59&lt;EDATE(Z$3,1)),"▼",""))</f>
        <v/>
      </c>
      <c r="AA59" s="31" t="str">
        <f aca="false">IF(OR($AG59=0,AA$3=""),"",IF(AND(INDEX(工程マスタ!$I:$I,$AG59)="○",$E59&gt;=AA$3,$E59&lt;EDATE(AA$3,1)),"▼",""))</f>
        <v/>
      </c>
      <c r="AB59" s="31" t="str">
        <f aca="false">IF(OR($AG59=0,AB$3=""),"",IF(AND(INDEX(工程マスタ!$I:$I,$AG59)="○",$E59&gt;=AB$3,$E59&lt;EDATE(AB$3,1)),"▼",""))</f>
        <v/>
      </c>
      <c r="AC59" s="31" t="str">
        <f aca="false">IF(OR($AG59=0,AC$3=""),"",IF(AND(INDEX(工程マスタ!$I:$I,$AG59)="○",$E59&gt;=AC$3,$E59&lt;EDATE(AC$3,1)),"▼",""))</f>
        <v/>
      </c>
      <c r="AD59" s="31" t="str">
        <f aca="false">IF(OR($AG59=0,AD$3=""),"",IF(AND(INDEX(工程マスタ!$I:$I,$AG59)="○",$E59&gt;=AD$3,$E59&lt;EDATE(AD$3,1)),"▼",""))</f>
        <v/>
      </c>
      <c r="AE59" s="31" t="str">
        <f aca="false">IF(OR($AG59=0,AE$3=""),"",IF(AND(INDEX(工程マスタ!$I:$I,$AG59)="○",$E59&gt;=AE$3,$E59&lt;EDATE(AE$3,1)),"▼",""))</f>
        <v/>
      </c>
      <c r="AG59" s="27" t="n">
        <f aca="false" t="array" ref="AG59:AG59">IFERROR(SMALL(IF(工程マスタ!$K$5:$K$154&gt;0,ROW(工程マスタ!$C$5:$C$154)),54),0)</f>
        <v>0</v>
      </c>
      <c r="AH59" s="27" t="n">
        <f aca="false">IF($AG59=0,0,INDEX(工程マスタ!$M:$M,$AG59))</f>
        <v>0</v>
      </c>
    </row>
    <row r="60" customFormat="false" ht="15" hidden="false" customHeight="false" outlineLevel="0" collapsed="false">
      <c r="A60" s="28" t="str">
        <f aca="false">IF($AG60=0,"",IF(INDEX(工程マスタ!$A:$A,$AG60)="","",INDEX(工程マスタ!$A:$A,$AG60)))</f>
        <v/>
      </c>
      <c r="B60" s="21" t="str">
        <f aca="false">IF($AG60=0,"",IF(INDEX(工程マスタ!$B:$B,$AG60)="","",INDEX(工程マスタ!$B:$B,$AG60)))</f>
        <v/>
      </c>
      <c r="C60" s="21" t="str">
        <f aca="false">IF($AG60=0,"",IF(INDEX(工程マスタ!$C:$C,$AG60)="","",INDEX(工程マスタ!$C:$C,$AG60)))</f>
        <v/>
      </c>
      <c r="D60" s="21" t="str">
        <f aca="false">IF($AG60=0,"",IF(INDEX(工程マスタ!$D:$D,$AG60)="","",INDEX(工程マスタ!$D:$D,$AG60)))</f>
        <v/>
      </c>
      <c r="E60" s="29" t="str">
        <f aca="false">IF($AG60=0,"",IF(INDEX(工程マスタ!$E:$E,$AG60)="","",INDEX(工程マスタ!$E:$E,$AG60)))</f>
        <v/>
      </c>
      <c r="F60" s="29" t="str">
        <f aca="false">IF($AG60=0,"",IF(INDEX(工程マスタ!$F:$F,$AG60)="","",INDEX(工程マスタ!$F:$F,$AG60)))</f>
        <v/>
      </c>
      <c r="G60" s="30" t="str">
        <f aca="false">IF($AG60=0,"",IF(INDEX(工程マスタ!$H:$H,$AG60)="","",INDEX(工程マスタ!$H:$H,$AG60)))</f>
        <v/>
      </c>
      <c r="H60" s="31" t="str">
        <f aca="false">IF(OR($AG60=0,H$3=""),"",IF(AND(INDEX(工程マスタ!$I:$I,$AG60)="○",$E60&gt;=H$3,$E60&lt;EDATE(H$3,1)),"▼",""))</f>
        <v/>
      </c>
      <c r="I60" s="31" t="str">
        <f aca="false">IF(OR($AG60=0,I$3=""),"",IF(AND(INDEX(工程マスタ!$I:$I,$AG60)="○",$E60&gt;=I$3,$E60&lt;EDATE(I$3,1)),"▼",""))</f>
        <v/>
      </c>
      <c r="J60" s="31" t="str">
        <f aca="false">IF(OR($AG60=0,J$3=""),"",IF(AND(INDEX(工程マスタ!$I:$I,$AG60)="○",$E60&gt;=J$3,$E60&lt;EDATE(J$3,1)),"▼",""))</f>
        <v/>
      </c>
      <c r="K60" s="31" t="str">
        <f aca="false">IF(OR($AG60=0,K$3=""),"",IF(AND(INDEX(工程マスタ!$I:$I,$AG60)="○",$E60&gt;=K$3,$E60&lt;EDATE(K$3,1)),"▼",""))</f>
        <v/>
      </c>
      <c r="L60" s="31" t="str">
        <f aca="false">IF(OR($AG60=0,L$3=""),"",IF(AND(INDEX(工程マスタ!$I:$I,$AG60)="○",$E60&gt;=L$3,$E60&lt;EDATE(L$3,1)),"▼",""))</f>
        <v/>
      </c>
      <c r="M60" s="31" t="str">
        <f aca="false">IF(OR($AG60=0,M$3=""),"",IF(AND(INDEX(工程マスタ!$I:$I,$AG60)="○",$E60&gt;=M$3,$E60&lt;EDATE(M$3,1)),"▼",""))</f>
        <v/>
      </c>
      <c r="N60" s="31" t="str">
        <f aca="false">IF(OR($AG60=0,N$3=""),"",IF(AND(INDEX(工程マスタ!$I:$I,$AG60)="○",$E60&gt;=N$3,$E60&lt;EDATE(N$3,1)),"▼",""))</f>
        <v/>
      </c>
      <c r="O60" s="31" t="str">
        <f aca="false">IF(OR($AG60=0,O$3=""),"",IF(AND(INDEX(工程マスタ!$I:$I,$AG60)="○",$E60&gt;=O$3,$E60&lt;EDATE(O$3,1)),"▼",""))</f>
        <v/>
      </c>
      <c r="P60" s="31" t="str">
        <f aca="false">IF(OR($AG60=0,P$3=""),"",IF(AND(INDEX(工程マスタ!$I:$I,$AG60)="○",$E60&gt;=P$3,$E60&lt;EDATE(P$3,1)),"▼",""))</f>
        <v/>
      </c>
      <c r="Q60" s="31" t="str">
        <f aca="false">IF(OR($AG60=0,Q$3=""),"",IF(AND(INDEX(工程マスタ!$I:$I,$AG60)="○",$E60&gt;=Q$3,$E60&lt;EDATE(Q$3,1)),"▼",""))</f>
        <v/>
      </c>
      <c r="R60" s="31" t="str">
        <f aca="false">IF(OR($AG60=0,R$3=""),"",IF(AND(INDEX(工程マスタ!$I:$I,$AG60)="○",$E60&gt;=R$3,$E60&lt;EDATE(R$3,1)),"▼",""))</f>
        <v/>
      </c>
      <c r="S60" s="31" t="str">
        <f aca="false">IF(OR($AG60=0,S$3=""),"",IF(AND(INDEX(工程マスタ!$I:$I,$AG60)="○",$E60&gt;=S$3,$E60&lt;EDATE(S$3,1)),"▼",""))</f>
        <v/>
      </c>
      <c r="T60" s="31" t="str">
        <f aca="false">IF(OR($AG60=0,T$3=""),"",IF(AND(INDEX(工程マスタ!$I:$I,$AG60)="○",$E60&gt;=T$3,$E60&lt;EDATE(T$3,1)),"▼",""))</f>
        <v/>
      </c>
      <c r="U60" s="31" t="str">
        <f aca="false">IF(OR($AG60=0,U$3=""),"",IF(AND(INDEX(工程マスタ!$I:$I,$AG60)="○",$E60&gt;=U$3,$E60&lt;EDATE(U$3,1)),"▼",""))</f>
        <v/>
      </c>
      <c r="V60" s="31" t="str">
        <f aca="false">IF(OR($AG60=0,V$3=""),"",IF(AND(INDEX(工程マスタ!$I:$I,$AG60)="○",$E60&gt;=V$3,$E60&lt;EDATE(V$3,1)),"▼",""))</f>
        <v/>
      </c>
      <c r="W60" s="31" t="str">
        <f aca="false">IF(OR($AG60=0,W$3=""),"",IF(AND(INDEX(工程マスタ!$I:$I,$AG60)="○",$E60&gt;=W$3,$E60&lt;EDATE(W$3,1)),"▼",""))</f>
        <v/>
      </c>
      <c r="X60" s="31" t="str">
        <f aca="false">IF(OR($AG60=0,X$3=""),"",IF(AND(INDEX(工程マスタ!$I:$I,$AG60)="○",$E60&gt;=X$3,$E60&lt;EDATE(X$3,1)),"▼",""))</f>
        <v/>
      </c>
      <c r="Y60" s="31" t="str">
        <f aca="false">IF(OR($AG60=0,Y$3=""),"",IF(AND(INDEX(工程マスタ!$I:$I,$AG60)="○",$E60&gt;=Y$3,$E60&lt;EDATE(Y$3,1)),"▼",""))</f>
        <v/>
      </c>
      <c r="Z60" s="31" t="str">
        <f aca="false">IF(OR($AG60=0,Z$3=""),"",IF(AND(INDEX(工程マスタ!$I:$I,$AG60)="○",$E60&gt;=Z$3,$E60&lt;EDATE(Z$3,1)),"▼",""))</f>
        <v/>
      </c>
      <c r="AA60" s="31" t="str">
        <f aca="false">IF(OR($AG60=0,AA$3=""),"",IF(AND(INDEX(工程マスタ!$I:$I,$AG60)="○",$E60&gt;=AA$3,$E60&lt;EDATE(AA$3,1)),"▼",""))</f>
        <v/>
      </c>
      <c r="AB60" s="31" t="str">
        <f aca="false">IF(OR($AG60=0,AB$3=""),"",IF(AND(INDEX(工程マスタ!$I:$I,$AG60)="○",$E60&gt;=AB$3,$E60&lt;EDATE(AB$3,1)),"▼",""))</f>
        <v/>
      </c>
      <c r="AC60" s="31" t="str">
        <f aca="false">IF(OR($AG60=0,AC$3=""),"",IF(AND(INDEX(工程マスタ!$I:$I,$AG60)="○",$E60&gt;=AC$3,$E60&lt;EDATE(AC$3,1)),"▼",""))</f>
        <v/>
      </c>
      <c r="AD60" s="31" t="str">
        <f aca="false">IF(OR($AG60=0,AD$3=""),"",IF(AND(INDEX(工程マスタ!$I:$I,$AG60)="○",$E60&gt;=AD$3,$E60&lt;EDATE(AD$3,1)),"▼",""))</f>
        <v/>
      </c>
      <c r="AE60" s="31" t="str">
        <f aca="false">IF(OR($AG60=0,AE$3=""),"",IF(AND(INDEX(工程マスタ!$I:$I,$AG60)="○",$E60&gt;=AE$3,$E60&lt;EDATE(AE$3,1)),"▼",""))</f>
        <v/>
      </c>
      <c r="AG60" s="27" t="n">
        <f aca="false" t="array" ref="AG60:AG60">IFERROR(SMALL(IF(工程マスタ!$K$5:$K$154&gt;0,ROW(工程マスタ!$C$5:$C$154)),55),0)</f>
        <v>0</v>
      </c>
      <c r="AH60" s="27" t="n">
        <f aca="false">IF($AG60=0,0,INDEX(工程マスタ!$M:$M,$AG60))</f>
        <v>0</v>
      </c>
    </row>
    <row r="61" customFormat="false" ht="15" hidden="false" customHeight="false" outlineLevel="0" collapsed="false">
      <c r="A61" s="28" t="str">
        <f aca="false">IF($AG61=0,"",IF(INDEX(工程マスタ!$A:$A,$AG61)="","",INDEX(工程マスタ!$A:$A,$AG61)))</f>
        <v/>
      </c>
      <c r="B61" s="21" t="str">
        <f aca="false">IF($AG61=0,"",IF(INDEX(工程マスタ!$B:$B,$AG61)="","",INDEX(工程マスタ!$B:$B,$AG61)))</f>
        <v/>
      </c>
      <c r="C61" s="21" t="str">
        <f aca="false">IF($AG61=0,"",IF(INDEX(工程マスタ!$C:$C,$AG61)="","",INDEX(工程マスタ!$C:$C,$AG61)))</f>
        <v/>
      </c>
      <c r="D61" s="21" t="str">
        <f aca="false">IF($AG61=0,"",IF(INDEX(工程マスタ!$D:$D,$AG61)="","",INDEX(工程マスタ!$D:$D,$AG61)))</f>
        <v/>
      </c>
      <c r="E61" s="29" t="str">
        <f aca="false">IF($AG61=0,"",IF(INDEX(工程マスタ!$E:$E,$AG61)="","",INDEX(工程マスタ!$E:$E,$AG61)))</f>
        <v/>
      </c>
      <c r="F61" s="29" t="str">
        <f aca="false">IF($AG61=0,"",IF(INDEX(工程マスタ!$F:$F,$AG61)="","",INDEX(工程マスタ!$F:$F,$AG61)))</f>
        <v/>
      </c>
      <c r="G61" s="30" t="str">
        <f aca="false">IF($AG61=0,"",IF(INDEX(工程マスタ!$H:$H,$AG61)="","",INDEX(工程マスタ!$H:$H,$AG61)))</f>
        <v/>
      </c>
      <c r="H61" s="31" t="str">
        <f aca="false">IF(OR($AG61=0,H$3=""),"",IF(AND(INDEX(工程マスタ!$I:$I,$AG61)="○",$E61&gt;=H$3,$E61&lt;EDATE(H$3,1)),"▼",""))</f>
        <v/>
      </c>
      <c r="I61" s="31" t="str">
        <f aca="false">IF(OR($AG61=0,I$3=""),"",IF(AND(INDEX(工程マスタ!$I:$I,$AG61)="○",$E61&gt;=I$3,$E61&lt;EDATE(I$3,1)),"▼",""))</f>
        <v/>
      </c>
      <c r="J61" s="31" t="str">
        <f aca="false">IF(OR($AG61=0,J$3=""),"",IF(AND(INDEX(工程マスタ!$I:$I,$AG61)="○",$E61&gt;=J$3,$E61&lt;EDATE(J$3,1)),"▼",""))</f>
        <v/>
      </c>
      <c r="K61" s="31" t="str">
        <f aca="false">IF(OR($AG61=0,K$3=""),"",IF(AND(INDEX(工程マスタ!$I:$I,$AG61)="○",$E61&gt;=K$3,$E61&lt;EDATE(K$3,1)),"▼",""))</f>
        <v/>
      </c>
      <c r="L61" s="31" t="str">
        <f aca="false">IF(OR($AG61=0,L$3=""),"",IF(AND(INDEX(工程マスタ!$I:$I,$AG61)="○",$E61&gt;=L$3,$E61&lt;EDATE(L$3,1)),"▼",""))</f>
        <v/>
      </c>
      <c r="M61" s="31" t="str">
        <f aca="false">IF(OR($AG61=0,M$3=""),"",IF(AND(INDEX(工程マスタ!$I:$I,$AG61)="○",$E61&gt;=M$3,$E61&lt;EDATE(M$3,1)),"▼",""))</f>
        <v/>
      </c>
      <c r="N61" s="31" t="str">
        <f aca="false">IF(OR($AG61=0,N$3=""),"",IF(AND(INDEX(工程マスタ!$I:$I,$AG61)="○",$E61&gt;=N$3,$E61&lt;EDATE(N$3,1)),"▼",""))</f>
        <v/>
      </c>
      <c r="O61" s="31" t="str">
        <f aca="false">IF(OR($AG61=0,O$3=""),"",IF(AND(INDEX(工程マスタ!$I:$I,$AG61)="○",$E61&gt;=O$3,$E61&lt;EDATE(O$3,1)),"▼",""))</f>
        <v/>
      </c>
      <c r="P61" s="31" t="str">
        <f aca="false">IF(OR($AG61=0,P$3=""),"",IF(AND(INDEX(工程マスタ!$I:$I,$AG61)="○",$E61&gt;=P$3,$E61&lt;EDATE(P$3,1)),"▼",""))</f>
        <v/>
      </c>
      <c r="Q61" s="31" t="str">
        <f aca="false">IF(OR($AG61=0,Q$3=""),"",IF(AND(INDEX(工程マスタ!$I:$I,$AG61)="○",$E61&gt;=Q$3,$E61&lt;EDATE(Q$3,1)),"▼",""))</f>
        <v/>
      </c>
      <c r="R61" s="31" t="str">
        <f aca="false">IF(OR($AG61=0,R$3=""),"",IF(AND(INDEX(工程マスタ!$I:$I,$AG61)="○",$E61&gt;=R$3,$E61&lt;EDATE(R$3,1)),"▼",""))</f>
        <v/>
      </c>
      <c r="S61" s="31" t="str">
        <f aca="false">IF(OR($AG61=0,S$3=""),"",IF(AND(INDEX(工程マスタ!$I:$I,$AG61)="○",$E61&gt;=S$3,$E61&lt;EDATE(S$3,1)),"▼",""))</f>
        <v/>
      </c>
      <c r="T61" s="31" t="str">
        <f aca="false">IF(OR($AG61=0,T$3=""),"",IF(AND(INDEX(工程マスタ!$I:$I,$AG61)="○",$E61&gt;=T$3,$E61&lt;EDATE(T$3,1)),"▼",""))</f>
        <v/>
      </c>
      <c r="U61" s="31" t="str">
        <f aca="false">IF(OR($AG61=0,U$3=""),"",IF(AND(INDEX(工程マスタ!$I:$I,$AG61)="○",$E61&gt;=U$3,$E61&lt;EDATE(U$3,1)),"▼",""))</f>
        <v/>
      </c>
      <c r="V61" s="31" t="str">
        <f aca="false">IF(OR($AG61=0,V$3=""),"",IF(AND(INDEX(工程マスタ!$I:$I,$AG61)="○",$E61&gt;=V$3,$E61&lt;EDATE(V$3,1)),"▼",""))</f>
        <v/>
      </c>
      <c r="W61" s="31" t="str">
        <f aca="false">IF(OR($AG61=0,W$3=""),"",IF(AND(INDEX(工程マスタ!$I:$I,$AG61)="○",$E61&gt;=W$3,$E61&lt;EDATE(W$3,1)),"▼",""))</f>
        <v/>
      </c>
      <c r="X61" s="31" t="str">
        <f aca="false">IF(OR($AG61=0,X$3=""),"",IF(AND(INDEX(工程マスタ!$I:$I,$AG61)="○",$E61&gt;=X$3,$E61&lt;EDATE(X$3,1)),"▼",""))</f>
        <v/>
      </c>
      <c r="Y61" s="31" t="str">
        <f aca="false">IF(OR($AG61=0,Y$3=""),"",IF(AND(INDEX(工程マスタ!$I:$I,$AG61)="○",$E61&gt;=Y$3,$E61&lt;EDATE(Y$3,1)),"▼",""))</f>
        <v/>
      </c>
      <c r="Z61" s="31" t="str">
        <f aca="false">IF(OR($AG61=0,Z$3=""),"",IF(AND(INDEX(工程マスタ!$I:$I,$AG61)="○",$E61&gt;=Z$3,$E61&lt;EDATE(Z$3,1)),"▼",""))</f>
        <v/>
      </c>
      <c r="AA61" s="31" t="str">
        <f aca="false">IF(OR($AG61=0,AA$3=""),"",IF(AND(INDEX(工程マスタ!$I:$I,$AG61)="○",$E61&gt;=AA$3,$E61&lt;EDATE(AA$3,1)),"▼",""))</f>
        <v/>
      </c>
      <c r="AB61" s="31" t="str">
        <f aca="false">IF(OR($AG61=0,AB$3=""),"",IF(AND(INDEX(工程マスタ!$I:$I,$AG61)="○",$E61&gt;=AB$3,$E61&lt;EDATE(AB$3,1)),"▼",""))</f>
        <v/>
      </c>
      <c r="AC61" s="31" t="str">
        <f aca="false">IF(OR($AG61=0,AC$3=""),"",IF(AND(INDEX(工程マスタ!$I:$I,$AG61)="○",$E61&gt;=AC$3,$E61&lt;EDATE(AC$3,1)),"▼",""))</f>
        <v/>
      </c>
      <c r="AD61" s="31" t="str">
        <f aca="false">IF(OR($AG61=0,AD$3=""),"",IF(AND(INDEX(工程マスタ!$I:$I,$AG61)="○",$E61&gt;=AD$3,$E61&lt;EDATE(AD$3,1)),"▼",""))</f>
        <v/>
      </c>
      <c r="AE61" s="31" t="str">
        <f aca="false">IF(OR($AG61=0,AE$3=""),"",IF(AND(INDEX(工程マスタ!$I:$I,$AG61)="○",$E61&gt;=AE$3,$E61&lt;EDATE(AE$3,1)),"▼",""))</f>
        <v/>
      </c>
      <c r="AG61" s="27" t="n">
        <f aca="false" t="array" ref="AG61:AG61">IFERROR(SMALL(IF(工程マスタ!$K$5:$K$154&gt;0,ROW(工程マスタ!$C$5:$C$154)),56),0)</f>
        <v>0</v>
      </c>
      <c r="AH61" s="27" t="n">
        <f aca="false">IF($AG61=0,0,INDEX(工程マスタ!$M:$M,$AG61))</f>
        <v>0</v>
      </c>
    </row>
    <row r="62" customFormat="false" ht="15" hidden="false" customHeight="false" outlineLevel="0" collapsed="false">
      <c r="A62" s="28" t="str">
        <f aca="false">IF($AG62=0,"",IF(INDEX(工程マスタ!$A:$A,$AG62)="","",INDEX(工程マスタ!$A:$A,$AG62)))</f>
        <v/>
      </c>
      <c r="B62" s="21" t="str">
        <f aca="false">IF($AG62=0,"",IF(INDEX(工程マスタ!$B:$B,$AG62)="","",INDEX(工程マスタ!$B:$B,$AG62)))</f>
        <v/>
      </c>
      <c r="C62" s="21" t="str">
        <f aca="false">IF($AG62=0,"",IF(INDEX(工程マスタ!$C:$C,$AG62)="","",INDEX(工程マスタ!$C:$C,$AG62)))</f>
        <v/>
      </c>
      <c r="D62" s="21" t="str">
        <f aca="false">IF($AG62=0,"",IF(INDEX(工程マスタ!$D:$D,$AG62)="","",INDEX(工程マスタ!$D:$D,$AG62)))</f>
        <v/>
      </c>
      <c r="E62" s="29" t="str">
        <f aca="false">IF($AG62=0,"",IF(INDEX(工程マスタ!$E:$E,$AG62)="","",INDEX(工程マスタ!$E:$E,$AG62)))</f>
        <v/>
      </c>
      <c r="F62" s="29" t="str">
        <f aca="false">IF($AG62=0,"",IF(INDEX(工程マスタ!$F:$F,$AG62)="","",INDEX(工程マスタ!$F:$F,$AG62)))</f>
        <v/>
      </c>
      <c r="G62" s="30" t="str">
        <f aca="false">IF($AG62=0,"",IF(INDEX(工程マスタ!$H:$H,$AG62)="","",INDEX(工程マスタ!$H:$H,$AG62)))</f>
        <v/>
      </c>
      <c r="H62" s="31" t="str">
        <f aca="false">IF(OR($AG62=0,H$3=""),"",IF(AND(INDEX(工程マスタ!$I:$I,$AG62)="○",$E62&gt;=H$3,$E62&lt;EDATE(H$3,1)),"▼",""))</f>
        <v/>
      </c>
      <c r="I62" s="31" t="str">
        <f aca="false">IF(OR($AG62=0,I$3=""),"",IF(AND(INDEX(工程マスタ!$I:$I,$AG62)="○",$E62&gt;=I$3,$E62&lt;EDATE(I$3,1)),"▼",""))</f>
        <v/>
      </c>
      <c r="J62" s="31" t="str">
        <f aca="false">IF(OR($AG62=0,J$3=""),"",IF(AND(INDEX(工程マスタ!$I:$I,$AG62)="○",$E62&gt;=J$3,$E62&lt;EDATE(J$3,1)),"▼",""))</f>
        <v/>
      </c>
      <c r="K62" s="31" t="str">
        <f aca="false">IF(OR($AG62=0,K$3=""),"",IF(AND(INDEX(工程マスタ!$I:$I,$AG62)="○",$E62&gt;=K$3,$E62&lt;EDATE(K$3,1)),"▼",""))</f>
        <v/>
      </c>
      <c r="L62" s="31" t="str">
        <f aca="false">IF(OR($AG62=0,L$3=""),"",IF(AND(INDEX(工程マスタ!$I:$I,$AG62)="○",$E62&gt;=L$3,$E62&lt;EDATE(L$3,1)),"▼",""))</f>
        <v/>
      </c>
      <c r="M62" s="31" t="str">
        <f aca="false">IF(OR($AG62=0,M$3=""),"",IF(AND(INDEX(工程マスタ!$I:$I,$AG62)="○",$E62&gt;=M$3,$E62&lt;EDATE(M$3,1)),"▼",""))</f>
        <v/>
      </c>
      <c r="N62" s="31" t="str">
        <f aca="false">IF(OR($AG62=0,N$3=""),"",IF(AND(INDEX(工程マスタ!$I:$I,$AG62)="○",$E62&gt;=N$3,$E62&lt;EDATE(N$3,1)),"▼",""))</f>
        <v/>
      </c>
      <c r="O62" s="31" t="str">
        <f aca="false">IF(OR($AG62=0,O$3=""),"",IF(AND(INDEX(工程マスタ!$I:$I,$AG62)="○",$E62&gt;=O$3,$E62&lt;EDATE(O$3,1)),"▼",""))</f>
        <v/>
      </c>
      <c r="P62" s="31" t="str">
        <f aca="false">IF(OR($AG62=0,P$3=""),"",IF(AND(INDEX(工程マスタ!$I:$I,$AG62)="○",$E62&gt;=P$3,$E62&lt;EDATE(P$3,1)),"▼",""))</f>
        <v/>
      </c>
      <c r="Q62" s="31" t="str">
        <f aca="false">IF(OR($AG62=0,Q$3=""),"",IF(AND(INDEX(工程マスタ!$I:$I,$AG62)="○",$E62&gt;=Q$3,$E62&lt;EDATE(Q$3,1)),"▼",""))</f>
        <v/>
      </c>
      <c r="R62" s="31" t="str">
        <f aca="false">IF(OR($AG62=0,R$3=""),"",IF(AND(INDEX(工程マスタ!$I:$I,$AG62)="○",$E62&gt;=R$3,$E62&lt;EDATE(R$3,1)),"▼",""))</f>
        <v/>
      </c>
      <c r="S62" s="31" t="str">
        <f aca="false">IF(OR($AG62=0,S$3=""),"",IF(AND(INDEX(工程マスタ!$I:$I,$AG62)="○",$E62&gt;=S$3,$E62&lt;EDATE(S$3,1)),"▼",""))</f>
        <v/>
      </c>
      <c r="T62" s="31" t="str">
        <f aca="false">IF(OR($AG62=0,T$3=""),"",IF(AND(INDEX(工程マスタ!$I:$I,$AG62)="○",$E62&gt;=T$3,$E62&lt;EDATE(T$3,1)),"▼",""))</f>
        <v/>
      </c>
      <c r="U62" s="31" t="str">
        <f aca="false">IF(OR($AG62=0,U$3=""),"",IF(AND(INDEX(工程マスタ!$I:$I,$AG62)="○",$E62&gt;=U$3,$E62&lt;EDATE(U$3,1)),"▼",""))</f>
        <v/>
      </c>
      <c r="V62" s="31" t="str">
        <f aca="false">IF(OR($AG62=0,V$3=""),"",IF(AND(INDEX(工程マスタ!$I:$I,$AG62)="○",$E62&gt;=V$3,$E62&lt;EDATE(V$3,1)),"▼",""))</f>
        <v/>
      </c>
      <c r="W62" s="31" t="str">
        <f aca="false">IF(OR($AG62=0,W$3=""),"",IF(AND(INDEX(工程マスタ!$I:$I,$AG62)="○",$E62&gt;=W$3,$E62&lt;EDATE(W$3,1)),"▼",""))</f>
        <v/>
      </c>
      <c r="X62" s="31" t="str">
        <f aca="false">IF(OR($AG62=0,X$3=""),"",IF(AND(INDEX(工程マスタ!$I:$I,$AG62)="○",$E62&gt;=X$3,$E62&lt;EDATE(X$3,1)),"▼",""))</f>
        <v/>
      </c>
      <c r="Y62" s="31" t="str">
        <f aca="false">IF(OR($AG62=0,Y$3=""),"",IF(AND(INDEX(工程マスタ!$I:$I,$AG62)="○",$E62&gt;=Y$3,$E62&lt;EDATE(Y$3,1)),"▼",""))</f>
        <v/>
      </c>
      <c r="Z62" s="31" t="str">
        <f aca="false">IF(OR($AG62=0,Z$3=""),"",IF(AND(INDEX(工程マスタ!$I:$I,$AG62)="○",$E62&gt;=Z$3,$E62&lt;EDATE(Z$3,1)),"▼",""))</f>
        <v/>
      </c>
      <c r="AA62" s="31" t="str">
        <f aca="false">IF(OR($AG62=0,AA$3=""),"",IF(AND(INDEX(工程マスタ!$I:$I,$AG62)="○",$E62&gt;=AA$3,$E62&lt;EDATE(AA$3,1)),"▼",""))</f>
        <v/>
      </c>
      <c r="AB62" s="31" t="str">
        <f aca="false">IF(OR($AG62=0,AB$3=""),"",IF(AND(INDEX(工程マスタ!$I:$I,$AG62)="○",$E62&gt;=AB$3,$E62&lt;EDATE(AB$3,1)),"▼",""))</f>
        <v/>
      </c>
      <c r="AC62" s="31" t="str">
        <f aca="false">IF(OR($AG62=0,AC$3=""),"",IF(AND(INDEX(工程マスタ!$I:$I,$AG62)="○",$E62&gt;=AC$3,$E62&lt;EDATE(AC$3,1)),"▼",""))</f>
        <v/>
      </c>
      <c r="AD62" s="31" t="str">
        <f aca="false">IF(OR($AG62=0,AD$3=""),"",IF(AND(INDEX(工程マスタ!$I:$I,$AG62)="○",$E62&gt;=AD$3,$E62&lt;EDATE(AD$3,1)),"▼",""))</f>
        <v/>
      </c>
      <c r="AE62" s="31" t="str">
        <f aca="false">IF(OR($AG62=0,AE$3=""),"",IF(AND(INDEX(工程マスタ!$I:$I,$AG62)="○",$E62&gt;=AE$3,$E62&lt;EDATE(AE$3,1)),"▼",""))</f>
        <v/>
      </c>
      <c r="AG62" s="27" t="n">
        <f aca="false" t="array" ref="AG62:AG62">IFERROR(SMALL(IF(工程マスタ!$K$5:$K$154&gt;0,ROW(工程マスタ!$C$5:$C$154)),57),0)</f>
        <v>0</v>
      </c>
      <c r="AH62" s="27" t="n">
        <f aca="false">IF($AG62=0,0,INDEX(工程マスタ!$M:$M,$AG62))</f>
        <v>0</v>
      </c>
    </row>
    <row r="63" customFormat="false" ht="15" hidden="false" customHeight="false" outlineLevel="0" collapsed="false">
      <c r="A63" s="28" t="str">
        <f aca="false">IF($AG63=0,"",IF(INDEX(工程マスタ!$A:$A,$AG63)="","",INDEX(工程マスタ!$A:$A,$AG63)))</f>
        <v/>
      </c>
      <c r="B63" s="21" t="str">
        <f aca="false">IF($AG63=0,"",IF(INDEX(工程マスタ!$B:$B,$AG63)="","",INDEX(工程マスタ!$B:$B,$AG63)))</f>
        <v/>
      </c>
      <c r="C63" s="21" t="str">
        <f aca="false">IF($AG63=0,"",IF(INDEX(工程マスタ!$C:$C,$AG63)="","",INDEX(工程マスタ!$C:$C,$AG63)))</f>
        <v/>
      </c>
      <c r="D63" s="21" t="str">
        <f aca="false">IF($AG63=0,"",IF(INDEX(工程マスタ!$D:$D,$AG63)="","",INDEX(工程マスタ!$D:$D,$AG63)))</f>
        <v/>
      </c>
      <c r="E63" s="29" t="str">
        <f aca="false">IF($AG63=0,"",IF(INDEX(工程マスタ!$E:$E,$AG63)="","",INDEX(工程マスタ!$E:$E,$AG63)))</f>
        <v/>
      </c>
      <c r="F63" s="29" t="str">
        <f aca="false">IF($AG63=0,"",IF(INDEX(工程マスタ!$F:$F,$AG63)="","",INDEX(工程マスタ!$F:$F,$AG63)))</f>
        <v/>
      </c>
      <c r="G63" s="30" t="str">
        <f aca="false">IF($AG63=0,"",IF(INDEX(工程マスタ!$H:$H,$AG63)="","",INDEX(工程マスタ!$H:$H,$AG63)))</f>
        <v/>
      </c>
      <c r="H63" s="31" t="str">
        <f aca="false">IF(OR($AG63=0,H$3=""),"",IF(AND(INDEX(工程マスタ!$I:$I,$AG63)="○",$E63&gt;=H$3,$E63&lt;EDATE(H$3,1)),"▼",""))</f>
        <v/>
      </c>
      <c r="I63" s="31" t="str">
        <f aca="false">IF(OR($AG63=0,I$3=""),"",IF(AND(INDEX(工程マスタ!$I:$I,$AG63)="○",$E63&gt;=I$3,$E63&lt;EDATE(I$3,1)),"▼",""))</f>
        <v/>
      </c>
      <c r="J63" s="31" t="str">
        <f aca="false">IF(OR($AG63=0,J$3=""),"",IF(AND(INDEX(工程マスタ!$I:$I,$AG63)="○",$E63&gt;=J$3,$E63&lt;EDATE(J$3,1)),"▼",""))</f>
        <v/>
      </c>
      <c r="K63" s="31" t="str">
        <f aca="false">IF(OR($AG63=0,K$3=""),"",IF(AND(INDEX(工程マスタ!$I:$I,$AG63)="○",$E63&gt;=K$3,$E63&lt;EDATE(K$3,1)),"▼",""))</f>
        <v/>
      </c>
      <c r="L63" s="31" t="str">
        <f aca="false">IF(OR($AG63=0,L$3=""),"",IF(AND(INDEX(工程マスタ!$I:$I,$AG63)="○",$E63&gt;=L$3,$E63&lt;EDATE(L$3,1)),"▼",""))</f>
        <v/>
      </c>
      <c r="M63" s="31" t="str">
        <f aca="false">IF(OR($AG63=0,M$3=""),"",IF(AND(INDEX(工程マスタ!$I:$I,$AG63)="○",$E63&gt;=M$3,$E63&lt;EDATE(M$3,1)),"▼",""))</f>
        <v/>
      </c>
      <c r="N63" s="31" t="str">
        <f aca="false">IF(OR($AG63=0,N$3=""),"",IF(AND(INDEX(工程マスタ!$I:$I,$AG63)="○",$E63&gt;=N$3,$E63&lt;EDATE(N$3,1)),"▼",""))</f>
        <v/>
      </c>
      <c r="O63" s="31" t="str">
        <f aca="false">IF(OR($AG63=0,O$3=""),"",IF(AND(INDEX(工程マスタ!$I:$I,$AG63)="○",$E63&gt;=O$3,$E63&lt;EDATE(O$3,1)),"▼",""))</f>
        <v/>
      </c>
      <c r="P63" s="31" t="str">
        <f aca="false">IF(OR($AG63=0,P$3=""),"",IF(AND(INDEX(工程マスタ!$I:$I,$AG63)="○",$E63&gt;=P$3,$E63&lt;EDATE(P$3,1)),"▼",""))</f>
        <v/>
      </c>
      <c r="Q63" s="31" t="str">
        <f aca="false">IF(OR($AG63=0,Q$3=""),"",IF(AND(INDEX(工程マスタ!$I:$I,$AG63)="○",$E63&gt;=Q$3,$E63&lt;EDATE(Q$3,1)),"▼",""))</f>
        <v/>
      </c>
      <c r="R63" s="31" t="str">
        <f aca="false">IF(OR($AG63=0,R$3=""),"",IF(AND(INDEX(工程マスタ!$I:$I,$AG63)="○",$E63&gt;=R$3,$E63&lt;EDATE(R$3,1)),"▼",""))</f>
        <v/>
      </c>
      <c r="S63" s="31" t="str">
        <f aca="false">IF(OR($AG63=0,S$3=""),"",IF(AND(INDEX(工程マスタ!$I:$I,$AG63)="○",$E63&gt;=S$3,$E63&lt;EDATE(S$3,1)),"▼",""))</f>
        <v/>
      </c>
      <c r="T63" s="31" t="str">
        <f aca="false">IF(OR($AG63=0,T$3=""),"",IF(AND(INDEX(工程マスタ!$I:$I,$AG63)="○",$E63&gt;=T$3,$E63&lt;EDATE(T$3,1)),"▼",""))</f>
        <v/>
      </c>
      <c r="U63" s="31" t="str">
        <f aca="false">IF(OR($AG63=0,U$3=""),"",IF(AND(INDEX(工程マスタ!$I:$I,$AG63)="○",$E63&gt;=U$3,$E63&lt;EDATE(U$3,1)),"▼",""))</f>
        <v/>
      </c>
      <c r="V63" s="31" t="str">
        <f aca="false">IF(OR($AG63=0,V$3=""),"",IF(AND(INDEX(工程マスタ!$I:$I,$AG63)="○",$E63&gt;=V$3,$E63&lt;EDATE(V$3,1)),"▼",""))</f>
        <v/>
      </c>
      <c r="W63" s="31" t="str">
        <f aca="false">IF(OR($AG63=0,W$3=""),"",IF(AND(INDEX(工程マスタ!$I:$I,$AG63)="○",$E63&gt;=W$3,$E63&lt;EDATE(W$3,1)),"▼",""))</f>
        <v/>
      </c>
      <c r="X63" s="31" t="str">
        <f aca="false">IF(OR($AG63=0,X$3=""),"",IF(AND(INDEX(工程マスタ!$I:$I,$AG63)="○",$E63&gt;=X$3,$E63&lt;EDATE(X$3,1)),"▼",""))</f>
        <v/>
      </c>
      <c r="Y63" s="31" t="str">
        <f aca="false">IF(OR($AG63=0,Y$3=""),"",IF(AND(INDEX(工程マスタ!$I:$I,$AG63)="○",$E63&gt;=Y$3,$E63&lt;EDATE(Y$3,1)),"▼",""))</f>
        <v/>
      </c>
      <c r="Z63" s="31" t="str">
        <f aca="false">IF(OR($AG63=0,Z$3=""),"",IF(AND(INDEX(工程マスタ!$I:$I,$AG63)="○",$E63&gt;=Z$3,$E63&lt;EDATE(Z$3,1)),"▼",""))</f>
        <v/>
      </c>
      <c r="AA63" s="31" t="str">
        <f aca="false">IF(OR($AG63=0,AA$3=""),"",IF(AND(INDEX(工程マスタ!$I:$I,$AG63)="○",$E63&gt;=AA$3,$E63&lt;EDATE(AA$3,1)),"▼",""))</f>
        <v/>
      </c>
      <c r="AB63" s="31" t="str">
        <f aca="false">IF(OR($AG63=0,AB$3=""),"",IF(AND(INDEX(工程マスタ!$I:$I,$AG63)="○",$E63&gt;=AB$3,$E63&lt;EDATE(AB$3,1)),"▼",""))</f>
        <v/>
      </c>
      <c r="AC63" s="31" t="str">
        <f aca="false">IF(OR($AG63=0,AC$3=""),"",IF(AND(INDEX(工程マスタ!$I:$I,$AG63)="○",$E63&gt;=AC$3,$E63&lt;EDATE(AC$3,1)),"▼",""))</f>
        <v/>
      </c>
      <c r="AD63" s="31" t="str">
        <f aca="false">IF(OR($AG63=0,AD$3=""),"",IF(AND(INDEX(工程マスタ!$I:$I,$AG63)="○",$E63&gt;=AD$3,$E63&lt;EDATE(AD$3,1)),"▼",""))</f>
        <v/>
      </c>
      <c r="AE63" s="31" t="str">
        <f aca="false">IF(OR($AG63=0,AE$3=""),"",IF(AND(INDEX(工程マスタ!$I:$I,$AG63)="○",$E63&gt;=AE$3,$E63&lt;EDATE(AE$3,1)),"▼",""))</f>
        <v/>
      </c>
      <c r="AG63" s="27" t="n">
        <f aca="false" t="array" ref="AG63:AG63">IFERROR(SMALL(IF(工程マスタ!$K$5:$K$154&gt;0,ROW(工程マスタ!$C$5:$C$154)),58),0)</f>
        <v>0</v>
      </c>
      <c r="AH63" s="27" t="n">
        <f aca="false">IF($AG63=0,0,INDEX(工程マスタ!$M:$M,$AG63))</f>
        <v>0</v>
      </c>
    </row>
    <row r="64" customFormat="false" ht="15" hidden="false" customHeight="false" outlineLevel="0" collapsed="false">
      <c r="A64" s="28" t="str">
        <f aca="false">IF($AG64=0,"",IF(INDEX(工程マスタ!$A:$A,$AG64)="","",INDEX(工程マスタ!$A:$A,$AG64)))</f>
        <v/>
      </c>
      <c r="B64" s="21" t="str">
        <f aca="false">IF($AG64=0,"",IF(INDEX(工程マスタ!$B:$B,$AG64)="","",INDEX(工程マスタ!$B:$B,$AG64)))</f>
        <v/>
      </c>
      <c r="C64" s="21" t="str">
        <f aca="false">IF($AG64=0,"",IF(INDEX(工程マスタ!$C:$C,$AG64)="","",INDEX(工程マスタ!$C:$C,$AG64)))</f>
        <v/>
      </c>
      <c r="D64" s="21" t="str">
        <f aca="false">IF($AG64=0,"",IF(INDEX(工程マスタ!$D:$D,$AG64)="","",INDEX(工程マスタ!$D:$D,$AG64)))</f>
        <v/>
      </c>
      <c r="E64" s="29" t="str">
        <f aca="false">IF($AG64=0,"",IF(INDEX(工程マスタ!$E:$E,$AG64)="","",INDEX(工程マスタ!$E:$E,$AG64)))</f>
        <v/>
      </c>
      <c r="F64" s="29" t="str">
        <f aca="false">IF($AG64=0,"",IF(INDEX(工程マスタ!$F:$F,$AG64)="","",INDEX(工程マスタ!$F:$F,$AG64)))</f>
        <v/>
      </c>
      <c r="G64" s="30" t="str">
        <f aca="false">IF($AG64=0,"",IF(INDEX(工程マスタ!$H:$H,$AG64)="","",INDEX(工程マスタ!$H:$H,$AG64)))</f>
        <v/>
      </c>
      <c r="H64" s="31" t="str">
        <f aca="false">IF(OR($AG64=0,H$3=""),"",IF(AND(INDEX(工程マスタ!$I:$I,$AG64)="○",$E64&gt;=H$3,$E64&lt;EDATE(H$3,1)),"▼",""))</f>
        <v/>
      </c>
      <c r="I64" s="31" t="str">
        <f aca="false">IF(OR($AG64=0,I$3=""),"",IF(AND(INDEX(工程マスタ!$I:$I,$AG64)="○",$E64&gt;=I$3,$E64&lt;EDATE(I$3,1)),"▼",""))</f>
        <v/>
      </c>
      <c r="J64" s="31" t="str">
        <f aca="false">IF(OR($AG64=0,J$3=""),"",IF(AND(INDEX(工程マスタ!$I:$I,$AG64)="○",$E64&gt;=J$3,$E64&lt;EDATE(J$3,1)),"▼",""))</f>
        <v/>
      </c>
      <c r="K64" s="31" t="str">
        <f aca="false">IF(OR($AG64=0,K$3=""),"",IF(AND(INDEX(工程マスタ!$I:$I,$AG64)="○",$E64&gt;=K$3,$E64&lt;EDATE(K$3,1)),"▼",""))</f>
        <v/>
      </c>
      <c r="L64" s="31" t="str">
        <f aca="false">IF(OR($AG64=0,L$3=""),"",IF(AND(INDEX(工程マスタ!$I:$I,$AG64)="○",$E64&gt;=L$3,$E64&lt;EDATE(L$3,1)),"▼",""))</f>
        <v/>
      </c>
      <c r="M64" s="31" t="str">
        <f aca="false">IF(OR($AG64=0,M$3=""),"",IF(AND(INDEX(工程マスタ!$I:$I,$AG64)="○",$E64&gt;=M$3,$E64&lt;EDATE(M$3,1)),"▼",""))</f>
        <v/>
      </c>
      <c r="N64" s="31" t="str">
        <f aca="false">IF(OR($AG64=0,N$3=""),"",IF(AND(INDEX(工程マスタ!$I:$I,$AG64)="○",$E64&gt;=N$3,$E64&lt;EDATE(N$3,1)),"▼",""))</f>
        <v/>
      </c>
      <c r="O64" s="31" t="str">
        <f aca="false">IF(OR($AG64=0,O$3=""),"",IF(AND(INDEX(工程マスタ!$I:$I,$AG64)="○",$E64&gt;=O$3,$E64&lt;EDATE(O$3,1)),"▼",""))</f>
        <v/>
      </c>
      <c r="P64" s="31" t="str">
        <f aca="false">IF(OR($AG64=0,P$3=""),"",IF(AND(INDEX(工程マスタ!$I:$I,$AG64)="○",$E64&gt;=P$3,$E64&lt;EDATE(P$3,1)),"▼",""))</f>
        <v/>
      </c>
      <c r="Q64" s="31" t="str">
        <f aca="false">IF(OR($AG64=0,Q$3=""),"",IF(AND(INDEX(工程マスタ!$I:$I,$AG64)="○",$E64&gt;=Q$3,$E64&lt;EDATE(Q$3,1)),"▼",""))</f>
        <v/>
      </c>
      <c r="R64" s="31" t="str">
        <f aca="false">IF(OR($AG64=0,R$3=""),"",IF(AND(INDEX(工程マスタ!$I:$I,$AG64)="○",$E64&gt;=R$3,$E64&lt;EDATE(R$3,1)),"▼",""))</f>
        <v/>
      </c>
      <c r="S64" s="31" t="str">
        <f aca="false">IF(OR($AG64=0,S$3=""),"",IF(AND(INDEX(工程マスタ!$I:$I,$AG64)="○",$E64&gt;=S$3,$E64&lt;EDATE(S$3,1)),"▼",""))</f>
        <v/>
      </c>
      <c r="T64" s="31" t="str">
        <f aca="false">IF(OR($AG64=0,T$3=""),"",IF(AND(INDEX(工程マスタ!$I:$I,$AG64)="○",$E64&gt;=T$3,$E64&lt;EDATE(T$3,1)),"▼",""))</f>
        <v/>
      </c>
      <c r="U64" s="31" t="str">
        <f aca="false">IF(OR($AG64=0,U$3=""),"",IF(AND(INDEX(工程マスタ!$I:$I,$AG64)="○",$E64&gt;=U$3,$E64&lt;EDATE(U$3,1)),"▼",""))</f>
        <v/>
      </c>
      <c r="V64" s="31" t="str">
        <f aca="false">IF(OR($AG64=0,V$3=""),"",IF(AND(INDEX(工程マスタ!$I:$I,$AG64)="○",$E64&gt;=V$3,$E64&lt;EDATE(V$3,1)),"▼",""))</f>
        <v/>
      </c>
      <c r="W64" s="31" t="str">
        <f aca="false">IF(OR($AG64=0,W$3=""),"",IF(AND(INDEX(工程マスタ!$I:$I,$AG64)="○",$E64&gt;=W$3,$E64&lt;EDATE(W$3,1)),"▼",""))</f>
        <v/>
      </c>
      <c r="X64" s="31" t="str">
        <f aca="false">IF(OR($AG64=0,X$3=""),"",IF(AND(INDEX(工程マスタ!$I:$I,$AG64)="○",$E64&gt;=X$3,$E64&lt;EDATE(X$3,1)),"▼",""))</f>
        <v/>
      </c>
      <c r="Y64" s="31" t="str">
        <f aca="false">IF(OR($AG64=0,Y$3=""),"",IF(AND(INDEX(工程マスタ!$I:$I,$AG64)="○",$E64&gt;=Y$3,$E64&lt;EDATE(Y$3,1)),"▼",""))</f>
        <v/>
      </c>
      <c r="Z64" s="31" t="str">
        <f aca="false">IF(OR($AG64=0,Z$3=""),"",IF(AND(INDEX(工程マスタ!$I:$I,$AG64)="○",$E64&gt;=Z$3,$E64&lt;EDATE(Z$3,1)),"▼",""))</f>
        <v/>
      </c>
      <c r="AA64" s="31" t="str">
        <f aca="false">IF(OR($AG64=0,AA$3=""),"",IF(AND(INDEX(工程マスタ!$I:$I,$AG64)="○",$E64&gt;=AA$3,$E64&lt;EDATE(AA$3,1)),"▼",""))</f>
        <v/>
      </c>
      <c r="AB64" s="31" t="str">
        <f aca="false">IF(OR($AG64=0,AB$3=""),"",IF(AND(INDEX(工程マスタ!$I:$I,$AG64)="○",$E64&gt;=AB$3,$E64&lt;EDATE(AB$3,1)),"▼",""))</f>
        <v/>
      </c>
      <c r="AC64" s="31" t="str">
        <f aca="false">IF(OR($AG64=0,AC$3=""),"",IF(AND(INDEX(工程マスタ!$I:$I,$AG64)="○",$E64&gt;=AC$3,$E64&lt;EDATE(AC$3,1)),"▼",""))</f>
        <v/>
      </c>
      <c r="AD64" s="31" t="str">
        <f aca="false">IF(OR($AG64=0,AD$3=""),"",IF(AND(INDEX(工程マスタ!$I:$I,$AG64)="○",$E64&gt;=AD$3,$E64&lt;EDATE(AD$3,1)),"▼",""))</f>
        <v/>
      </c>
      <c r="AE64" s="31" t="str">
        <f aca="false">IF(OR($AG64=0,AE$3=""),"",IF(AND(INDEX(工程マスタ!$I:$I,$AG64)="○",$E64&gt;=AE$3,$E64&lt;EDATE(AE$3,1)),"▼",""))</f>
        <v/>
      </c>
      <c r="AG64" s="27" t="n">
        <f aca="false" t="array" ref="AG64:AG64">IFERROR(SMALL(IF(工程マスタ!$K$5:$K$154&gt;0,ROW(工程マスタ!$C$5:$C$154)),59),0)</f>
        <v>0</v>
      </c>
      <c r="AH64" s="27" t="n">
        <f aca="false">IF($AG64=0,0,INDEX(工程マスタ!$M:$M,$AG64))</f>
        <v>0</v>
      </c>
    </row>
    <row r="65" customFormat="false" ht="15" hidden="false" customHeight="false" outlineLevel="0" collapsed="false">
      <c r="A65" s="28" t="str">
        <f aca="false">IF($AG65=0,"",IF(INDEX(工程マスタ!$A:$A,$AG65)="","",INDEX(工程マスタ!$A:$A,$AG65)))</f>
        <v/>
      </c>
      <c r="B65" s="21" t="str">
        <f aca="false">IF($AG65=0,"",IF(INDEX(工程マスタ!$B:$B,$AG65)="","",INDEX(工程マスタ!$B:$B,$AG65)))</f>
        <v/>
      </c>
      <c r="C65" s="21" t="str">
        <f aca="false">IF($AG65=0,"",IF(INDEX(工程マスタ!$C:$C,$AG65)="","",INDEX(工程マスタ!$C:$C,$AG65)))</f>
        <v/>
      </c>
      <c r="D65" s="21" t="str">
        <f aca="false">IF($AG65=0,"",IF(INDEX(工程マスタ!$D:$D,$AG65)="","",INDEX(工程マスタ!$D:$D,$AG65)))</f>
        <v/>
      </c>
      <c r="E65" s="29" t="str">
        <f aca="false">IF($AG65=0,"",IF(INDEX(工程マスタ!$E:$E,$AG65)="","",INDEX(工程マスタ!$E:$E,$AG65)))</f>
        <v/>
      </c>
      <c r="F65" s="29" t="str">
        <f aca="false">IF($AG65=0,"",IF(INDEX(工程マスタ!$F:$F,$AG65)="","",INDEX(工程マスタ!$F:$F,$AG65)))</f>
        <v/>
      </c>
      <c r="G65" s="30" t="str">
        <f aca="false">IF($AG65=0,"",IF(INDEX(工程マスタ!$H:$H,$AG65)="","",INDEX(工程マスタ!$H:$H,$AG65)))</f>
        <v/>
      </c>
      <c r="H65" s="31" t="str">
        <f aca="false">IF(OR($AG65=0,H$3=""),"",IF(AND(INDEX(工程マスタ!$I:$I,$AG65)="○",$E65&gt;=H$3,$E65&lt;EDATE(H$3,1)),"▼",""))</f>
        <v/>
      </c>
      <c r="I65" s="31" t="str">
        <f aca="false">IF(OR($AG65=0,I$3=""),"",IF(AND(INDEX(工程マスタ!$I:$I,$AG65)="○",$E65&gt;=I$3,$E65&lt;EDATE(I$3,1)),"▼",""))</f>
        <v/>
      </c>
      <c r="J65" s="31" t="str">
        <f aca="false">IF(OR($AG65=0,J$3=""),"",IF(AND(INDEX(工程マスタ!$I:$I,$AG65)="○",$E65&gt;=J$3,$E65&lt;EDATE(J$3,1)),"▼",""))</f>
        <v/>
      </c>
      <c r="K65" s="31" t="str">
        <f aca="false">IF(OR($AG65=0,K$3=""),"",IF(AND(INDEX(工程マスタ!$I:$I,$AG65)="○",$E65&gt;=K$3,$E65&lt;EDATE(K$3,1)),"▼",""))</f>
        <v/>
      </c>
      <c r="L65" s="31" t="str">
        <f aca="false">IF(OR($AG65=0,L$3=""),"",IF(AND(INDEX(工程マスタ!$I:$I,$AG65)="○",$E65&gt;=L$3,$E65&lt;EDATE(L$3,1)),"▼",""))</f>
        <v/>
      </c>
      <c r="M65" s="31" t="str">
        <f aca="false">IF(OR($AG65=0,M$3=""),"",IF(AND(INDEX(工程マスタ!$I:$I,$AG65)="○",$E65&gt;=M$3,$E65&lt;EDATE(M$3,1)),"▼",""))</f>
        <v/>
      </c>
      <c r="N65" s="31" t="str">
        <f aca="false">IF(OR($AG65=0,N$3=""),"",IF(AND(INDEX(工程マスタ!$I:$I,$AG65)="○",$E65&gt;=N$3,$E65&lt;EDATE(N$3,1)),"▼",""))</f>
        <v/>
      </c>
      <c r="O65" s="31" t="str">
        <f aca="false">IF(OR($AG65=0,O$3=""),"",IF(AND(INDEX(工程マスタ!$I:$I,$AG65)="○",$E65&gt;=O$3,$E65&lt;EDATE(O$3,1)),"▼",""))</f>
        <v/>
      </c>
      <c r="P65" s="31" t="str">
        <f aca="false">IF(OR($AG65=0,P$3=""),"",IF(AND(INDEX(工程マスタ!$I:$I,$AG65)="○",$E65&gt;=P$3,$E65&lt;EDATE(P$3,1)),"▼",""))</f>
        <v/>
      </c>
      <c r="Q65" s="31" t="str">
        <f aca="false">IF(OR($AG65=0,Q$3=""),"",IF(AND(INDEX(工程マスタ!$I:$I,$AG65)="○",$E65&gt;=Q$3,$E65&lt;EDATE(Q$3,1)),"▼",""))</f>
        <v/>
      </c>
      <c r="R65" s="31" t="str">
        <f aca="false">IF(OR($AG65=0,R$3=""),"",IF(AND(INDEX(工程マスタ!$I:$I,$AG65)="○",$E65&gt;=R$3,$E65&lt;EDATE(R$3,1)),"▼",""))</f>
        <v/>
      </c>
      <c r="S65" s="31" t="str">
        <f aca="false">IF(OR($AG65=0,S$3=""),"",IF(AND(INDEX(工程マスタ!$I:$I,$AG65)="○",$E65&gt;=S$3,$E65&lt;EDATE(S$3,1)),"▼",""))</f>
        <v/>
      </c>
      <c r="T65" s="31" t="str">
        <f aca="false">IF(OR($AG65=0,T$3=""),"",IF(AND(INDEX(工程マスタ!$I:$I,$AG65)="○",$E65&gt;=T$3,$E65&lt;EDATE(T$3,1)),"▼",""))</f>
        <v/>
      </c>
      <c r="U65" s="31" t="str">
        <f aca="false">IF(OR($AG65=0,U$3=""),"",IF(AND(INDEX(工程マスタ!$I:$I,$AG65)="○",$E65&gt;=U$3,$E65&lt;EDATE(U$3,1)),"▼",""))</f>
        <v/>
      </c>
      <c r="V65" s="31" t="str">
        <f aca="false">IF(OR($AG65=0,V$3=""),"",IF(AND(INDEX(工程マスタ!$I:$I,$AG65)="○",$E65&gt;=V$3,$E65&lt;EDATE(V$3,1)),"▼",""))</f>
        <v/>
      </c>
      <c r="W65" s="31" t="str">
        <f aca="false">IF(OR($AG65=0,W$3=""),"",IF(AND(INDEX(工程マスタ!$I:$I,$AG65)="○",$E65&gt;=W$3,$E65&lt;EDATE(W$3,1)),"▼",""))</f>
        <v/>
      </c>
      <c r="X65" s="31" t="str">
        <f aca="false">IF(OR($AG65=0,X$3=""),"",IF(AND(INDEX(工程マスタ!$I:$I,$AG65)="○",$E65&gt;=X$3,$E65&lt;EDATE(X$3,1)),"▼",""))</f>
        <v/>
      </c>
      <c r="Y65" s="31" t="str">
        <f aca="false">IF(OR($AG65=0,Y$3=""),"",IF(AND(INDEX(工程マスタ!$I:$I,$AG65)="○",$E65&gt;=Y$3,$E65&lt;EDATE(Y$3,1)),"▼",""))</f>
        <v/>
      </c>
      <c r="Z65" s="31" t="str">
        <f aca="false">IF(OR($AG65=0,Z$3=""),"",IF(AND(INDEX(工程マスタ!$I:$I,$AG65)="○",$E65&gt;=Z$3,$E65&lt;EDATE(Z$3,1)),"▼",""))</f>
        <v/>
      </c>
      <c r="AA65" s="31" t="str">
        <f aca="false">IF(OR($AG65=0,AA$3=""),"",IF(AND(INDEX(工程マスタ!$I:$I,$AG65)="○",$E65&gt;=AA$3,$E65&lt;EDATE(AA$3,1)),"▼",""))</f>
        <v/>
      </c>
      <c r="AB65" s="31" t="str">
        <f aca="false">IF(OR($AG65=0,AB$3=""),"",IF(AND(INDEX(工程マスタ!$I:$I,$AG65)="○",$E65&gt;=AB$3,$E65&lt;EDATE(AB$3,1)),"▼",""))</f>
        <v/>
      </c>
      <c r="AC65" s="31" t="str">
        <f aca="false">IF(OR($AG65=0,AC$3=""),"",IF(AND(INDEX(工程マスタ!$I:$I,$AG65)="○",$E65&gt;=AC$3,$E65&lt;EDATE(AC$3,1)),"▼",""))</f>
        <v/>
      </c>
      <c r="AD65" s="31" t="str">
        <f aca="false">IF(OR($AG65=0,AD$3=""),"",IF(AND(INDEX(工程マスタ!$I:$I,$AG65)="○",$E65&gt;=AD$3,$E65&lt;EDATE(AD$3,1)),"▼",""))</f>
        <v/>
      </c>
      <c r="AE65" s="31" t="str">
        <f aca="false">IF(OR($AG65=0,AE$3=""),"",IF(AND(INDEX(工程マスタ!$I:$I,$AG65)="○",$E65&gt;=AE$3,$E65&lt;EDATE(AE$3,1)),"▼",""))</f>
        <v/>
      </c>
      <c r="AG65" s="27" t="n">
        <f aca="false" t="array" ref="AG65:AG65">IFERROR(SMALL(IF(工程マスタ!$K$5:$K$154&gt;0,ROW(工程マスタ!$C$5:$C$154)),60),0)</f>
        <v>0</v>
      </c>
      <c r="AH65" s="27" t="n">
        <f aca="false">IF($AG65=0,0,INDEX(工程マスタ!$M:$M,$AG65))</f>
        <v>0</v>
      </c>
    </row>
    <row r="66" customFormat="false" ht="15" hidden="false" customHeight="false" outlineLevel="0" collapsed="false">
      <c r="A66" s="28" t="str">
        <f aca="false">IF($AG66=0,"",IF(INDEX(工程マスタ!$A:$A,$AG66)="","",INDEX(工程マスタ!$A:$A,$AG66)))</f>
        <v/>
      </c>
      <c r="B66" s="21" t="str">
        <f aca="false">IF($AG66=0,"",IF(INDEX(工程マスタ!$B:$B,$AG66)="","",INDEX(工程マスタ!$B:$B,$AG66)))</f>
        <v/>
      </c>
      <c r="C66" s="21" t="str">
        <f aca="false">IF($AG66=0,"",IF(INDEX(工程マスタ!$C:$C,$AG66)="","",INDEX(工程マスタ!$C:$C,$AG66)))</f>
        <v/>
      </c>
      <c r="D66" s="21" t="str">
        <f aca="false">IF($AG66=0,"",IF(INDEX(工程マスタ!$D:$D,$AG66)="","",INDEX(工程マスタ!$D:$D,$AG66)))</f>
        <v/>
      </c>
      <c r="E66" s="29" t="str">
        <f aca="false">IF($AG66=0,"",IF(INDEX(工程マスタ!$E:$E,$AG66)="","",INDEX(工程マスタ!$E:$E,$AG66)))</f>
        <v/>
      </c>
      <c r="F66" s="29" t="str">
        <f aca="false">IF($AG66=0,"",IF(INDEX(工程マスタ!$F:$F,$AG66)="","",INDEX(工程マスタ!$F:$F,$AG66)))</f>
        <v/>
      </c>
      <c r="G66" s="30" t="str">
        <f aca="false">IF($AG66=0,"",IF(INDEX(工程マスタ!$H:$H,$AG66)="","",INDEX(工程マスタ!$H:$H,$AG66)))</f>
        <v/>
      </c>
      <c r="H66" s="31" t="str">
        <f aca="false">IF(OR($AG66=0,H$3=""),"",IF(AND(INDEX(工程マスタ!$I:$I,$AG66)="○",$E66&gt;=H$3,$E66&lt;EDATE(H$3,1)),"▼",""))</f>
        <v/>
      </c>
      <c r="I66" s="31" t="str">
        <f aca="false">IF(OR($AG66=0,I$3=""),"",IF(AND(INDEX(工程マスタ!$I:$I,$AG66)="○",$E66&gt;=I$3,$E66&lt;EDATE(I$3,1)),"▼",""))</f>
        <v/>
      </c>
      <c r="J66" s="31" t="str">
        <f aca="false">IF(OR($AG66=0,J$3=""),"",IF(AND(INDEX(工程マスタ!$I:$I,$AG66)="○",$E66&gt;=J$3,$E66&lt;EDATE(J$3,1)),"▼",""))</f>
        <v/>
      </c>
      <c r="K66" s="31" t="str">
        <f aca="false">IF(OR($AG66=0,K$3=""),"",IF(AND(INDEX(工程マスタ!$I:$I,$AG66)="○",$E66&gt;=K$3,$E66&lt;EDATE(K$3,1)),"▼",""))</f>
        <v/>
      </c>
      <c r="L66" s="31" t="str">
        <f aca="false">IF(OR($AG66=0,L$3=""),"",IF(AND(INDEX(工程マスタ!$I:$I,$AG66)="○",$E66&gt;=L$3,$E66&lt;EDATE(L$3,1)),"▼",""))</f>
        <v/>
      </c>
      <c r="M66" s="31" t="str">
        <f aca="false">IF(OR($AG66=0,M$3=""),"",IF(AND(INDEX(工程マスタ!$I:$I,$AG66)="○",$E66&gt;=M$3,$E66&lt;EDATE(M$3,1)),"▼",""))</f>
        <v/>
      </c>
      <c r="N66" s="31" t="str">
        <f aca="false">IF(OR($AG66=0,N$3=""),"",IF(AND(INDEX(工程マスタ!$I:$I,$AG66)="○",$E66&gt;=N$3,$E66&lt;EDATE(N$3,1)),"▼",""))</f>
        <v/>
      </c>
      <c r="O66" s="31" t="str">
        <f aca="false">IF(OR($AG66=0,O$3=""),"",IF(AND(INDEX(工程マスタ!$I:$I,$AG66)="○",$E66&gt;=O$3,$E66&lt;EDATE(O$3,1)),"▼",""))</f>
        <v/>
      </c>
      <c r="P66" s="31" t="str">
        <f aca="false">IF(OR($AG66=0,P$3=""),"",IF(AND(INDEX(工程マスタ!$I:$I,$AG66)="○",$E66&gt;=P$3,$E66&lt;EDATE(P$3,1)),"▼",""))</f>
        <v/>
      </c>
      <c r="Q66" s="31" t="str">
        <f aca="false">IF(OR($AG66=0,Q$3=""),"",IF(AND(INDEX(工程マスタ!$I:$I,$AG66)="○",$E66&gt;=Q$3,$E66&lt;EDATE(Q$3,1)),"▼",""))</f>
        <v/>
      </c>
      <c r="R66" s="31" t="str">
        <f aca="false">IF(OR($AG66=0,R$3=""),"",IF(AND(INDEX(工程マスタ!$I:$I,$AG66)="○",$E66&gt;=R$3,$E66&lt;EDATE(R$3,1)),"▼",""))</f>
        <v/>
      </c>
      <c r="S66" s="31" t="str">
        <f aca="false">IF(OR($AG66=0,S$3=""),"",IF(AND(INDEX(工程マスタ!$I:$I,$AG66)="○",$E66&gt;=S$3,$E66&lt;EDATE(S$3,1)),"▼",""))</f>
        <v/>
      </c>
      <c r="T66" s="31" t="str">
        <f aca="false">IF(OR($AG66=0,T$3=""),"",IF(AND(INDEX(工程マスタ!$I:$I,$AG66)="○",$E66&gt;=T$3,$E66&lt;EDATE(T$3,1)),"▼",""))</f>
        <v/>
      </c>
      <c r="U66" s="31" t="str">
        <f aca="false">IF(OR($AG66=0,U$3=""),"",IF(AND(INDEX(工程マスタ!$I:$I,$AG66)="○",$E66&gt;=U$3,$E66&lt;EDATE(U$3,1)),"▼",""))</f>
        <v/>
      </c>
      <c r="V66" s="31" t="str">
        <f aca="false">IF(OR($AG66=0,V$3=""),"",IF(AND(INDEX(工程マスタ!$I:$I,$AG66)="○",$E66&gt;=V$3,$E66&lt;EDATE(V$3,1)),"▼",""))</f>
        <v/>
      </c>
      <c r="W66" s="31" t="str">
        <f aca="false">IF(OR($AG66=0,W$3=""),"",IF(AND(INDEX(工程マスタ!$I:$I,$AG66)="○",$E66&gt;=W$3,$E66&lt;EDATE(W$3,1)),"▼",""))</f>
        <v/>
      </c>
      <c r="X66" s="31" t="str">
        <f aca="false">IF(OR($AG66=0,X$3=""),"",IF(AND(INDEX(工程マスタ!$I:$I,$AG66)="○",$E66&gt;=X$3,$E66&lt;EDATE(X$3,1)),"▼",""))</f>
        <v/>
      </c>
      <c r="Y66" s="31" t="str">
        <f aca="false">IF(OR($AG66=0,Y$3=""),"",IF(AND(INDEX(工程マスタ!$I:$I,$AG66)="○",$E66&gt;=Y$3,$E66&lt;EDATE(Y$3,1)),"▼",""))</f>
        <v/>
      </c>
      <c r="Z66" s="31" t="str">
        <f aca="false">IF(OR($AG66=0,Z$3=""),"",IF(AND(INDEX(工程マスタ!$I:$I,$AG66)="○",$E66&gt;=Z$3,$E66&lt;EDATE(Z$3,1)),"▼",""))</f>
        <v/>
      </c>
      <c r="AA66" s="31" t="str">
        <f aca="false">IF(OR($AG66=0,AA$3=""),"",IF(AND(INDEX(工程マスタ!$I:$I,$AG66)="○",$E66&gt;=AA$3,$E66&lt;EDATE(AA$3,1)),"▼",""))</f>
        <v/>
      </c>
      <c r="AB66" s="31" t="str">
        <f aca="false">IF(OR($AG66=0,AB$3=""),"",IF(AND(INDEX(工程マスタ!$I:$I,$AG66)="○",$E66&gt;=AB$3,$E66&lt;EDATE(AB$3,1)),"▼",""))</f>
        <v/>
      </c>
      <c r="AC66" s="31" t="str">
        <f aca="false">IF(OR($AG66=0,AC$3=""),"",IF(AND(INDEX(工程マスタ!$I:$I,$AG66)="○",$E66&gt;=AC$3,$E66&lt;EDATE(AC$3,1)),"▼",""))</f>
        <v/>
      </c>
      <c r="AD66" s="31" t="str">
        <f aca="false">IF(OR($AG66=0,AD$3=""),"",IF(AND(INDEX(工程マスタ!$I:$I,$AG66)="○",$E66&gt;=AD$3,$E66&lt;EDATE(AD$3,1)),"▼",""))</f>
        <v/>
      </c>
      <c r="AE66" s="31" t="str">
        <f aca="false">IF(OR($AG66=0,AE$3=""),"",IF(AND(INDEX(工程マスタ!$I:$I,$AG66)="○",$E66&gt;=AE$3,$E66&lt;EDATE(AE$3,1)),"▼",""))</f>
        <v/>
      </c>
      <c r="AG66" s="27" t="n">
        <f aca="false" t="array" ref="AG66:AG66">IFERROR(SMALL(IF(工程マスタ!$K$5:$K$154&gt;0,ROW(工程マスタ!$C$5:$C$154)),61),0)</f>
        <v>0</v>
      </c>
      <c r="AH66" s="27" t="n">
        <f aca="false">IF($AG66=0,0,INDEX(工程マスタ!$M:$M,$AG66))</f>
        <v>0</v>
      </c>
    </row>
    <row r="67" customFormat="false" ht="15" hidden="false" customHeight="false" outlineLevel="0" collapsed="false">
      <c r="A67" s="28" t="str">
        <f aca="false">IF($AG67=0,"",IF(INDEX(工程マスタ!$A:$A,$AG67)="","",INDEX(工程マスタ!$A:$A,$AG67)))</f>
        <v/>
      </c>
      <c r="B67" s="21" t="str">
        <f aca="false">IF($AG67=0,"",IF(INDEX(工程マスタ!$B:$B,$AG67)="","",INDEX(工程マスタ!$B:$B,$AG67)))</f>
        <v/>
      </c>
      <c r="C67" s="21" t="str">
        <f aca="false">IF($AG67=0,"",IF(INDEX(工程マスタ!$C:$C,$AG67)="","",INDEX(工程マスタ!$C:$C,$AG67)))</f>
        <v/>
      </c>
      <c r="D67" s="21" t="str">
        <f aca="false">IF($AG67=0,"",IF(INDEX(工程マスタ!$D:$D,$AG67)="","",INDEX(工程マスタ!$D:$D,$AG67)))</f>
        <v/>
      </c>
      <c r="E67" s="29" t="str">
        <f aca="false">IF($AG67=0,"",IF(INDEX(工程マスタ!$E:$E,$AG67)="","",INDEX(工程マスタ!$E:$E,$AG67)))</f>
        <v/>
      </c>
      <c r="F67" s="29" t="str">
        <f aca="false">IF($AG67=0,"",IF(INDEX(工程マスタ!$F:$F,$AG67)="","",INDEX(工程マスタ!$F:$F,$AG67)))</f>
        <v/>
      </c>
      <c r="G67" s="30" t="str">
        <f aca="false">IF($AG67=0,"",IF(INDEX(工程マスタ!$H:$H,$AG67)="","",INDEX(工程マスタ!$H:$H,$AG67)))</f>
        <v/>
      </c>
      <c r="H67" s="31" t="str">
        <f aca="false">IF(OR($AG67=0,H$3=""),"",IF(AND(INDEX(工程マスタ!$I:$I,$AG67)="○",$E67&gt;=H$3,$E67&lt;EDATE(H$3,1)),"▼",""))</f>
        <v/>
      </c>
      <c r="I67" s="31" t="str">
        <f aca="false">IF(OR($AG67=0,I$3=""),"",IF(AND(INDEX(工程マスタ!$I:$I,$AG67)="○",$E67&gt;=I$3,$E67&lt;EDATE(I$3,1)),"▼",""))</f>
        <v/>
      </c>
      <c r="J67" s="31" t="str">
        <f aca="false">IF(OR($AG67=0,J$3=""),"",IF(AND(INDEX(工程マスタ!$I:$I,$AG67)="○",$E67&gt;=J$3,$E67&lt;EDATE(J$3,1)),"▼",""))</f>
        <v/>
      </c>
      <c r="K67" s="31" t="str">
        <f aca="false">IF(OR($AG67=0,K$3=""),"",IF(AND(INDEX(工程マスタ!$I:$I,$AG67)="○",$E67&gt;=K$3,$E67&lt;EDATE(K$3,1)),"▼",""))</f>
        <v/>
      </c>
      <c r="L67" s="31" t="str">
        <f aca="false">IF(OR($AG67=0,L$3=""),"",IF(AND(INDEX(工程マスタ!$I:$I,$AG67)="○",$E67&gt;=L$3,$E67&lt;EDATE(L$3,1)),"▼",""))</f>
        <v/>
      </c>
      <c r="M67" s="31" t="str">
        <f aca="false">IF(OR($AG67=0,M$3=""),"",IF(AND(INDEX(工程マスタ!$I:$I,$AG67)="○",$E67&gt;=M$3,$E67&lt;EDATE(M$3,1)),"▼",""))</f>
        <v/>
      </c>
      <c r="N67" s="31" t="str">
        <f aca="false">IF(OR($AG67=0,N$3=""),"",IF(AND(INDEX(工程マスタ!$I:$I,$AG67)="○",$E67&gt;=N$3,$E67&lt;EDATE(N$3,1)),"▼",""))</f>
        <v/>
      </c>
      <c r="O67" s="31" t="str">
        <f aca="false">IF(OR($AG67=0,O$3=""),"",IF(AND(INDEX(工程マスタ!$I:$I,$AG67)="○",$E67&gt;=O$3,$E67&lt;EDATE(O$3,1)),"▼",""))</f>
        <v/>
      </c>
      <c r="P67" s="31" t="str">
        <f aca="false">IF(OR($AG67=0,P$3=""),"",IF(AND(INDEX(工程マスタ!$I:$I,$AG67)="○",$E67&gt;=P$3,$E67&lt;EDATE(P$3,1)),"▼",""))</f>
        <v/>
      </c>
      <c r="Q67" s="31" t="str">
        <f aca="false">IF(OR($AG67=0,Q$3=""),"",IF(AND(INDEX(工程マスタ!$I:$I,$AG67)="○",$E67&gt;=Q$3,$E67&lt;EDATE(Q$3,1)),"▼",""))</f>
        <v/>
      </c>
      <c r="R67" s="31" t="str">
        <f aca="false">IF(OR($AG67=0,R$3=""),"",IF(AND(INDEX(工程マスタ!$I:$I,$AG67)="○",$E67&gt;=R$3,$E67&lt;EDATE(R$3,1)),"▼",""))</f>
        <v/>
      </c>
      <c r="S67" s="31" t="str">
        <f aca="false">IF(OR($AG67=0,S$3=""),"",IF(AND(INDEX(工程マスタ!$I:$I,$AG67)="○",$E67&gt;=S$3,$E67&lt;EDATE(S$3,1)),"▼",""))</f>
        <v/>
      </c>
      <c r="T67" s="31" t="str">
        <f aca="false">IF(OR($AG67=0,T$3=""),"",IF(AND(INDEX(工程マスタ!$I:$I,$AG67)="○",$E67&gt;=T$3,$E67&lt;EDATE(T$3,1)),"▼",""))</f>
        <v/>
      </c>
      <c r="U67" s="31" t="str">
        <f aca="false">IF(OR($AG67=0,U$3=""),"",IF(AND(INDEX(工程マスタ!$I:$I,$AG67)="○",$E67&gt;=U$3,$E67&lt;EDATE(U$3,1)),"▼",""))</f>
        <v/>
      </c>
      <c r="V67" s="31" t="str">
        <f aca="false">IF(OR($AG67=0,V$3=""),"",IF(AND(INDEX(工程マスタ!$I:$I,$AG67)="○",$E67&gt;=V$3,$E67&lt;EDATE(V$3,1)),"▼",""))</f>
        <v/>
      </c>
      <c r="W67" s="31" t="str">
        <f aca="false">IF(OR($AG67=0,W$3=""),"",IF(AND(INDEX(工程マスタ!$I:$I,$AG67)="○",$E67&gt;=W$3,$E67&lt;EDATE(W$3,1)),"▼",""))</f>
        <v/>
      </c>
      <c r="X67" s="31" t="str">
        <f aca="false">IF(OR($AG67=0,X$3=""),"",IF(AND(INDEX(工程マスタ!$I:$I,$AG67)="○",$E67&gt;=X$3,$E67&lt;EDATE(X$3,1)),"▼",""))</f>
        <v/>
      </c>
      <c r="Y67" s="31" t="str">
        <f aca="false">IF(OR($AG67=0,Y$3=""),"",IF(AND(INDEX(工程マスタ!$I:$I,$AG67)="○",$E67&gt;=Y$3,$E67&lt;EDATE(Y$3,1)),"▼",""))</f>
        <v/>
      </c>
      <c r="Z67" s="31" t="str">
        <f aca="false">IF(OR($AG67=0,Z$3=""),"",IF(AND(INDEX(工程マスタ!$I:$I,$AG67)="○",$E67&gt;=Z$3,$E67&lt;EDATE(Z$3,1)),"▼",""))</f>
        <v/>
      </c>
      <c r="AA67" s="31" t="str">
        <f aca="false">IF(OR($AG67=0,AA$3=""),"",IF(AND(INDEX(工程マスタ!$I:$I,$AG67)="○",$E67&gt;=AA$3,$E67&lt;EDATE(AA$3,1)),"▼",""))</f>
        <v/>
      </c>
      <c r="AB67" s="31" t="str">
        <f aca="false">IF(OR($AG67=0,AB$3=""),"",IF(AND(INDEX(工程マスタ!$I:$I,$AG67)="○",$E67&gt;=AB$3,$E67&lt;EDATE(AB$3,1)),"▼",""))</f>
        <v/>
      </c>
      <c r="AC67" s="31" t="str">
        <f aca="false">IF(OR($AG67=0,AC$3=""),"",IF(AND(INDEX(工程マスタ!$I:$I,$AG67)="○",$E67&gt;=AC$3,$E67&lt;EDATE(AC$3,1)),"▼",""))</f>
        <v/>
      </c>
      <c r="AD67" s="31" t="str">
        <f aca="false">IF(OR($AG67=0,AD$3=""),"",IF(AND(INDEX(工程マスタ!$I:$I,$AG67)="○",$E67&gt;=AD$3,$E67&lt;EDATE(AD$3,1)),"▼",""))</f>
        <v/>
      </c>
      <c r="AE67" s="31" t="str">
        <f aca="false">IF(OR($AG67=0,AE$3=""),"",IF(AND(INDEX(工程マスタ!$I:$I,$AG67)="○",$E67&gt;=AE$3,$E67&lt;EDATE(AE$3,1)),"▼",""))</f>
        <v/>
      </c>
      <c r="AG67" s="27" t="n">
        <f aca="false" t="array" ref="AG67:AG67">IFERROR(SMALL(IF(工程マスタ!$K$5:$K$154&gt;0,ROW(工程マスタ!$C$5:$C$154)),62),0)</f>
        <v>0</v>
      </c>
      <c r="AH67" s="27" t="n">
        <f aca="false">IF($AG67=0,0,INDEX(工程マスタ!$M:$M,$AG67))</f>
        <v>0</v>
      </c>
    </row>
    <row r="68" customFormat="false" ht="15" hidden="false" customHeight="false" outlineLevel="0" collapsed="false">
      <c r="A68" s="28" t="str">
        <f aca="false">IF($AG68=0,"",IF(INDEX(工程マスタ!$A:$A,$AG68)="","",INDEX(工程マスタ!$A:$A,$AG68)))</f>
        <v/>
      </c>
      <c r="B68" s="21" t="str">
        <f aca="false">IF($AG68=0,"",IF(INDEX(工程マスタ!$B:$B,$AG68)="","",INDEX(工程マスタ!$B:$B,$AG68)))</f>
        <v/>
      </c>
      <c r="C68" s="21" t="str">
        <f aca="false">IF($AG68=0,"",IF(INDEX(工程マスタ!$C:$C,$AG68)="","",INDEX(工程マスタ!$C:$C,$AG68)))</f>
        <v/>
      </c>
      <c r="D68" s="21" t="str">
        <f aca="false">IF($AG68=0,"",IF(INDEX(工程マスタ!$D:$D,$AG68)="","",INDEX(工程マスタ!$D:$D,$AG68)))</f>
        <v/>
      </c>
      <c r="E68" s="29" t="str">
        <f aca="false">IF($AG68=0,"",IF(INDEX(工程マスタ!$E:$E,$AG68)="","",INDEX(工程マスタ!$E:$E,$AG68)))</f>
        <v/>
      </c>
      <c r="F68" s="29" t="str">
        <f aca="false">IF($AG68=0,"",IF(INDEX(工程マスタ!$F:$F,$AG68)="","",INDEX(工程マスタ!$F:$F,$AG68)))</f>
        <v/>
      </c>
      <c r="G68" s="30" t="str">
        <f aca="false">IF($AG68=0,"",IF(INDEX(工程マスタ!$H:$H,$AG68)="","",INDEX(工程マスタ!$H:$H,$AG68)))</f>
        <v/>
      </c>
      <c r="H68" s="31" t="str">
        <f aca="false">IF(OR($AG68=0,H$3=""),"",IF(AND(INDEX(工程マスタ!$I:$I,$AG68)="○",$E68&gt;=H$3,$E68&lt;EDATE(H$3,1)),"▼",""))</f>
        <v/>
      </c>
      <c r="I68" s="31" t="str">
        <f aca="false">IF(OR($AG68=0,I$3=""),"",IF(AND(INDEX(工程マスタ!$I:$I,$AG68)="○",$E68&gt;=I$3,$E68&lt;EDATE(I$3,1)),"▼",""))</f>
        <v/>
      </c>
      <c r="J68" s="31" t="str">
        <f aca="false">IF(OR($AG68=0,J$3=""),"",IF(AND(INDEX(工程マスタ!$I:$I,$AG68)="○",$E68&gt;=J$3,$E68&lt;EDATE(J$3,1)),"▼",""))</f>
        <v/>
      </c>
      <c r="K68" s="31" t="str">
        <f aca="false">IF(OR($AG68=0,K$3=""),"",IF(AND(INDEX(工程マスタ!$I:$I,$AG68)="○",$E68&gt;=K$3,$E68&lt;EDATE(K$3,1)),"▼",""))</f>
        <v/>
      </c>
      <c r="L68" s="31" t="str">
        <f aca="false">IF(OR($AG68=0,L$3=""),"",IF(AND(INDEX(工程マスタ!$I:$I,$AG68)="○",$E68&gt;=L$3,$E68&lt;EDATE(L$3,1)),"▼",""))</f>
        <v/>
      </c>
      <c r="M68" s="31" t="str">
        <f aca="false">IF(OR($AG68=0,M$3=""),"",IF(AND(INDEX(工程マスタ!$I:$I,$AG68)="○",$E68&gt;=M$3,$E68&lt;EDATE(M$3,1)),"▼",""))</f>
        <v/>
      </c>
      <c r="N68" s="31" t="str">
        <f aca="false">IF(OR($AG68=0,N$3=""),"",IF(AND(INDEX(工程マスタ!$I:$I,$AG68)="○",$E68&gt;=N$3,$E68&lt;EDATE(N$3,1)),"▼",""))</f>
        <v/>
      </c>
      <c r="O68" s="31" t="str">
        <f aca="false">IF(OR($AG68=0,O$3=""),"",IF(AND(INDEX(工程マスタ!$I:$I,$AG68)="○",$E68&gt;=O$3,$E68&lt;EDATE(O$3,1)),"▼",""))</f>
        <v/>
      </c>
      <c r="P68" s="31" t="str">
        <f aca="false">IF(OR($AG68=0,P$3=""),"",IF(AND(INDEX(工程マスタ!$I:$I,$AG68)="○",$E68&gt;=P$3,$E68&lt;EDATE(P$3,1)),"▼",""))</f>
        <v/>
      </c>
      <c r="Q68" s="31" t="str">
        <f aca="false">IF(OR($AG68=0,Q$3=""),"",IF(AND(INDEX(工程マスタ!$I:$I,$AG68)="○",$E68&gt;=Q$3,$E68&lt;EDATE(Q$3,1)),"▼",""))</f>
        <v/>
      </c>
      <c r="R68" s="31" t="str">
        <f aca="false">IF(OR($AG68=0,R$3=""),"",IF(AND(INDEX(工程マスタ!$I:$I,$AG68)="○",$E68&gt;=R$3,$E68&lt;EDATE(R$3,1)),"▼",""))</f>
        <v/>
      </c>
      <c r="S68" s="31" t="str">
        <f aca="false">IF(OR($AG68=0,S$3=""),"",IF(AND(INDEX(工程マスタ!$I:$I,$AG68)="○",$E68&gt;=S$3,$E68&lt;EDATE(S$3,1)),"▼",""))</f>
        <v/>
      </c>
      <c r="T68" s="31" t="str">
        <f aca="false">IF(OR($AG68=0,T$3=""),"",IF(AND(INDEX(工程マスタ!$I:$I,$AG68)="○",$E68&gt;=T$3,$E68&lt;EDATE(T$3,1)),"▼",""))</f>
        <v/>
      </c>
      <c r="U68" s="31" t="str">
        <f aca="false">IF(OR($AG68=0,U$3=""),"",IF(AND(INDEX(工程マスタ!$I:$I,$AG68)="○",$E68&gt;=U$3,$E68&lt;EDATE(U$3,1)),"▼",""))</f>
        <v/>
      </c>
      <c r="V68" s="31" t="str">
        <f aca="false">IF(OR($AG68=0,V$3=""),"",IF(AND(INDEX(工程マスタ!$I:$I,$AG68)="○",$E68&gt;=V$3,$E68&lt;EDATE(V$3,1)),"▼",""))</f>
        <v/>
      </c>
      <c r="W68" s="31" t="str">
        <f aca="false">IF(OR($AG68=0,W$3=""),"",IF(AND(INDEX(工程マスタ!$I:$I,$AG68)="○",$E68&gt;=W$3,$E68&lt;EDATE(W$3,1)),"▼",""))</f>
        <v/>
      </c>
      <c r="X68" s="31" t="str">
        <f aca="false">IF(OR($AG68=0,X$3=""),"",IF(AND(INDEX(工程マスタ!$I:$I,$AG68)="○",$E68&gt;=X$3,$E68&lt;EDATE(X$3,1)),"▼",""))</f>
        <v/>
      </c>
      <c r="Y68" s="31" t="str">
        <f aca="false">IF(OR($AG68=0,Y$3=""),"",IF(AND(INDEX(工程マスタ!$I:$I,$AG68)="○",$E68&gt;=Y$3,$E68&lt;EDATE(Y$3,1)),"▼",""))</f>
        <v/>
      </c>
      <c r="Z68" s="31" t="str">
        <f aca="false">IF(OR($AG68=0,Z$3=""),"",IF(AND(INDEX(工程マスタ!$I:$I,$AG68)="○",$E68&gt;=Z$3,$E68&lt;EDATE(Z$3,1)),"▼",""))</f>
        <v/>
      </c>
      <c r="AA68" s="31" t="str">
        <f aca="false">IF(OR($AG68=0,AA$3=""),"",IF(AND(INDEX(工程マスタ!$I:$I,$AG68)="○",$E68&gt;=AA$3,$E68&lt;EDATE(AA$3,1)),"▼",""))</f>
        <v/>
      </c>
      <c r="AB68" s="31" t="str">
        <f aca="false">IF(OR($AG68=0,AB$3=""),"",IF(AND(INDEX(工程マスタ!$I:$I,$AG68)="○",$E68&gt;=AB$3,$E68&lt;EDATE(AB$3,1)),"▼",""))</f>
        <v/>
      </c>
      <c r="AC68" s="31" t="str">
        <f aca="false">IF(OR($AG68=0,AC$3=""),"",IF(AND(INDEX(工程マスタ!$I:$I,$AG68)="○",$E68&gt;=AC$3,$E68&lt;EDATE(AC$3,1)),"▼",""))</f>
        <v/>
      </c>
      <c r="AD68" s="31" t="str">
        <f aca="false">IF(OR($AG68=0,AD$3=""),"",IF(AND(INDEX(工程マスタ!$I:$I,$AG68)="○",$E68&gt;=AD$3,$E68&lt;EDATE(AD$3,1)),"▼",""))</f>
        <v/>
      </c>
      <c r="AE68" s="31" t="str">
        <f aca="false">IF(OR($AG68=0,AE$3=""),"",IF(AND(INDEX(工程マスタ!$I:$I,$AG68)="○",$E68&gt;=AE$3,$E68&lt;EDATE(AE$3,1)),"▼",""))</f>
        <v/>
      </c>
      <c r="AG68" s="27" t="n">
        <f aca="false" t="array" ref="AG68:AG68">IFERROR(SMALL(IF(工程マスタ!$K$5:$K$154&gt;0,ROW(工程マスタ!$C$5:$C$154)),63),0)</f>
        <v>0</v>
      </c>
      <c r="AH68" s="27" t="n">
        <f aca="false">IF($AG68=0,0,INDEX(工程マスタ!$M:$M,$AG68))</f>
        <v>0</v>
      </c>
    </row>
    <row r="69" customFormat="false" ht="15" hidden="false" customHeight="false" outlineLevel="0" collapsed="false">
      <c r="A69" s="28" t="str">
        <f aca="false">IF($AG69=0,"",IF(INDEX(工程マスタ!$A:$A,$AG69)="","",INDEX(工程マスタ!$A:$A,$AG69)))</f>
        <v/>
      </c>
      <c r="B69" s="21" t="str">
        <f aca="false">IF($AG69=0,"",IF(INDEX(工程マスタ!$B:$B,$AG69)="","",INDEX(工程マスタ!$B:$B,$AG69)))</f>
        <v/>
      </c>
      <c r="C69" s="21" t="str">
        <f aca="false">IF($AG69=0,"",IF(INDEX(工程マスタ!$C:$C,$AG69)="","",INDEX(工程マスタ!$C:$C,$AG69)))</f>
        <v/>
      </c>
      <c r="D69" s="21" t="str">
        <f aca="false">IF($AG69=0,"",IF(INDEX(工程マスタ!$D:$D,$AG69)="","",INDEX(工程マスタ!$D:$D,$AG69)))</f>
        <v/>
      </c>
      <c r="E69" s="29" t="str">
        <f aca="false">IF($AG69=0,"",IF(INDEX(工程マスタ!$E:$E,$AG69)="","",INDEX(工程マスタ!$E:$E,$AG69)))</f>
        <v/>
      </c>
      <c r="F69" s="29" t="str">
        <f aca="false">IF($AG69=0,"",IF(INDEX(工程マスタ!$F:$F,$AG69)="","",INDEX(工程マスタ!$F:$F,$AG69)))</f>
        <v/>
      </c>
      <c r="G69" s="30" t="str">
        <f aca="false">IF($AG69=0,"",IF(INDEX(工程マスタ!$H:$H,$AG69)="","",INDEX(工程マスタ!$H:$H,$AG69)))</f>
        <v/>
      </c>
      <c r="H69" s="31" t="str">
        <f aca="false">IF(OR($AG69=0,H$3=""),"",IF(AND(INDEX(工程マスタ!$I:$I,$AG69)="○",$E69&gt;=H$3,$E69&lt;EDATE(H$3,1)),"▼",""))</f>
        <v/>
      </c>
      <c r="I69" s="31" t="str">
        <f aca="false">IF(OR($AG69=0,I$3=""),"",IF(AND(INDEX(工程マスタ!$I:$I,$AG69)="○",$E69&gt;=I$3,$E69&lt;EDATE(I$3,1)),"▼",""))</f>
        <v/>
      </c>
      <c r="J69" s="31" t="str">
        <f aca="false">IF(OR($AG69=0,J$3=""),"",IF(AND(INDEX(工程マスタ!$I:$I,$AG69)="○",$E69&gt;=J$3,$E69&lt;EDATE(J$3,1)),"▼",""))</f>
        <v/>
      </c>
      <c r="K69" s="31" t="str">
        <f aca="false">IF(OR($AG69=0,K$3=""),"",IF(AND(INDEX(工程マスタ!$I:$I,$AG69)="○",$E69&gt;=K$3,$E69&lt;EDATE(K$3,1)),"▼",""))</f>
        <v/>
      </c>
      <c r="L69" s="31" t="str">
        <f aca="false">IF(OR($AG69=0,L$3=""),"",IF(AND(INDEX(工程マスタ!$I:$I,$AG69)="○",$E69&gt;=L$3,$E69&lt;EDATE(L$3,1)),"▼",""))</f>
        <v/>
      </c>
      <c r="M69" s="31" t="str">
        <f aca="false">IF(OR($AG69=0,M$3=""),"",IF(AND(INDEX(工程マスタ!$I:$I,$AG69)="○",$E69&gt;=M$3,$E69&lt;EDATE(M$3,1)),"▼",""))</f>
        <v/>
      </c>
      <c r="N69" s="31" t="str">
        <f aca="false">IF(OR($AG69=0,N$3=""),"",IF(AND(INDEX(工程マスタ!$I:$I,$AG69)="○",$E69&gt;=N$3,$E69&lt;EDATE(N$3,1)),"▼",""))</f>
        <v/>
      </c>
      <c r="O69" s="31" t="str">
        <f aca="false">IF(OR($AG69=0,O$3=""),"",IF(AND(INDEX(工程マスタ!$I:$I,$AG69)="○",$E69&gt;=O$3,$E69&lt;EDATE(O$3,1)),"▼",""))</f>
        <v/>
      </c>
      <c r="P69" s="31" t="str">
        <f aca="false">IF(OR($AG69=0,P$3=""),"",IF(AND(INDEX(工程マスタ!$I:$I,$AG69)="○",$E69&gt;=P$3,$E69&lt;EDATE(P$3,1)),"▼",""))</f>
        <v/>
      </c>
      <c r="Q69" s="31" t="str">
        <f aca="false">IF(OR($AG69=0,Q$3=""),"",IF(AND(INDEX(工程マスタ!$I:$I,$AG69)="○",$E69&gt;=Q$3,$E69&lt;EDATE(Q$3,1)),"▼",""))</f>
        <v/>
      </c>
      <c r="R69" s="31" t="str">
        <f aca="false">IF(OR($AG69=0,R$3=""),"",IF(AND(INDEX(工程マスタ!$I:$I,$AG69)="○",$E69&gt;=R$3,$E69&lt;EDATE(R$3,1)),"▼",""))</f>
        <v/>
      </c>
      <c r="S69" s="31" t="str">
        <f aca="false">IF(OR($AG69=0,S$3=""),"",IF(AND(INDEX(工程マスタ!$I:$I,$AG69)="○",$E69&gt;=S$3,$E69&lt;EDATE(S$3,1)),"▼",""))</f>
        <v/>
      </c>
      <c r="T69" s="31" t="str">
        <f aca="false">IF(OR($AG69=0,T$3=""),"",IF(AND(INDEX(工程マスタ!$I:$I,$AG69)="○",$E69&gt;=T$3,$E69&lt;EDATE(T$3,1)),"▼",""))</f>
        <v/>
      </c>
      <c r="U69" s="31" t="str">
        <f aca="false">IF(OR($AG69=0,U$3=""),"",IF(AND(INDEX(工程マスタ!$I:$I,$AG69)="○",$E69&gt;=U$3,$E69&lt;EDATE(U$3,1)),"▼",""))</f>
        <v/>
      </c>
      <c r="V69" s="31" t="str">
        <f aca="false">IF(OR($AG69=0,V$3=""),"",IF(AND(INDEX(工程マスタ!$I:$I,$AG69)="○",$E69&gt;=V$3,$E69&lt;EDATE(V$3,1)),"▼",""))</f>
        <v/>
      </c>
      <c r="W69" s="31" t="str">
        <f aca="false">IF(OR($AG69=0,W$3=""),"",IF(AND(INDEX(工程マスタ!$I:$I,$AG69)="○",$E69&gt;=W$3,$E69&lt;EDATE(W$3,1)),"▼",""))</f>
        <v/>
      </c>
      <c r="X69" s="31" t="str">
        <f aca="false">IF(OR($AG69=0,X$3=""),"",IF(AND(INDEX(工程マスタ!$I:$I,$AG69)="○",$E69&gt;=X$3,$E69&lt;EDATE(X$3,1)),"▼",""))</f>
        <v/>
      </c>
      <c r="Y69" s="31" t="str">
        <f aca="false">IF(OR($AG69=0,Y$3=""),"",IF(AND(INDEX(工程マスタ!$I:$I,$AG69)="○",$E69&gt;=Y$3,$E69&lt;EDATE(Y$3,1)),"▼",""))</f>
        <v/>
      </c>
      <c r="Z69" s="31" t="str">
        <f aca="false">IF(OR($AG69=0,Z$3=""),"",IF(AND(INDEX(工程マスタ!$I:$I,$AG69)="○",$E69&gt;=Z$3,$E69&lt;EDATE(Z$3,1)),"▼",""))</f>
        <v/>
      </c>
      <c r="AA69" s="31" t="str">
        <f aca="false">IF(OR($AG69=0,AA$3=""),"",IF(AND(INDEX(工程マスタ!$I:$I,$AG69)="○",$E69&gt;=AA$3,$E69&lt;EDATE(AA$3,1)),"▼",""))</f>
        <v/>
      </c>
      <c r="AB69" s="31" t="str">
        <f aca="false">IF(OR($AG69=0,AB$3=""),"",IF(AND(INDEX(工程マスタ!$I:$I,$AG69)="○",$E69&gt;=AB$3,$E69&lt;EDATE(AB$3,1)),"▼",""))</f>
        <v/>
      </c>
      <c r="AC69" s="31" t="str">
        <f aca="false">IF(OR($AG69=0,AC$3=""),"",IF(AND(INDEX(工程マスタ!$I:$I,$AG69)="○",$E69&gt;=AC$3,$E69&lt;EDATE(AC$3,1)),"▼",""))</f>
        <v/>
      </c>
      <c r="AD69" s="31" t="str">
        <f aca="false">IF(OR($AG69=0,AD$3=""),"",IF(AND(INDEX(工程マスタ!$I:$I,$AG69)="○",$E69&gt;=AD$3,$E69&lt;EDATE(AD$3,1)),"▼",""))</f>
        <v/>
      </c>
      <c r="AE69" s="31" t="str">
        <f aca="false">IF(OR($AG69=0,AE$3=""),"",IF(AND(INDEX(工程マスタ!$I:$I,$AG69)="○",$E69&gt;=AE$3,$E69&lt;EDATE(AE$3,1)),"▼",""))</f>
        <v/>
      </c>
      <c r="AG69" s="27" t="n">
        <f aca="false" t="array" ref="AG69:AG69">IFERROR(SMALL(IF(工程マスタ!$K$5:$K$154&gt;0,ROW(工程マスタ!$C$5:$C$154)),64),0)</f>
        <v>0</v>
      </c>
      <c r="AH69" s="27" t="n">
        <f aca="false">IF($AG69=0,0,INDEX(工程マスタ!$M:$M,$AG69))</f>
        <v>0</v>
      </c>
    </row>
    <row r="70" customFormat="false" ht="15" hidden="false" customHeight="false" outlineLevel="0" collapsed="false">
      <c r="A70" s="28" t="str">
        <f aca="false">IF($AG70=0,"",IF(INDEX(工程マスタ!$A:$A,$AG70)="","",INDEX(工程マスタ!$A:$A,$AG70)))</f>
        <v/>
      </c>
      <c r="B70" s="21" t="str">
        <f aca="false">IF($AG70=0,"",IF(INDEX(工程マスタ!$B:$B,$AG70)="","",INDEX(工程マスタ!$B:$B,$AG70)))</f>
        <v/>
      </c>
      <c r="C70" s="21" t="str">
        <f aca="false">IF($AG70=0,"",IF(INDEX(工程マスタ!$C:$C,$AG70)="","",INDEX(工程マスタ!$C:$C,$AG70)))</f>
        <v/>
      </c>
      <c r="D70" s="21" t="str">
        <f aca="false">IF($AG70=0,"",IF(INDEX(工程マスタ!$D:$D,$AG70)="","",INDEX(工程マスタ!$D:$D,$AG70)))</f>
        <v/>
      </c>
      <c r="E70" s="29" t="str">
        <f aca="false">IF($AG70=0,"",IF(INDEX(工程マスタ!$E:$E,$AG70)="","",INDEX(工程マスタ!$E:$E,$AG70)))</f>
        <v/>
      </c>
      <c r="F70" s="29" t="str">
        <f aca="false">IF($AG70=0,"",IF(INDEX(工程マスタ!$F:$F,$AG70)="","",INDEX(工程マスタ!$F:$F,$AG70)))</f>
        <v/>
      </c>
      <c r="G70" s="30" t="str">
        <f aca="false">IF($AG70=0,"",IF(INDEX(工程マスタ!$H:$H,$AG70)="","",INDEX(工程マスタ!$H:$H,$AG70)))</f>
        <v/>
      </c>
      <c r="H70" s="31" t="str">
        <f aca="false">IF(OR($AG70=0,H$3=""),"",IF(AND(INDEX(工程マスタ!$I:$I,$AG70)="○",$E70&gt;=H$3,$E70&lt;EDATE(H$3,1)),"▼",""))</f>
        <v/>
      </c>
      <c r="I70" s="31" t="str">
        <f aca="false">IF(OR($AG70=0,I$3=""),"",IF(AND(INDEX(工程マスタ!$I:$I,$AG70)="○",$E70&gt;=I$3,$E70&lt;EDATE(I$3,1)),"▼",""))</f>
        <v/>
      </c>
      <c r="J70" s="31" t="str">
        <f aca="false">IF(OR($AG70=0,J$3=""),"",IF(AND(INDEX(工程マスタ!$I:$I,$AG70)="○",$E70&gt;=J$3,$E70&lt;EDATE(J$3,1)),"▼",""))</f>
        <v/>
      </c>
      <c r="K70" s="31" t="str">
        <f aca="false">IF(OR($AG70=0,K$3=""),"",IF(AND(INDEX(工程マスタ!$I:$I,$AG70)="○",$E70&gt;=K$3,$E70&lt;EDATE(K$3,1)),"▼",""))</f>
        <v/>
      </c>
      <c r="L70" s="31" t="str">
        <f aca="false">IF(OR($AG70=0,L$3=""),"",IF(AND(INDEX(工程マスタ!$I:$I,$AG70)="○",$E70&gt;=L$3,$E70&lt;EDATE(L$3,1)),"▼",""))</f>
        <v/>
      </c>
      <c r="M70" s="31" t="str">
        <f aca="false">IF(OR($AG70=0,M$3=""),"",IF(AND(INDEX(工程マスタ!$I:$I,$AG70)="○",$E70&gt;=M$3,$E70&lt;EDATE(M$3,1)),"▼",""))</f>
        <v/>
      </c>
      <c r="N70" s="31" t="str">
        <f aca="false">IF(OR($AG70=0,N$3=""),"",IF(AND(INDEX(工程マスタ!$I:$I,$AG70)="○",$E70&gt;=N$3,$E70&lt;EDATE(N$3,1)),"▼",""))</f>
        <v/>
      </c>
      <c r="O70" s="31" t="str">
        <f aca="false">IF(OR($AG70=0,O$3=""),"",IF(AND(INDEX(工程マスタ!$I:$I,$AG70)="○",$E70&gt;=O$3,$E70&lt;EDATE(O$3,1)),"▼",""))</f>
        <v/>
      </c>
      <c r="P70" s="31" t="str">
        <f aca="false">IF(OR($AG70=0,P$3=""),"",IF(AND(INDEX(工程マスタ!$I:$I,$AG70)="○",$E70&gt;=P$3,$E70&lt;EDATE(P$3,1)),"▼",""))</f>
        <v/>
      </c>
      <c r="Q70" s="31" t="str">
        <f aca="false">IF(OR($AG70=0,Q$3=""),"",IF(AND(INDEX(工程マスタ!$I:$I,$AG70)="○",$E70&gt;=Q$3,$E70&lt;EDATE(Q$3,1)),"▼",""))</f>
        <v/>
      </c>
      <c r="R70" s="31" t="str">
        <f aca="false">IF(OR($AG70=0,R$3=""),"",IF(AND(INDEX(工程マスタ!$I:$I,$AG70)="○",$E70&gt;=R$3,$E70&lt;EDATE(R$3,1)),"▼",""))</f>
        <v/>
      </c>
      <c r="S70" s="31" t="str">
        <f aca="false">IF(OR($AG70=0,S$3=""),"",IF(AND(INDEX(工程マスタ!$I:$I,$AG70)="○",$E70&gt;=S$3,$E70&lt;EDATE(S$3,1)),"▼",""))</f>
        <v/>
      </c>
      <c r="T70" s="31" t="str">
        <f aca="false">IF(OR($AG70=0,T$3=""),"",IF(AND(INDEX(工程マスタ!$I:$I,$AG70)="○",$E70&gt;=T$3,$E70&lt;EDATE(T$3,1)),"▼",""))</f>
        <v/>
      </c>
      <c r="U70" s="31" t="str">
        <f aca="false">IF(OR($AG70=0,U$3=""),"",IF(AND(INDEX(工程マスタ!$I:$I,$AG70)="○",$E70&gt;=U$3,$E70&lt;EDATE(U$3,1)),"▼",""))</f>
        <v/>
      </c>
      <c r="V70" s="31" t="str">
        <f aca="false">IF(OR($AG70=0,V$3=""),"",IF(AND(INDEX(工程マスタ!$I:$I,$AG70)="○",$E70&gt;=V$3,$E70&lt;EDATE(V$3,1)),"▼",""))</f>
        <v/>
      </c>
      <c r="W70" s="31" t="str">
        <f aca="false">IF(OR($AG70=0,W$3=""),"",IF(AND(INDEX(工程マスタ!$I:$I,$AG70)="○",$E70&gt;=W$3,$E70&lt;EDATE(W$3,1)),"▼",""))</f>
        <v/>
      </c>
      <c r="X70" s="31" t="str">
        <f aca="false">IF(OR($AG70=0,X$3=""),"",IF(AND(INDEX(工程マスタ!$I:$I,$AG70)="○",$E70&gt;=X$3,$E70&lt;EDATE(X$3,1)),"▼",""))</f>
        <v/>
      </c>
      <c r="Y70" s="31" t="str">
        <f aca="false">IF(OR($AG70=0,Y$3=""),"",IF(AND(INDEX(工程マスタ!$I:$I,$AG70)="○",$E70&gt;=Y$3,$E70&lt;EDATE(Y$3,1)),"▼",""))</f>
        <v/>
      </c>
      <c r="Z70" s="31" t="str">
        <f aca="false">IF(OR($AG70=0,Z$3=""),"",IF(AND(INDEX(工程マスタ!$I:$I,$AG70)="○",$E70&gt;=Z$3,$E70&lt;EDATE(Z$3,1)),"▼",""))</f>
        <v/>
      </c>
      <c r="AA70" s="31" t="str">
        <f aca="false">IF(OR($AG70=0,AA$3=""),"",IF(AND(INDEX(工程マスタ!$I:$I,$AG70)="○",$E70&gt;=AA$3,$E70&lt;EDATE(AA$3,1)),"▼",""))</f>
        <v/>
      </c>
      <c r="AB70" s="31" t="str">
        <f aca="false">IF(OR($AG70=0,AB$3=""),"",IF(AND(INDEX(工程マスタ!$I:$I,$AG70)="○",$E70&gt;=AB$3,$E70&lt;EDATE(AB$3,1)),"▼",""))</f>
        <v/>
      </c>
      <c r="AC70" s="31" t="str">
        <f aca="false">IF(OR($AG70=0,AC$3=""),"",IF(AND(INDEX(工程マスタ!$I:$I,$AG70)="○",$E70&gt;=AC$3,$E70&lt;EDATE(AC$3,1)),"▼",""))</f>
        <v/>
      </c>
      <c r="AD70" s="31" t="str">
        <f aca="false">IF(OR($AG70=0,AD$3=""),"",IF(AND(INDEX(工程マスタ!$I:$I,$AG70)="○",$E70&gt;=AD$3,$E70&lt;EDATE(AD$3,1)),"▼",""))</f>
        <v/>
      </c>
      <c r="AE70" s="31" t="str">
        <f aca="false">IF(OR($AG70=0,AE$3=""),"",IF(AND(INDEX(工程マスタ!$I:$I,$AG70)="○",$E70&gt;=AE$3,$E70&lt;EDATE(AE$3,1)),"▼",""))</f>
        <v/>
      </c>
      <c r="AG70" s="27" t="n">
        <f aca="false" t="array" ref="AG70:AG70">IFERROR(SMALL(IF(工程マスタ!$K$5:$K$154&gt;0,ROW(工程マスタ!$C$5:$C$154)),65),0)</f>
        <v>0</v>
      </c>
      <c r="AH70" s="27" t="n">
        <f aca="false">IF($AG70=0,0,INDEX(工程マスタ!$M:$M,$AG70))</f>
        <v>0</v>
      </c>
    </row>
    <row r="71" customFormat="false" ht="15" hidden="false" customHeight="false" outlineLevel="0" collapsed="false">
      <c r="A71" s="28" t="str">
        <f aca="false">IF($AG71=0,"",IF(INDEX(工程マスタ!$A:$A,$AG71)="","",INDEX(工程マスタ!$A:$A,$AG71)))</f>
        <v/>
      </c>
      <c r="B71" s="21" t="str">
        <f aca="false">IF($AG71=0,"",IF(INDEX(工程マスタ!$B:$B,$AG71)="","",INDEX(工程マスタ!$B:$B,$AG71)))</f>
        <v/>
      </c>
      <c r="C71" s="21" t="str">
        <f aca="false">IF($AG71=0,"",IF(INDEX(工程マスタ!$C:$C,$AG71)="","",INDEX(工程マスタ!$C:$C,$AG71)))</f>
        <v/>
      </c>
      <c r="D71" s="21" t="str">
        <f aca="false">IF($AG71=0,"",IF(INDEX(工程マスタ!$D:$D,$AG71)="","",INDEX(工程マスタ!$D:$D,$AG71)))</f>
        <v/>
      </c>
      <c r="E71" s="29" t="str">
        <f aca="false">IF($AG71=0,"",IF(INDEX(工程マスタ!$E:$E,$AG71)="","",INDEX(工程マスタ!$E:$E,$AG71)))</f>
        <v/>
      </c>
      <c r="F71" s="29" t="str">
        <f aca="false">IF($AG71=0,"",IF(INDEX(工程マスタ!$F:$F,$AG71)="","",INDEX(工程マスタ!$F:$F,$AG71)))</f>
        <v/>
      </c>
      <c r="G71" s="30" t="str">
        <f aca="false">IF($AG71=0,"",IF(INDEX(工程マスタ!$H:$H,$AG71)="","",INDEX(工程マスタ!$H:$H,$AG71)))</f>
        <v/>
      </c>
      <c r="H71" s="31" t="str">
        <f aca="false">IF(OR($AG71=0,H$3=""),"",IF(AND(INDEX(工程マスタ!$I:$I,$AG71)="○",$E71&gt;=H$3,$E71&lt;EDATE(H$3,1)),"▼",""))</f>
        <v/>
      </c>
      <c r="I71" s="31" t="str">
        <f aca="false">IF(OR($AG71=0,I$3=""),"",IF(AND(INDEX(工程マスタ!$I:$I,$AG71)="○",$E71&gt;=I$3,$E71&lt;EDATE(I$3,1)),"▼",""))</f>
        <v/>
      </c>
      <c r="J71" s="31" t="str">
        <f aca="false">IF(OR($AG71=0,J$3=""),"",IF(AND(INDEX(工程マスタ!$I:$I,$AG71)="○",$E71&gt;=J$3,$E71&lt;EDATE(J$3,1)),"▼",""))</f>
        <v/>
      </c>
      <c r="K71" s="31" t="str">
        <f aca="false">IF(OR($AG71=0,K$3=""),"",IF(AND(INDEX(工程マスタ!$I:$I,$AG71)="○",$E71&gt;=K$3,$E71&lt;EDATE(K$3,1)),"▼",""))</f>
        <v/>
      </c>
      <c r="L71" s="31" t="str">
        <f aca="false">IF(OR($AG71=0,L$3=""),"",IF(AND(INDEX(工程マスタ!$I:$I,$AG71)="○",$E71&gt;=L$3,$E71&lt;EDATE(L$3,1)),"▼",""))</f>
        <v/>
      </c>
      <c r="M71" s="31" t="str">
        <f aca="false">IF(OR($AG71=0,M$3=""),"",IF(AND(INDEX(工程マスタ!$I:$I,$AG71)="○",$E71&gt;=M$3,$E71&lt;EDATE(M$3,1)),"▼",""))</f>
        <v/>
      </c>
      <c r="N71" s="31" t="str">
        <f aca="false">IF(OR($AG71=0,N$3=""),"",IF(AND(INDEX(工程マスタ!$I:$I,$AG71)="○",$E71&gt;=N$3,$E71&lt;EDATE(N$3,1)),"▼",""))</f>
        <v/>
      </c>
      <c r="O71" s="31" t="str">
        <f aca="false">IF(OR($AG71=0,O$3=""),"",IF(AND(INDEX(工程マスタ!$I:$I,$AG71)="○",$E71&gt;=O$3,$E71&lt;EDATE(O$3,1)),"▼",""))</f>
        <v/>
      </c>
      <c r="P71" s="31" t="str">
        <f aca="false">IF(OR($AG71=0,P$3=""),"",IF(AND(INDEX(工程マスタ!$I:$I,$AG71)="○",$E71&gt;=P$3,$E71&lt;EDATE(P$3,1)),"▼",""))</f>
        <v/>
      </c>
      <c r="Q71" s="31" t="str">
        <f aca="false">IF(OR($AG71=0,Q$3=""),"",IF(AND(INDEX(工程マスタ!$I:$I,$AG71)="○",$E71&gt;=Q$3,$E71&lt;EDATE(Q$3,1)),"▼",""))</f>
        <v/>
      </c>
      <c r="R71" s="31" t="str">
        <f aca="false">IF(OR($AG71=0,R$3=""),"",IF(AND(INDEX(工程マスタ!$I:$I,$AG71)="○",$E71&gt;=R$3,$E71&lt;EDATE(R$3,1)),"▼",""))</f>
        <v/>
      </c>
      <c r="S71" s="31" t="str">
        <f aca="false">IF(OR($AG71=0,S$3=""),"",IF(AND(INDEX(工程マスタ!$I:$I,$AG71)="○",$E71&gt;=S$3,$E71&lt;EDATE(S$3,1)),"▼",""))</f>
        <v/>
      </c>
      <c r="T71" s="31" t="str">
        <f aca="false">IF(OR($AG71=0,T$3=""),"",IF(AND(INDEX(工程マスタ!$I:$I,$AG71)="○",$E71&gt;=T$3,$E71&lt;EDATE(T$3,1)),"▼",""))</f>
        <v/>
      </c>
      <c r="U71" s="31" t="str">
        <f aca="false">IF(OR($AG71=0,U$3=""),"",IF(AND(INDEX(工程マスタ!$I:$I,$AG71)="○",$E71&gt;=U$3,$E71&lt;EDATE(U$3,1)),"▼",""))</f>
        <v/>
      </c>
      <c r="V71" s="31" t="str">
        <f aca="false">IF(OR($AG71=0,V$3=""),"",IF(AND(INDEX(工程マスタ!$I:$I,$AG71)="○",$E71&gt;=V$3,$E71&lt;EDATE(V$3,1)),"▼",""))</f>
        <v/>
      </c>
      <c r="W71" s="31" t="str">
        <f aca="false">IF(OR($AG71=0,W$3=""),"",IF(AND(INDEX(工程マスタ!$I:$I,$AG71)="○",$E71&gt;=W$3,$E71&lt;EDATE(W$3,1)),"▼",""))</f>
        <v/>
      </c>
      <c r="X71" s="31" t="str">
        <f aca="false">IF(OR($AG71=0,X$3=""),"",IF(AND(INDEX(工程マスタ!$I:$I,$AG71)="○",$E71&gt;=X$3,$E71&lt;EDATE(X$3,1)),"▼",""))</f>
        <v/>
      </c>
      <c r="Y71" s="31" t="str">
        <f aca="false">IF(OR($AG71=0,Y$3=""),"",IF(AND(INDEX(工程マスタ!$I:$I,$AG71)="○",$E71&gt;=Y$3,$E71&lt;EDATE(Y$3,1)),"▼",""))</f>
        <v/>
      </c>
      <c r="Z71" s="31" t="str">
        <f aca="false">IF(OR($AG71=0,Z$3=""),"",IF(AND(INDEX(工程マスタ!$I:$I,$AG71)="○",$E71&gt;=Z$3,$E71&lt;EDATE(Z$3,1)),"▼",""))</f>
        <v/>
      </c>
      <c r="AA71" s="31" t="str">
        <f aca="false">IF(OR($AG71=0,AA$3=""),"",IF(AND(INDEX(工程マスタ!$I:$I,$AG71)="○",$E71&gt;=AA$3,$E71&lt;EDATE(AA$3,1)),"▼",""))</f>
        <v/>
      </c>
      <c r="AB71" s="31" t="str">
        <f aca="false">IF(OR($AG71=0,AB$3=""),"",IF(AND(INDEX(工程マスタ!$I:$I,$AG71)="○",$E71&gt;=AB$3,$E71&lt;EDATE(AB$3,1)),"▼",""))</f>
        <v/>
      </c>
      <c r="AC71" s="31" t="str">
        <f aca="false">IF(OR($AG71=0,AC$3=""),"",IF(AND(INDEX(工程マスタ!$I:$I,$AG71)="○",$E71&gt;=AC$3,$E71&lt;EDATE(AC$3,1)),"▼",""))</f>
        <v/>
      </c>
      <c r="AD71" s="31" t="str">
        <f aca="false">IF(OR($AG71=0,AD$3=""),"",IF(AND(INDEX(工程マスタ!$I:$I,$AG71)="○",$E71&gt;=AD$3,$E71&lt;EDATE(AD$3,1)),"▼",""))</f>
        <v/>
      </c>
      <c r="AE71" s="31" t="str">
        <f aca="false">IF(OR($AG71=0,AE$3=""),"",IF(AND(INDEX(工程マスタ!$I:$I,$AG71)="○",$E71&gt;=AE$3,$E71&lt;EDATE(AE$3,1)),"▼",""))</f>
        <v/>
      </c>
      <c r="AG71" s="27" t="n">
        <f aca="false" t="array" ref="AG71:AG71">IFERROR(SMALL(IF(工程マスタ!$K$5:$K$154&gt;0,ROW(工程マスタ!$C$5:$C$154)),66),0)</f>
        <v>0</v>
      </c>
      <c r="AH71" s="27" t="n">
        <f aca="false">IF($AG71=0,0,INDEX(工程マスタ!$M:$M,$AG71))</f>
        <v>0</v>
      </c>
    </row>
    <row r="72" customFormat="false" ht="15" hidden="false" customHeight="false" outlineLevel="0" collapsed="false">
      <c r="A72" s="28" t="str">
        <f aca="false">IF($AG72=0,"",IF(INDEX(工程マスタ!$A:$A,$AG72)="","",INDEX(工程マスタ!$A:$A,$AG72)))</f>
        <v/>
      </c>
      <c r="B72" s="21" t="str">
        <f aca="false">IF($AG72=0,"",IF(INDEX(工程マスタ!$B:$B,$AG72)="","",INDEX(工程マスタ!$B:$B,$AG72)))</f>
        <v/>
      </c>
      <c r="C72" s="21" t="str">
        <f aca="false">IF($AG72=0,"",IF(INDEX(工程マスタ!$C:$C,$AG72)="","",INDEX(工程マスタ!$C:$C,$AG72)))</f>
        <v/>
      </c>
      <c r="D72" s="21" t="str">
        <f aca="false">IF($AG72=0,"",IF(INDEX(工程マスタ!$D:$D,$AG72)="","",INDEX(工程マスタ!$D:$D,$AG72)))</f>
        <v/>
      </c>
      <c r="E72" s="29" t="str">
        <f aca="false">IF($AG72=0,"",IF(INDEX(工程マスタ!$E:$E,$AG72)="","",INDEX(工程マスタ!$E:$E,$AG72)))</f>
        <v/>
      </c>
      <c r="F72" s="29" t="str">
        <f aca="false">IF($AG72=0,"",IF(INDEX(工程マスタ!$F:$F,$AG72)="","",INDEX(工程マスタ!$F:$F,$AG72)))</f>
        <v/>
      </c>
      <c r="G72" s="30" t="str">
        <f aca="false">IF($AG72=0,"",IF(INDEX(工程マスタ!$H:$H,$AG72)="","",INDEX(工程マスタ!$H:$H,$AG72)))</f>
        <v/>
      </c>
      <c r="H72" s="31" t="str">
        <f aca="false">IF(OR($AG72=0,H$3=""),"",IF(AND(INDEX(工程マスタ!$I:$I,$AG72)="○",$E72&gt;=H$3,$E72&lt;EDATE(H$3,1)),"▼",""))</f>
        <v/>
      </c>
      <c r="I72" s="31" t="str">
        <f aca="false">IF(OR($AG72=0,I$3=""),"",IF(AND(INDEX(工程マスタ!$I:$I,$AG72)="○",$E72&gt;=I$3,$E72&lt;EDATE(I$3,1)),"▼",""))</f>
        <v/>
      </c>
      <c r="J72" s="31" t="str">
        <f aca="false">IF(OR($AG72=0,J$3=""),"",IF(AND(INDEX(工程マスタ!$I:$I,$AG72)="○",$E72&gt;=J$3,$E72&lt;EDATE(J$3,1)),"▼",""))</f>
        <v/>
      </c>
      <c r="K72" s="31" t="str">
        <f aca="false">IF(OR($AG72=0,K$3=""),"",IF(AND(INDEX(工程マスタ!$I:$I,$AG72)="○",$E72&gt;=K$3,$E72&lt;EDATE(K$3,1)),"▼",""))</f>
        <v/>
      </c>
      <c r="L72" s="31" t="str">
        <f aca="false">IF(OR($AG72=0,L$3=""),"",IF(AND(INDEX(工程マスタ!$I:$I,$AG72)="○",$E72&gt;=L$3,$E72&lt;EDATE(L$3,1)),"▼",""))</f>
        <v/>
      </c>
      <c r="M72" s="31" t="str">
        <f aca="false">IF(OR($AG72=0,M$3=""),"",IF(AND(INDEX(工程マスタ!$I:$I,$AG72)="○",$E72&gt;=M$3,$E72&lt;EDATE(M$3,1)),"▼",""))</f>
        <v/>
      </c>
      <c r="N72" s="31" t="str">
        <f aca="false">IF(OR($AG72=0,N$3=""),"",IF(AND(INDEX(工程マスタ!$I:$I,$AG72)="○",$E72&gt;=N$3,$E72&lt;EDATE(N$3,1)),"▼",""))</f>
        <v/>
      </c>
      <c r="O72" s="31" t="str">
        <f aca="false">IF(OR($AG72=0,O$3=""),"",IF(AND(INDEX(工程マスタ!$I:$I,$AG72)="○",$E72&gt;=O$3,$E72&lt;EDATE(O$3,1)),"▼",""))</f>
        <v/>
      </c>
      <c r="P72" s="31" t="str">
        <f aca="false">IF(OR($AG72=0,P$3=""),"",IF(AND(INDEX(工程マスタ!$I:$I,$AG72)="○",$E72&gt;=P$3,$E72&lt;EDATE(P$3,1)),"▼",""))</f>
        <v/>
      </c>
      <c r="Q72" s="31" t="str">
        <f aca="false">IF(OR($AG72=0,Q$3=""),"",IF(AND(INDEX(工程マスタ!$I:$I,$AG72)="○",$E72&gt;=Q$3,$E72&lt;EDATE(Q$3,1)),"▼",""))</f>
        <v/>
      </c>
      <c r="R72" s="31" t="str">
        <f aca="false">IF(OR($AG72=0,R$3=""),"",IF(AND(INDEX(工程マスタ!$I:$I,$AG72)="○",$E72&gt;=R$3,$E72&lt;EDATE(R$3,1)),"▼",""))</f>
        <v/>
      </c>
      <c r="S72" s="31" t="str">
        <f aca="false">IF(OR($AG72=0,S$3=""),"",IF(AND(INDEX(工程マスタ!$I:$I,$AG72)="○",$E72&gt;=S$3,$E72&lt;EDATE(S$3,1)),"▼",""))</f>
        <v/>
      </c>
      <c r="T72" s="31" t="str">
        <f aca="false">IF(OR($AG72=0,T$3=""),"",IF(AND(INDEX(工程マスタ!$I:$I,$AG72)="○",$E72&gt;=T$3,$E72&lt;EDATE(T$3,1)),"▼",""))</f>
        <v/>
      </c>
      <c r="U72" s="31" t="str">
        <f aca="false">IF(OR($AG72=0,U$3=""),"",IF(AND(INDEX(工程マスタ!$I:$I,$AG72)="○",$E72&gt;=U$3,$E72&lt;EDATE(U$3,1)),"▼",""))</f>
        <v/>
      </c>
      <c r="V72" s="31" t="str">
        <f aca="false">IF(OR($AG72=0,V$3=""),"",IF(AND(INDEX(工程マスタ!$I:$I,$AG72)="○",$E72&gt;=V$3,$E72&lt;EDATE(V$3,1)),"▼",""))</f>
        <v/>
      </c>
      <c r="W72" s="31" t="str">
        <f aca="false">IF(OR($AG72=0,W$3=""),"",IF(AND(INDEX(工程マスタ!$I:$I,$AG72)="○",$E72&gt;=W$3,$E72&lt;EDATE(W$3,1)),"▼",""))</f>
        <v/>
      </c>
      <c r="X72" s="31" t="str">
        <f aca="false">IF(OR($AG72=0,X$3=""),"",IF(AND(INDEX(工程マスタ!$I:$I,$AG72)="○",$E72&gt;=X$3,$E72&lt;EDATE(X$3,1)),"▼",""))</f>
        <v/>
      </c>
      <c r="Y72" s="31" t="str">
        <f aca="false">IF(OR($AG72=0,Y$3=""),"",IF(AND(INDEX(工程マスタ!$I:$I,$AG72)="○",$E72&gt;=Y$3,$E72&lt;EDATE(Y$3,1)),"▼",""))</f>
        <v/>
      </c>
      <c r="Z72" s="31" t="str">
        <f aca="false">IF(OR($AG72=0,Z$3=""),"",IF(AND(INDEX(工程マスタ!$I:$I,$AG72)="○",$E72&gt;=Z$3,$E72&lt;EDATE(Z$3,1)),"▼",""))</f>
        <v/>
      </c>
      <c r="AA72" s="31" t="str">
        <f aca="false">IF(OR($AG72=0,AA$3=""),"",IF(AND(INDEX(工程マスタ!$I:$I,$AG72)="○",$E72&gt;=AA$3,$E72&lt;EDATE(AA$3,1)),"▼",""))</f>
        <v/>
      </c>
      <c r="AB72" s="31" t="str">
        <f aca="false">IF(OR($AG72=0,AB$3=""),"",IF(AND(INDEX(工程マスタ!$I:$I,$AG72)="○",$E72&gt;=AB$3,$E72&lt;EDATE(AB$3,1)),"▼",""))</f>
        <v/>
      </c>
      <c r="AC72" s="31" t="str">
        <f aca="false">IF(OR($AG72=0,AC$3=""),"",IF(AND(INDEX(工程マスタ!$I:$I,$AG72)="○",$E72&gt;=AC$3,$E72&lt;EDATE(AC$3,1)),"▼",""))</f>
        <v/>
      </c>
      <c r="AD72" s="31" t="str">
        <f aca="false">IF(OR($AG72=0,AD$3=""),"",IF(AND(INDEX(工程マスタ!$I:$I,$AG72)="○",$E72&gt;=AD$3,$E72&lt;EDATE(AD$3,1)),"▼",""))</f>
        <v/>
      </c>
      <c r="AE72" s="31" t="str">
        <f aca="false">IF(OR($AG72=0,AE$3=""),"",IF(AND(INDEX(工程マスタ!$I:$I,$AG72)="○",$E72&gt;=AE$3,$E72&lt;EDATE(AE$3,1)),"▼",""))</f>
        <v/>
      </c>
      <c r="AG72" s="27" t="n">
        <f aca="false" t="array" ref="AG72:AG72">IFERROR(SMALL(IF(工程マスタ!$K$5:$K$154&gt;0,ROW(工程マスタ!$C$5:$C$154)),67),0)</f>
        <v>0</v>
      </c>
      <c r="AH72" s="27" t="n">
        <f aca="false">IF($AG72=0,0,INDEX(工程マスタ!$M:$M,$AG72))</f>
        <v>0</v>
      </c>
    </row>
    <row r="73" customFormat="false" ht="15" hidden="false" customHeight="false" outlineLevel="0" collapsed="false">
      <c r="A73" s="28" t="str">
        <f aca="false">IF($AG73=0,"",IF(INDEX(工程マスタ!$A:$A,$AG73)="","",INDEX(工程マスタ!$A:$A,$AG73)))</f>
        <v/>
      </c>
      <c r="B73" s="21" t="str">
        <f aca="false">IF($AG73=0,"",IF(INDEX(工程マスタ!$B:$B,$AG73)="","",INDEX(工程マスタ!$B:$B,$AG73)))</f>
        <v/>
      </c>
      <c r="C73" s="21" t="str">
        <f aca="false">IF($AG73=0,"",IF(INDEX(工程マスタ!$C:$C,$AG73)="","",INDEX(工程マスタ!$C:$C,$AG73)))</f>
        <v/>
      </c>
      <c r="D73" s="21" t="str">
        <f aca="false">IF($AG73=0,"",IF(INDEX(工程マスタ!$D:$D,$AG73)="","",INDEX(工程マスタ!$D:$D,$AG73)))</f>
        <v/>
      </c>
      <c r="E73" s="29" t="str">
        <f aca="false">IF($AG73=0,"",IF(INDEX(工程マスタ!$E:$E,$AG73)="","",INDEX(工程マスタ!$E:$E,$AG73)))</f>
        <v/>
      </c>
      <c r="F73" s="29" t="str">
        <f aca="false">IF($AG73=0,"",IF(INDEX(工程マスタ!$F:$F,$AG73)="","",INDEX(工程マスタ!$F:$F,$AG73)))</f>
        <v/>
      </c>
      <c r="G73" s="30" t="str">
        <f aca="false">IF($AG73=0,"",IF(INDEX(工程マスタ!$H:$H,$AG73)="","",INDEX(工程マスタ!$H:$H,$AG73)))</f>
        <v/>
      </c>
      <c r="H73" s="31" t="str">
        <f aca="false">IF(OR($AG73=0,H$3=""),"",IF(AND(INDEX(工程マスタ!$I:$I,$AG73)="○",$E73&gt;=H$3,$E73&lt;EDATE(H$3,1)),"▼",""))</f>
        <v/>
      </c>
      <c r="I73" s="31" t="str">
        <f aca="false">IF(OR($AG73=0,I$3=""),"",IF(AND(INDEX(工程マスタ!$I:$I,$AG73)="○",$E73&gt;=I$3,$E73&lt;EDATE(I$3,1)),"▼",""))</f>
        <v/>
      </c>
      <c r="J73" s="31" t="str">
        <f aca="false">IF(OR($AG73=0,J$3=""),"",IF(AND(INDEX(工程マスタ!$I:$I,$AG73)="○",$E73&gt;=J$3,$E73&lt;EDATE(J$3,1)),"▼",""))</f>
        <v/>
      </c>
      <c r="K73" s="31" t="str">
        <f aca="false">IF(OR($AG73=0,K$3=""),"",IF(AND(INDEX(工程マスタ!$I:$I,$AG73)="○",$E73&gt;=K$3,$E73&lt;EDATE(K$3,1)),"▼",""))</f>
        <v/>
      </c>
      <c r="L73" s="31" t="str">
        <f aca="false">IF(OR($AG73=0,L$3=""),"",IF(AND(INDEX(工程マスタ!$I:$I,$AG73)="○",$E73&gt;=L$3,$E73&lt;EDATE(L$3,1)),"▼",""))</f>
        <v/>
      </c>
      <c r="M73" s="31" t="str">
        <f aca="false">IF(OR($AG73=0,M$3=""),"",IF(AND(INDEX(工程マスタ!$I:$I,$AG73)="○",$E73&gt;=M$3,$E73&lt;EDATE(M$3,1)),"▼",""))</f>
        <v/>
      </c>
      <c r="N73" s="31" t="str">
        <f aca="false">IF(OR($AG73=0,N$3=""),"",IF(AND(INDEX(工程マスタ!$I:$I,$AG73)="○",$E73&gt;=N$3,$E73&lt;EDATE(N$3,1)),"▼",""))</f>
        <v/>
      </c>
      <c r="O73" s="31" t="str">
        <f aca="false">IF(OR($AG73=0,O$3=""),"",IF(AND(INDEX(工程マスタ!$I:$I,$AG73)="○",$E73&gt;=O$3,$E73&lt;EDATE(O$3,1)),"▼",""))</f>
        <v/>
      </c>
      <c r="P73" s="31" t="str">
        <f aca="false">IF(OR($AG73=0,P$3=""),"",IF(AND(INDEX(工程マスタ!$I:$I,$AG73)="○",$E73&gt;=P$3,$E73&lt;EDATE(P$3,1)),"▼",""))</f>
        <v/>
      </c>
      <c r="Q73" s="31" t="str">
        <f aca="false">IF(OR($AG73=0,Q$3=""),"",IF(AND(INDEX(工程マスタ!$I:$I,$AG73)="○",$E73&gt;=Q$3,$E73&lt;EDATE(Q$3,1)),"▼",""))</f>
        <v/>
      </c>
      <c r="R73" s="31" t="str">
        <f aca="false">IF(OR($AG73=0,R$3=""),"",IF(AND(INDEX(工程マスタ!$I:$I,$AG73)="○",$E73&gt;=R$3,$E73&lt;EDATE(R$3,1)),"▼",""))</f>
        <v/>
      </c>
      <c r="S73" s="31" t="str">
        <f aca="false">IF(OR($AG73=0,S$3=""),"",IF(AND(INDEX(工程マスタ!$I:$I,$AG73)="○",$E73&gt;=S$3,$E73&lt;EDATE(S$3,1)),"▼",""))</f>
        <v/>
      </c>
      <c r="T73" s="31" t="str">
        <f aca="false">IF(OR($AG73=0,T$3=""),"",IF(AND(INDEX(工程マスタ!$I:$I,$AG73)="○",$E73&gt;=T$3,$E73&lt;EDATE(T$3,1)),"▼",""))</f>
        <v/>
      </c>
      <c r="U73" s="31" t="str">
        <f aca="false">IF(OR($AG73=0,U$3=""),"",IF(AND(INDEX(工程マスタ!$I:$I,$AG73)="○",$E73&gt;=U$3,$E73&lt;EDATE(U$3,1)),"▼",""))</f>
        <v/>
      </c>
      <c r="V73" s="31" t="str">
        <f aca="false">IF(OR($AG73=0,V$3=""),"",IF(AND(INDEX(工程マスタ!$I:$I,$AG73)="○",$E73&gt;=V$3,$E73&lt;EDATE(V$3,1)),"▼",""))</f>
        <v/>
      </c>
      <c r="W73" s="31" t="str">
        <f aca="false">IF(OR($AG73=0,W$3=""),"",IF(AND(INDEX(工程マスタ!$I:$I,$AG73)="○",$E73&gt;=W$3,$E73&lt;EDATE(W$3,1)),"▼",""))</f>
        <v/>
      </c>
      <c r="X73" s="31" t="str">
        <f aca="false">IF(OR($AG73=0,X$3=""),"",IF(AND(INDEX(工程マスタ!$I:$I,$AG73)="○",$E73&gt;=X$3,$E73&lt;EDATE(X$3,1)),"▼",""))</f>
        <v/>
      </c>
      <c r="Y73" s="31" t="str">
        <f aca="false">IF(OR($AG73=0,Y$3=""),"",IF(AND(INDEX(工程マスタ!$I:$I,$AG73)="○",$E73&gt;=Y$3,$E73&lt;EDATE(Y$3,1)),"▼",""))</f>
        <v/>
      </c>
      <c r="Z73" s="31" t="str">
        <f aca="false">IF(OR($AG73=0,Z$3=""),"",IF(AND(INDEX(工程マスタ!$I:$I,$AG73)="○",$E73&gt;=Z$3,$E73&lt;EDATE(Z$3,1)),"▼",""))</f>
        <v/>
      </c>
      <c r="AA73" s="31" t="str">
        <f aca="false">IF(OR($AG73=0,AA$3=""),"",IF(AND(INDEX(工程マスタ!$I:$I,$AG73)="○",$E73&gt;=AA$3,$E73&lt;EDATE(AA$3,1)),"▼",""))</f>
        <v/>
      </c>
      <c r="AB73" s="31" t="str">
        <f aca="false">IF(OR($AG73=0,AB$3=""),"",IF(AND(INDEX(工程マスタ!$I:$I,$AG73)="○",$E73&gt;=AB$3,$E73&lt;EDATE(AB$3,1)),"▼",""))</f>
        <v/>
      </c>
      <c r="AC73" s="31" t="str">
        <f aca="false">IF(OR($AG73=0,AC$3=""),"",IF(AND(INDEX(工程マスタ!$I:$I,$AG73)="○",$E73&gt;=AC$3,$E73&lt;EDATE(AC$3,1)),"▼",""))</f>
        <v/>
      </c>
      <c r="AD73" s="31" t="str">
        <f aca="false">IF(OR($AG73=0,AD$3=""),"",IF(AND(INDEX(工程マスタ!$I:$I,$AG73)="○",$E73&gt;=AD$3,$E73&lt;EDATE(AD$3,1)),"▼",""))</f>
        <v/>
      </c>
      <c r="AE73" s="31" t="str">
        <f aca="false">IF(OR($AG73=0,AE$3=""),"",IF(AND(INDEX(工程マスタ!$I:$I,$AG73)="○",$E73&gt;=AE$3,$E73&lt;EDATE(AE$3,1)),"▼",""))</f>
        <v/>
      </c>
      <c r="AG73" s="27" t="n">
        <f aca="false" t="array" ref="AG73:AG73">IFERROR(SMALL(IF(工程マスタ!$K$5:$K$154&gt;0,ROW(工程マスタ!$C$5:$C$154)),68),0)</f>
        <v>0</v>
      </c>
      <c r="AH73" s="27" t="n">
        <f aca="false">IF($AG73=0,0,INDEX(工程マスタ!$M:$M,$AG73))</f>
        <v>0</v>
      </c>
    </row>
    <row r="74" customFormat="false" ht="15" hidden="false" customHeight="false" outlineLevel="0" collapsed="false">
      <c r="A74" s="28" t="str">
        <f aca="false">IF($AG74=0,"",IF(INDEX(工程マスタ!$A:$A,$AG74)="","",INDEX(工程マスタ!$A:$A,$AG74)))</f>
        <v/>
      </c>
      <c r="B74" s="21" t="str">
        <f aca="false">IF($AG74=0,"",IF(INDEX(工程マスタ!$B:$B,$AG74)="","",INDEX(工程マスタ!$B:$B,$AG74)))</f>
        <v/>
      </c>
      <c r="C74" s="21" t="str">
        <f aca="false">IF($AG74=0,"",IF(INDEX(工程マスタ!$C:$C,$AG74)="","",INDEX(工程マスタ!$C:$C,$AG74)))</f>
        <v/>
      </c>
      <c r="D74" s="21" t="str">
        <f aca="false">IF($AG74=0,"",IF(INDEX(工程マスタ!$D:$D,$AG74)="","",INDEX(工程マスタ!$D:$D,$AG74)))</f>
        <v/>
      </c>
      <c r="E74" s="29" t="str">
        <f aca="false">IF($AG74=0,"",IF(INDEX(工程マスタ!$E:$E,$AG74)="","",INDEX(工程マスタ!$E:$E,$AG74)))</f>
        <v/>
      </c>
      <c r="F74" s="29" t="str">
        <f aca="false">IF($AG74=0,"",IF(INDEX(工程マスタ!$F:$F,$AG74)="","",INDEX(工程マスタ!$F:$F,$AG74)))</f>
        <v/>
      </c>
      <c r="G74" s="30" t="str">
        <f aca="false">IF($AG74=0,"",IF(INDEX(工程マスタ!$H:$H,$AG74)="","",INDEX(工程マスタ!$H:$H,$AG74)))</f>
        <v/>
      </c>
      <c r="H74" s="31" t="str">
        <f aca="false">IF(OR($AG74=0,H$3=""),"",IF(AND(INDEX(工程マスタ!$I:$I,$AG74)="○",$E74&gt;=H$3,$E74&lt;EDATE(H$3,1)),"▼",""))</f>
        <v/>
      </c>
      <c r="I74" s="31" t="str">
        <f aca="false">IF(OR($AG74=0,I$3=""),"",IF(AND(INDEX(工程マスタ!$I:$I,$AG74)="○",$E74&gt;=I$3,$E74&lt;EDATE(I$3,1)),"▼",""))</f>
        <v/>
      </c>
      <c r="J74" s="31" t="str">
        <f aca="false">IF(OR($AG74=0,J$3=""),"",IF(AND(INDEX(工程マスタ!$I:$I,$AG74)="○",$E74&gt;=J$3,$E74&lt;EDATE(J$3,1)),"▼",""))</f>
        <v/>
      </c>
      <c r="K74" s="31" t="str">
        <f aca="false">IF(OR($AG74=0,K$3=""),"",IF(AND(INDEX(工程マスタ!$I:$I,$AG74)="○",$E74&gt;=K$3,$E74&lt;EDATE(K$3,1)),"▼",""))</f>
        <v/>
      </c>
      <c r="L74" s="31" t="str">
        <f aca="false">IF(OR($AG74=0,L$3=""),"",IF(AND(INDEX(工程マスタ!$I:$I,$AG74)="○",$E74&gt;=L$3,$E74&lt;EDATE(L$3,1)),"▼",""))</f>
        <v/>
      </c>
      <c r="M74" s="31" t="str">
        <f aca="false">IF(OR($AG74=0,M$3=""),"",IF(AND(INDEX(工程マスタ!$I:$I,$AG74)="○",$E74&gt;=M$3,$E74&lt;EDATE(M$3,1)),"▼",""))</f>
        <v/>
      </c>
      <c r="N74" s="31" t="str">
        <f aca="false">IF(OR($AG74=0,N$3=""),"",IF(AND(INDEX(工程マスタ!$I:$I,$AG74)="○",$E74&gt;=N$3,$E74&lt;EDATE(N$3,1)),"▼",""))</f>
        <v/>
      </c>
      <c r="O74" s="31" t="str">
        <f aca="false">IF(OR($AG74=0,O$3=""),"",IF(AND(INDEX(工程マスタ!$I:$I,$AG74)="○",$E74&gt;=O$3,$E74&lt;EDATE(O$3,1)),"▼",""))</f>
        <v/>
      </c>
      <c r="P74" s="31" t="str">
        <f aca="false">IF(OR($AG74=0,P$3=""),"",IF(AND(INDEX(工程マスタ!$I:$I,$AG74)="○",$E74&gt;=P$3,$E74&lt;EDATE(P$3,1)),"▼",""))</f>
        <v/>
      </c>
      <c r="Q74" s="31" t="str">
        <f aca="false">IF(OR($AG74=0,Q$3=""),"",IF(AND(INDEX(工程マスタ!$I:$I,$AG74)="○",$E74&gt;=Q$3,$E74&lt;EDATE(Q$3,1)),"▼",""))</f>
        <v/>
      </c>
      <c r="R74" s="31" t="str">
        <f aca="false">IF(OR($AG74=0,R$3=""),"",IF(AND(INDEX(工程マスタ!$I:$I,$AG74)="○",$E74&gt;=R$3,$E74&lt;EDATE(R$3,1)),"▼",""))</f>
        <v/>
      </c>
      <c r="S74" s="31" t="str">
        <f aca="false">IF(OR($AG74=0,S$3=""),"",IF(AND(INDEX(工程マスタ!$I:$I,$AG74)="○",$E74&gt;=S$3,$E74&lt;EDATE(S$3,1)),"▼",""))</f>
        <v/>
      </c>
      <c r="T74" s="31" t="str">
        <f aca="false">IF(OR($AG74=0,T$3=""),"",IF(AND(INDEX(工程マスタ!$I:$I,$AG74)="○",$E74&gt;=T$3,$E74&lt;EDATE(T$3,1)),"▼",""))</f>
        <v/>
      </c>
      <c r="U74" s="31" t="str">
        <f aca="false">IF(OR($AG74=0,U$3=""),"",IF(AND(INDEX(工程マスタ!$I:$I,$AG74)="○",$E74&gt;=U$3,$E74&lt;EDATE(U$3,1)),"▼",""))</f>
        <v/>
      </c>
      <c r="V74" s="31" t="str">
        <f aca="false">IF(OR($AG74=0,V$3=""),"",IF(AND(INDEX(工程マスタ!$I:$I,$AG74)="○",$E74&gt;=V$3,$E74&lt;EDATE(V$3,1)),"▼",""))</f>
        <v/>
      </c>
      <c r="W74" s="31" t="str">
        <f aca="false">IF(OR($AG74=0,W$3=""),"",IF(AND(INDEX(工程マスタ!$I:$I,$AG74)="○",$E74&gt;=W$3,$E74&lt;EDATE(W$3,1)),"▼",""))</f>
        <v/>
      </c>
      <c r="X74" s="31" t="str">
        <f aca="false">IF(OR($AG74=0,X$3=""),"",IF(AND(INDEX(工程マスタ!$I:$I,$AG74)="○",$E74&gt;=X$3,$E74&lt;EDATE(X$3,1)),"▼",""))</f>
        <v/>
      </c>
      <c r="Y74" s="31" t="str">
        <f aca="false">IF(OR($AG74=0,Y$3=""),"",IF(AND(INDEX(工程マスタ!$I:$I,$AG74)="○",$E74&gt;=Y$3,$E74&lt;EDATE(Y$3,1)),"▼",""))</f>
        <v/>
      </c>
      <c r="Z74" s="31" t="str">
        <f aca="false">IF(OR($AG74=0,Z$3=""),"",IF(AND(INDEX(工程マスタ!$I:$I,$AG74)="○",$E74&gt;=Z$3,$E74&lt;EDATE(Z$3,1)),"▼",""))</f>
        <v/>
      </c>
      <c r="AA74" s="31" t="str">
        <f aca="false">IF(OR($AG74=0,AA$3=""),"",IF(AND(INDEX(工程マスタ!$I:$I,$AG74)="○",$E74&gt;=AA$3,$E74&lt;EDATE(AA$3,1)),"▼",""))</f>
        <v/>
      </c>
      <c r="AB74" s="31" t="str">
        <f aca="false">IF(OR($AG74=0,AB$3=""),"",IF(AND(INDEX(工程マスタ!$I:$I,$AG74)="○",$E74&gt;=AB$3,$E74&lt;EDATE(AB$3,1)),"▼",""))</f>
        <v/>
      </c>
      <c r="AC74" s="31" t="str">
        <f aca="false">IF(OR($AG74=0,AC$3=""),"",IF(AND(INDEX(工程マスタ!$I:$I,$AG74)="○",$E74&gt;=AC$3,$E74&lt;EDATE(AC$3,1)),"▼",""))</f>
        <v/>
      </c>
      <c r="AD74" s="31" t="str">
        <f aca="false">IF(OR($AG74=0,AD$3=""),"",IF(AND(INDEX(工程マスタ!$I:$I,$AG74)="○",$E74&gt;=AD$3,$E74&lt;EDATE(AD$3,1)),"▼",""))</f>
        <v/>
      </c>
      <c r="AE74" s="31" t="str">
        <f aca="false">IF(OR($AG74=0,AE$3=""),"",IF(AND(INDEX(工程マスタ!$I:$I,$AG74)="○",$E74&gt;=AE$3,$E74&lt;EDATE(AE$3,1)),"▼",""))</f>
        <v/>
      </c>
      <c r="AG74" s="27" t="n">
        <f aca="false" t="array" ref="AG74:AG74">IFERROR(SMALL(IF(工程マスタ!$K$5:$K$154&gt;0,ROW(工程マスタ!$C$5:$C$154)),69),0)</f>
        <v>0</v>
      </c>
      <c r="AH74" s="27" t="n">
        <f aca="false">IF($AG74=0,0,INDEX(工程マスタ!$M:$M,$AG74))</f>
        <v>0</v>
      </c>
    </row>
    <row r="75" customFormat="false" ht="15" hidden="false" customHeight="false" outlineLevel="0" collapsed="false">
      <c r="A75" s="28" t="str">
        <f aca="false">IF($AG75=0,"",IF(INDEX(工程マスタ!$A:$A,$AG75)="","",INDEX(工程マスタ!$A:$A,$AG75)))</f>
        <v/>
      </c>
      <c r="B75" s="21" t="str">
        <f aca="false">IF($AG75=0,"",IF(INDEX(工程マスタ!$B:$B,$AG75)="","",INDEX(工程マスタ!$B:$B,$AG75)))</f>
        <v/>
      </c>
      <c r="C75" s="21" t="str">
        <f aca="false">IF($AG75=0,"",IF(INDEX(工程マスタ!$C:$C,$AG75)="","",INDEX(工程マスタ!$C:$C,$AG75)))</f>
        <v/>
      </c>
      <c r="D75" s="21" t="str">
        <f aca="false">IF($AG75=0,"",IF(INDEX(工程マスタ!$D:$D,$AG75)="","",INDEX(工程マスタ!$D:$D,$AG75)))</f>
        <v/>
      </c>
      <c r="E75" s="29" t="str">
        <f aca="false">IF($AG75=0,"",IF(INDEX(工程マスタ!$E:$E,$AG75)="","",INDEX(工程マスタ!$E:$E,$AG75)))</f>
        <v/>
      </c>
      <c r="F75" s="29" t="str">
        <f aca="false">IF($AG75=0,"",IF(INDEX(工程マスタ!$F:$F,$AG75)="","",INDEX(工程マスタ!$F:$F,$AG75)))</f>
        <v/>
      </c>
      <c r="G75" s="30" t="str">
        <f aca="false">IF($AG75=0,"",IF(INDEX(工程マスタ!$H:$H,$AG75)="","",INDEX(工程マスタ!$H:$H,$AG75)))</f>
        <v/>
      </c>
      <c r="H75" s="31" t="str">
        <f aca="false">IF(OR($AG75=0,H$3=""),"",IF(AND(INDEX(工程マスタ!$I:$I,$AG75)="○",$E75&gt;=H$3,$E75&lt;EDATE(H$3,1)),"▼",""))</f>
        <v/>
      </c>
      <c r="I75" s="31" t="str">
        <f aca="false">IF(OR($AG75=0,I$3=""),"",IF(AND(INDEX(工程マスタ!$I:$I,$AG75)="○",$E75&gt;=I$3,$E75&lt;EDATE(I$3,1)),"▼",""))</f>
        <v/>
      </c>
      <c r="J75" s="31" t="str">
        <f aca="false">IF(OR($AG75=0,J$3=""),"",IF(AND(INDEX(工程マスタ!$I:$I,$AG75)="○",$E75&gt;=J$3,$E75&lt;EDATE(J$3,1)),"▼",""))</f>
        <v/>
      </c>
      <c r="K75" s="31" t="str">
        <f aca="false">IF(OR($AG75=0,K$3=""),"",IF(AND(INDEX(工程マスタ!$I:$I,$AG75)="○",$E75&gt;=K$3,$E75&lt;EDATE(K$3,1)),"▼",""))</f>
        <v/>
      </c>
      <c r="L75" s="31" t="str">
        <f aca="false">IF(OR($AG75=0,L$3=""),"",IF(AND(INDEX(工程マスタ!$I:$I,$AG75)="○",$E75&gt;=L$3,$E75&lt;EDATE(L$3,1)),"▼",""))</f>
        <v/>
      </c>
      <c r="M75" s="31" t="str">
        <f aca="false">IF(OR($AG75=0,M$3=""),"",IF(AND(INDEX(工程マスタ!$I:$I,$AG75)="○",$E75&gt;=M$3,$E75&lt;EDATE(M$3,1)),"▼",""))</f>
        <v/>
      </c>
      <c r="N75" s="31" t="str">
        <f aca="false">IF(OR($AG75=0,N$3=""),"",IF(AND(INDEX(工程マスタ!$I:$I,$AG75)="○",$E75&gt;=N$3,$E75&lt;EDATE(N$3,1)),"▼",""))</f>
        <v/>
      </c>
      <c r="O75" s="31" t="str">
        <f aca="false">IF(OR($AG75=0,O$3=""),"",IF(AND(INDEX(工程マスタ!$I:$I,$AG75)="○",$E75&gt;=O$3,$E75&lt;EDATE(O$3,1)),"▼",""))</f>
        <v/>
      </c>
      <c r="P75" s="31" t="str">
        <f aca="false">IF(OR($AG75=0,P$3=""),"",IF(AND(INDEX(工程マスタ!$I:$I,$AG75)="○",$E75&gt;=P$3,$E75&lt;EDATE(P$3,1)),"▼",""))</f>
        <v/>
      </c>
      <c r="Q75" s="31" t="str">
        <f aca="false">IF(OR($AG75=0,Q$3=""),"",IF(AND(INDEX(工程マスタ!$I:$I,$AG75)="○",$E75&gt;=Q$3,$E75&lt;EDATE(Q$3,1)),"▼",""))</f>
        <v/>
      </c>
      <c r="R75" s="31" t="str">
        <f aca="false">IF(OR($AG75=0,R$3=""),"",IF(AND(INDEX(工程マスタ!$I:$I,$AG75)="○",$E75&gt;=R$3,$E75&lt;EDATE(R$3,1)),"▼",""))</f>
        <v/>
      </c>
      <c r="S75" s="31" t="str">
        <f aca="false">IF(OR($AG75=0,S$3=""),"",IF(AND(INDEX(工程マスタ!$I:$I,$AG75)="○",$E75&gt;=S$3,$E75&lt;EDATE(S$3,1)),"▼",""))</f>
        <v/>
      </c>
      <c r="T75" s="31" t="str">
        <f aca="false">IF(OR($AG75=0,T$3=""),"",IF(AND(INDEX(工程マスタ!$I:$I,$AG75)="○",$E75&gt;=T$3,$E75&lt;EDATE(T$3,1)),"▼",""))</f>
        <v/>
      </c>
      <c r="U75" s="31" t="str">
        <f aca="false">IF(OR($AG75=0,U$3=""),"",IF(AND(INDEX(工程マスタ!$I:$I,$AG75)="○",$E75&gt;=U$3,$E75&lt;EDATE(U$3,1)),"▼",""))</f>
        <v/>
      </c>
      <c r="V75" s="31" t="str">
        <f aca="false">IF(OR($AG75=0,V$3=""),"",IF(AND(INDEX(工程マスタ!$I:$I,$AG75)="○",$E75&gt;=V$3,$E75&lt;EDATE(V$3,1)),"▼",""))</f>
        <v/>
      </c>
      <c r="W75" s="31" t="str">
        <f aca="false">IF(OR($AG75=0,W$3=""),"",IF(AND(INDEX(工程マスタ!$I:$I,$AG75)="○",$E75&gt;=W$3,$E75&lt;EDATE(W$3,1)),"▼",""))</f>
        <v/>
      </c>
      <c r="X75" s="31" t="str">
        <f aca="false">IF(OR($AG75=0,X$3=""),"",IF(AND(INDEX(工程マスタ!$I:$I,$AG75)="○",$E75&gt;=X$3,$E75&lt;EDATE(X$3,1)),"▼",""))</f>
        <v/>
      </c>
      <c r="Y75" s="31" t="str">
        <f aca="false">IF(OR($AG75=0,Y$3=""),"",IF(AND(INDEX(工程マスタ!$I:$I,$AG75)="○",$E75&gt;=Y$3,$E75&lt;EDATE(Y$3,1)),"▼",""))</f>
        <v/>
      </c>
      <c r="Z75" s="31" t="str">
        <f aca="false">IF(OR($AG75=0,Z$3=""),"",IF(AND(INDEX(工程マスタ!$I:$I,$AG75)="○",$E75&gt;=Z$3,$E75&lt;EDATE(Z$3,1)),"▼",""))</f>
        <v/>
      </c>
      <c r="AA75" s="31" t="str">
        <f aca="false">IF(OR($AG75=0,AA$3=""),"",IF(AND(INDEX(工程マスタ!$I:$I,$AG75)="○",$E75&gt;=AA$3,$E75&lt;EDATE(AA$3,1)),"▼",""))</f>
        <v/>
      </c>
      <c r="AB75" s="31" t="str">
        <f aca="false">IF(OR($AG75=0,AB$3=""),"",IF(AND(INDEX(工程マスタ!$I:$I,$AG75)="○",$E75&gt;=AB$3,$E75&lt;EDATE(AB$3,1)),"▼",""))</f>
        <v/>
      </c>
      <c r="AC75" s="31" t="str">
        <f aca="false">IF(OR($AG75=0,AC$3=""),"",IF(AND(INDEX(工程マスタ!$I:$I,$AG75)="○",$E75&gt;=AC$3,$E75&lt;EDATE(AC$3,1)),"▼",""))</f>
        <v/>
      </c>
      <c r="AD75" s="31" t="str">
        <f aca="false">IF(OR($AG75=0,AD$3=""),"",IF(AND(INDEX(工程マスタ!$I:$I,$AG75)="○",$E75&gt;=AD$3,$E75&lt;EDATE(AD$3,1)),"▼",""))</f>
        <v/>
      </c>
      <c r="AE75" s="31" t="str">
        <f aca="false">IF(OR($AG75=0,AE$3=""),"",IF(AND(INDEX(工程マスタ!$I:$I,$AG75)="○",$E75&gt;=AE$3,$E75&lt;EDATE(AE$3,1)),"▼",""))</f>
        <v/>
      </c>
      <c r="AG75" s="27" t="n">
        <f aca="false" t="array" ref="AG75:AG75">IFERROR(SMALL(IF(工程マスタ!$K$5:$K$154&gt;0,ROW(工程マスタ!$C$5:$C$154)),70),0)</f>
        <v>0</v>
      </c>
      <c r="AH75" s="27" t="n">
        <f aca="false">IF($AG75=0,0,INDEX(工程マスタ!$M:$M,$AG75))</f>
        <v>0</v>
      </c>
    </row>
    <row r="76" customFormat="false" ht="15" hidden="false" customHeight="false" outlineLevel="0" collapsed="false">
      <c r="A76" s="28" t="str">
        <f aca="false">IF($AG76=0,"",IF(INDEX(工程マスタ!$A:$A,$AG76)="","",INDEX(工程マスタ!$A:$A,$AG76)))</f>
        <v/>
      </c>
      <c r="B76" s="21" t="str">
        <f aca="false">IF($AG76=0,"",IF(INDEX(工程マスタ!$B:$B,$AG76)="","",INDEX(工程マスタ!$B:$B,$AG76)))</f>
        <v/>
      </c>
      <c r="C76" s="21" t="str">
        <f aca="false">IF($AG76=0,"",IF(INDEX(工程マスタ!$C:$C,$AG76)="","",INDEX(工程マスタ!$C:$C,$AG76)))</f>
        <v/>
      </c>
      <c r="D76" s="21" t="str">
        <f aca="false">IF($AG76=0,"",IF(INDEX(工程マスタ!$D:$D,$AG76)="","",INDEX(工程マスタ!$D:$D,$AG76)))</f>
        <v/>
      </c>
      <c r="E76" s="29" t="str">
        <f aca="false">IF($AG76=0,"",IF(INDEX(工程マスタ!$E:$E,$AG76)="","",INDEX(工程マスタ!$E:$E,$AG76)))</f>
        <v/>
      </c>
      <c r="F76" s="29" t="str">
        <f aca="false">IF($AG76=0,"",IF(INDEX(工程マスタ!$F:$F,$AG76)="","",INDEX(工程マスタ!$F:$F,$AG76)))</f>
        <v/>
      </c>
      <c r="G76" s="30" t="str">
        <f aca="false">IF($AG76=0,"",IF(INDEX(工程マスタ!$H:$H,$AG76)="","",INDEX(工程マスタ!$H:$H,$AG76)))</f>
        <v/>
      </c>
      <c r="H76" s="31" t="str">
        <f aca="false">IF(OR($AG76=0,H$3=""),"",IF(AND(INDEX(工程マスタ!$I:$I,$AG76)="○",$E76&gt;=H$3,$E76&lt;EDATE(H$3,1)),"▼",""))</f>
        <v/>
      </c>
      <c r="I76" s="31" t="str">
        <f aca="false">IF(OR($AG76=0,I$3=""),"",IF(AND(INDEX(工程マスタ!$I:$I,$AG76)="○",$E76&gt;=I$3,$E76&lt;EDATE(I$3,1)),"▼",""))</f>
        <v/>
      </c>
      <c r="J76" s="31" t="str">
        <f aca="false">IF(OR($AG76=0,J$3=""),"",IF(AND(INDEX(工程マスタ!$I:$I,$AG76)="○",$E76&gt;=J$3,$E76&lt;EDATE(J$3,1)),"▼",""))</f>
        <v/>
      </c>
      <c r="K76" s="31" t="str">
        <f aca="false">IF(OR($AG76=0,K$3=""),"",IF(AND(INDEX(工程マスタ!$I:$I,$AG76)="○",$E76&gt;=K$3,$E76&lt;EDATE(K$3,1)),"▼",""))</f>
        <v/>
      </c>
      <c r="L76" s="31" t="str">
        <f aca="false">IF(OR($AG76=0,L$3=""),"",IF(AND(INDEX(工程マスタ!$I:$I,$AG76)="○",$E76&gt;=L$3,$E76&lt;EDATE(L$3,1)),"▼",""))</f>
        <v/>
      </c>
      <c r="M76" s="31" t="str">
        <f aca="false">IF(OR($AG76=0,M$3=""),"",IF(AND(INDEX(工程マスタ!$I:$I,$AG76)="○",$E76&gt;=M$3,$E76&lt;EDATE(M$3,1)),"▼",""))</f>
        <v/>
      </c>
      <c r="N76" s="31" t="str">
        <f aca="false">IF(OR($AG76=0,N$3=""),"",IF(AND(INDEX(工程マスタ!$I:$I,$AG76)="○",$E76&gt;=N$3,$E76&lt;EDATE(N$3,1)),"▼",""))</f>
        <v/>
      </c>
      <c r="O76" s="31" t="str">
        <f aca="false">IF(OR($AG76=0,O$3=""),"",IF(AND(INDEX(工程マスタ!$I:$I,$AG76)="○",$E76&gt;=O$3,$E76&lt;EDATE(O$3,1)),"▼",""))</f>
        <v/>
      </c>
      <c r="P76" s="31" t="str">
        <f aca="false">IF(OR($AG76=0,P$3=""),"",IF(AND(INDEX(工程マスタ!$I:$I,$AG76)="○",$E76&gt;=P$3,$E76&lt;EDATE(P$3,1)),"▼",""))</f>
        <v/>
      </c>
      <c r="Q76" s="31" t="str">
        <f aca="false">IF(OR($AG76=0,Q$3=""),"",IF(AND(INDEX(工程マスタ!$I:$I,$AG76)="○",$E76&gt;=Q$3,$E76&lt;EDATE(Q$3,1)),"▼",""))</f>
        <v/>
      </c>
      <c r="R76" s="31" t="str">
        <f aca="false">IF(OR($AG76=0,R$3=""),"",IF(AND(INDEX(工程マスタ!$I:$I,$AG76)="○",$E76&gt;=R$3,$E76&lt;EDATE(R$3,1)),"▼",""))</f>
        <v/>
      </c>
      <c r="S76" s="31" t="str">
        <f aca="false">IF(OR($AG76=0,S$3=""),"",IF(AND(INDEX(工程マスタ!$I:$I,$AG76)="○",$E76&gt;=S$3,$E76&lt;EDATE(S$3,1)),"▼",""))</f>
        <v/>
      </c>
      <c r="T76" s="31" t="str">
        <f aca="false">IF(OR($AG76=0,T$3=""),"",IF(AND(INDEX(工程マスタ!$I:$I,$AG76)="○",$E76&gt;=T$3,$E76&lt;EDATE(T$3,1)),"▼",""))</f>
        <v/>
      </c>
      <c r="U76" s="31" t="str">
        <f aca="false">IF(OR($AG76=0,U$3=""),"",IF(AND(INDEX(工程マスタ!$I:$I,$AG76)="○",$E76&gt;=U$3,$E76&lt;EDATE(U$3,1)),"▼",""))</f>
        <v/>
      </c>
      <c r="V76" s="31" t="str">
        <f aca="false">IF(OR($AG76=0,V$3=""),"",IF(AND(INDEX(工程マスタ!$I:$I,$AG76)="○",$E76&gt;=V$3,$E76&lt;EDATE(V$3,1)),"▼",""))</f>
        <v/>
      </c>
      <c r="W76" s="31" t="str">
        <f aca="false">IF(OR($AG76=0,W$3=""),"",IF(AND(INDEX(工程マスタ!$I:$I,$AG76)="○",$E76&gt;=W$3,$E76&lt;EDATE(W$3,1)),"▼",""))</f>
        <v/>
      </c>
      <c r="X76" s="31" t="str">
        <f aca="false">IF(OR($AG76=0,X$3=""),"",IF(AND(INDEX(工程マスタ!$I:$I,$AG76)="○",$E76&gt;=X$3,$E76&lt;EDATE(X$3,1)),"▼",""))</f>
        <v/>
      </c>
      <c r="Y76" s="31" t="str">
        <f aca="false">IF(OR($AG76=0,Y$3=""),"",IF(AND(INDEX(工程マスタ!$I:$I,$AG76)="○",$E76&gt;=Y$3,$E76&lt;EDATE(Y$3,1)),"▼",""))</f>
        <v/>
      </c>
      <c r="Z76" s="31" t="str">
        <f aca="false">IF(OR($AG76=0,Z$3=""),"",IF(AND(INDEX(工程マスタ!$I:$I,$AG76)="○",$E76&gt;=Z$3,$E76&lt;EDATE(Z$3,1)),"▼",""))</f>
        <v/>
      </c>
      <c r="AA76" s="31" t="str">
        <f aca="false">IF(OR($AG76=0,AA$3=""),"",IF(AND(INDEX(工程マスタ!$I:$I,$AG76)="○",$E76&gt;=AA$3,$E76&lt;EDATE(AA$3,1)),"▼",""))</f>
        <v/>
      </c>
      <c r="AB76" s="31" t="str">
        <f aca="false">IF(OR($AG76=0,AB$3=""),"",IF(AND(INDEX(工程マスタ!$I:$I,$AG76)="○",$E76&gt;=AB$3,$E76&lt;EDATE(AB$3,1)),"▼",""))</f>
        <v/>
      </c>
      <c r="AC76" s="31" t="str">
        <f aca="false">IF(OR($AG76=0,AC$3=""),"",IF(AND(INDEX(工程マスタ!$I:$I,$AG76)="○",$E76&gt;=AC$3,$E76&lt;EDATE(AC$3,1)),"▼",""))</f>
        <v/>
      </c>
      <c r="AD76" s="31" t="str">
        <f aca="false">IF(OR($AG76=0,AD$3=""),"",IF(AND(INDEX(工程マスタ!$I:$I,$AG76)="○",$E76&gt;=AD$3,$E76&lt;EDATE(AD$3,1)),"▼",""))</f>
        <v/>
      </c>
      <c r="AE76" s="31" t="str">
        <f aca="false">IF(OR($AG76=0,AE$3=""),"",IF(AND(INDEX(工程マスタ!$I:$I,$AG76)="○",$E76&gt;=AE$3,$E76&lt;EDATE(AE$3,1)),"▼",""))</f>
        <v/>
      </c>
      <c r="AG76" s="27" t="n">
        <f aca="false" t="array" ref="AG76:AG76">IFERROR(SMALL(IF(工程マスタ!$K$5:$K$154&gt;0,ROW(工程マスタ!$C$5:$C$154)),71),0)</f>
        <v>0</v>
      </c>
      <c r="AH76" s="27" t="n">
        <f aca="false">IF($AG76=0,0,INDEX(工程マスタ!$M:$M,$AG76))</f>
        <v>0</v>
      </c>
    </row>
    <row r="77" customFormat="false" ht="15" hidden="false" customHeight="false" outlineLevel="0" collapsed="false">
      <c r="A77" s="28" t="str">
        <f aca="false">IF($AG77=0,"",IF(INDEX(工程マスタ!$A:$A,$AG77)="","",INDEX(工程マスタ!$A:$A,$AG77)))</f>
        <v/>
      </c>
      <c r="B77" s="21" t="str">
        <f aca="false">IF($AG77=0,"",IF(INDEX(工程マスタ!$B:$B,$AG77)="","",INDEX(工程マスタ!$B:$B,$AG77)))</f>
        <v/>
      </c>
      <c r="C77" s="21" t="str">
        <f aca="false">IF($AG77=0,"",IF(INDEX(工程マスタ!$C:$C,$AG77)="","",INDEX(工程マスタ!$C:$C,$AG77)))</f>
        <v/>
      </c>
      <c r="D77" s="21" t="str">
        <f aca="false">IF($AG77=0,"",IF(INDEX(工程マスタ!$D:$D,$AG77)="","",INDEX(工程マスタ!$D:$D,$AG77)))</f>
        <v/>
      </c>
      <c r="E77" s="29" t="str">
        <f aca="false">IF($AG77=0,"",IF(INDEX(工程マスタ!$E:$E,$AG77)="","",INDEX(工程マスタ!$E:$E,$AG77)))</f>
        <v/>
      </c>
      <c r="F77" s="29" t="str">
        <f aca="false">IF($AG77=0,"",IF(INDEX(工程マスタ!$F:$F,$AG77)="","",INDEX(工程マスタ!$F:$F,$AG77)))</f>
        <v/>
      </c>
      <c r="G77" s="30" t="str">
        <f aca="false">IF($AG77=0,"",IF(INDEX(工程マスタ!$H:$H,$AG77)="","",INDEX(工程マスタ!$H:$H,$AG77)))</f>
        <v/>
      </c>
      <c r="H77" s="31" t="str">
        <f aca="false">IF(OR($AG77=0,H$3=""),"",IF(AND(INDEX(工程マスタ!$I:$I,$AG77)="○",$E77&gt;=H$3,$E77&lt;EDATE(H$3,1)),"▼",""))</f>
        <v/>
      </c>
      <c r="I77" s="31" t="str">
        <f aca="false">IF(OR($AG77=0,I$3=""),"",IF(AND(INDEX(工程マスタ!$I:$I,$AG77)="○",$E77&gt;=I$3,$E77&lt;EDATE(I$3,1)),"▼",""))</f>
        <v/>
      </c>
      <c r="J77" s="31" t="str">
        <f aca="false">IF(OR($AG77=0,J$3=""),"",IF(AND(INDEX(工程マスタ!$I:$I,$AG77)="○",$E77&gt;=J$3,$E77&lt;EDATE(J$3,1)),"▼",""))</f>
        <v/>
      </c>
      <c r="K77" s="31" t="str">
        <f aca="false">IF(OR($AG77=0,K$3=""),"",IF(AND(INDEX(工程マスタ!$I:$I,$AG77)="○",$E77&gt;=K$3,$E77&lt;EDATE(K$3,1)),"▼",""))</f>
        <v/>
      </c>
      <c r="L77" s="31" t="str">
        <f aca="false">IF(OR($AG77=0,L$3=""),"",IF(AND(INDEX(工程マスタ!$I:$I,$AG77)="○",$E77&gt;=L$3,$E77&lt;EDATE(L$3,1)),"▼",""))</f>
        <v/>
      </c>
      <c r="M77" s="31" t="str">
        <f aca="false">IF(OR($AG77=0,M$3=""),"",IF(AND(INDEX(工程マスタ!$I:$I,$AG77)="○",$E77&gt;=M$3,$E77&lt;EDATE(M$3,1)),"▼",""))</f>
        <v/>
      </c>
      <c r="N77" s="31" t="str">
        <f aca="false">IF(OR($AG77=0,N$3=""),"",IF(AND(INDEX(工程マスタ!$I:$I,$AG77)="○",$E77&gt;=N$3,$E77&lt;EDATE(N$3,1)),"▼",""))</f>
        <v/>
      </c>
      <c r="O77" s="31" t="str">
        <f aca="false">IF(OR($AG77=0,O$3=""),"",IF(AND(INDEX(工程マスタ!$I:$I,$AG77)="○",$E77&gt;=O$3,$E77&lt;EDATE(O$3,1)),"▼",""))</f>
        <v/>
      </c>
      <c r="P77" s="31" t="str">
        <f aca="false">IF(OR($AG77=0,P$3=""),"",IF(AND(INDEX(工程マスタ!$I:$I,$AG77)="○",$E77&gt;=P$3,$E77&lt;EDATE(P$3,1)),"▼",""))</f>
        <v/>
      </c>
      <c r="Q77" s="31" t="str">
        <f aca="false">IF(OR($AG77=0,Q$3=""),"",IF(AND(INDEX(工程マスタ!$I:$I,$AG77)="○",$E77&gt;=Q$3,$E77&lt;EDATE(Q$3,1)),"▼",""))</f>
        <v/>
      </c>
      <c r="R77" s="31" t="str">
        <f aca="false">IF(OR($AG77=0,R$3=""),"",IF(AND(INDEX(工程マスタ!$I:$I,$AG77)="○",$E77&gt;=R$3,$E77&lt;EDATE(R$3,1)),"▼",""))</f>
        <v/>
      </c>
      <c r="S77" s="31" t="str">
        <f aca="false">IF(OR($AG77=0,S$3=""),"",IF(AND(INDEX(工程マスタ!$I:$I,$AG77)="○",$E77&gt;=S$3,$E77&lt;EDATE(S$3,1)),"▼",""))</f>
        <v/>
      </c>
      <c r="T77" s="31" t="str">
        <f aca="false">IF(OR($AG77=0,T$3=""),"",IF(AND(INDEX(工程マスタ!$I:$I,$AG77)="○",$E77&gt;=T$3,$E77&lt;EDATE(T$3,1)),"▼",""))</f>
        <v/>
      </c>
      <c r="U77" s="31" t="str">
        <f aca="false">IF(OR($AG77=0,U$3=""),"",IF(AND(INDEX(工程マスタ!$I:$I,$AG77)="○",$E77&gt;=U$3,$E77&lt;EDATE(U$3,1)),"▼",""))</f>
        <v/>
      </c>
      <c r="V77" s="31" t="str">
        <f aca="false">IF(OR($AG77=0,V$3=""),"",IF(AND(INDEX(工程マスタ!$I:$I,$AG77)="○",$E77&gt;=V$3,$E77&lt;EDATE(V$3,1)),"▼",""))</f>
        <v/>
      </c>
      <c r="W77" s="31" t="str">
        <f aca="false">IF(OR($AG77=0,W$3=""),"",IF(AND(INDEX(工程マスタ!$I:$I,$AG77)="○",$E77&gt;=W$3,$E77&lt;EDATE(W$3,1)),"▼",""))</f>
        <v/>
      </c>
      <c r="X77" s="31" t="str">
        <f aca="false">IF(OR($AG77=0,X$3=""),"",IF(AND(INDEX(工程マスタ!$I:$I,$AG77)="○",$E77&gt;=X$3,$E77&lt;EDATE(X$3,1)),"▼",""))</f>
        <v/>
      </c>
      <c r="Y77" s="31" t="str">
        <f aca="false">IF(OR($AG77=0,Y$3=""),"",IF(AND(INDEX(工程マスタ!$I:$I,$AG77)="○",$E77&gt;=Y$3,$E77&lt;EDATE(Y$3,1)),"▼",""))</f>
        <v/>
      </c>
      <c r="Z77" s="31" t="str">
        <f aca="false">IF(OR($AG77=0,Z$3=""),"",IF(AND(INDEX(工程マスタ!$I:$I,$AG77)="○",$E77&gt;=Z$3,$E77&lt;EDATE(Z$3,1)),"▼",""))</f>
        <v/>
      </c>
      <c r="AA77" s="31" t="str">
        <f aca="false">IF(OR($AG77=0,AA$3=""),"",IF(AND(INDEX(工程マスタ!$I:$I,$AG77)="○",$E77&gt;=AA$3,$E77&lt;EDATE(AA$3,1)),"▼",""))</f>
        <v/>
      </c>
      <c r="AB77" s="31" t="str">
        <f aca="false">IF(OR($AG77=0,AB$3=""),"",IF(AND(INDEX(工程マスタ!$I:$I,$AG77)="○",$E77&gt;=AB$3,$E77&lt;EDATE(AB$3,1)),"▼",""))</f>
        <v/>
      </c>
      <c r="AC77" s="31" t="str">
        <f aca="false">IF(OR($AG77=0,AC$3=""),"",IF(AND(INDEX(工程マスタ!$I:$I,$AG77)="○",$E77&gt;=AC$3,$E77&lt;EDATE(AC$3,1)),"▼",""))</f>
        <v/>
      </c>
      <c r="AD77" s="31" t="str">
        <f aca="false">IF(OR($AG77=0,AD$3=""),"",IF(AND(INDEX(工程マスタ!$I:$I,$AG77)="○",$E77&gt;=AD$3,$E77&lt;EDATE(AD$3,1)),"▼",""))</f>
        <v/>
      </c>
      <c r="AE77" s="31" t="str">
        <f aca="false">IF(OR($AG77=0,AE$3=""),"",IF(AND(INDEX(工程マスタ!$I:$I,$AG77)="○",$E77&gt;=AE$3,$E77&lt;EDATE(AE$3,1)),"▼",""))</f>
        <v/>
      </c>
      <c r="AG77" s="27" t="n">
        <f aca="false" t="array" ref="AG77:AG77">IFERROR(SMALL(IF(工程マスタ!$K$5:$K$154&gt;0,ROW(工程マスタ!$C$5:$C$154)),72),0)</f>
        <v>0</v>
      </c>
      <c r="AH77" s="27" t="n">
        <f aca="false">IF($AG77=0,0,INDEX(工程マスタ!$M:$M,$AG77))</f>
        <v>0</v>
      </c>
    </row>
    <row r="78" customFormat="false" ht="15" hidden="false" customHeight="false" outlineLevel="0" collapsed="false">
      <c r="A78" s="28" t="str">
        <f aca="false">IF($AG78=0,"",IF(INDEX(工程マスタ!$A:$A,$AG78)="","",INDEX(工程マスタ!$A:$A,$AG78)))</f>
        <v/>
      </c>
      <c r="B78" s="21" t="str">
        <f aca="false">IF($AG78=0,"",IF(INDEX(工程マスタ!$B:$B,$AG78)="","",INDEX(工程マスタ!$B:$B,$AG78)))</f>
        <v/>
      </c>
      <c r="C78" s="21" t="str">
        <f aca="false">IF($AG78=0,"",IF(INDEX(工程マスタ!$C:$C,$AG78)="","",INDEX(工程マスタ!$C:$C,$AG78)))</f>
        <v/>
      </c>
      <c r="D78" s="21" t="str">
        <f aca="false">IF($AG78=0,"",IF(INDEX(工程マスタ!$D:$D,$AG78)="","",INDEX(工程マスタ!$D:$D,$AG78)))</f>
        <v/>
      </c>
      <c r="E78" s="29" t="str">
        <f aca="false">IF($AG78=0,"",IF(INDEX(工程マスタ!$E:$E,$AG78)="","",INDEX(工程マスタ!$E:$E,$AG78)))</f>
        <v/>
      </c>
      <c r="F78" s="29" t="str">
        <f aca="false">IF($AG78=0,"",IF(INDEX(工程マスタ!$F:$F,$AG78)="","",INDEX(工程マスタ!$F:$F,$AG78)))</f>
        <v/>
      </c>
      <c r="G78" s="30" t="str">
        <f aca="false">IF($AG78=0,"",IF(INDEX(工程マスタ!$H:$H,$AG78)="","",INDEX(工程マスタ!$H:$H,$AG78)))</f>
        <v/>
      </c>
      <c r="H78" s="31" t="str">
        <f aca="false">IF(OR($AG78=0,H$3=""),"",IF(AND(INDEX(工程マスタ!$I:$I,$AG78)="○",$E78&gt;=H$3,$E78&lt;EDATE(H$3,1)),"▼",""))</f>
        <v/>
      </c>
      <c r="I78" s="31" t="str">
        <f aca="false">IF(OR($AG78=0,I$3=""),"",IF(AND(INDEX(工程マスタ!$I:$I,$AG78)="○",$E78&gt;=I$3,$E78&lt;EDATE(I$3,1)),"▼",""))</f>
        <v/>
      </c>
      <c r="J78" s="31" t="str">
        <f aca="false">IF(OR($AG78=0,J$3=""),"",IF(AND(INDEX(工程マスタ!$I:$I,$AG78)="○",$E78&gt;=J$3,$E78&lt;EDATE(J$3,1)),"▼",""))</f>
        <v/>
      </c>
      <c r="K78" s="31" t="str">
        <f aca="false">IF(OR($AG78=0,K$3=""),"",IF(AND(INDEX(工程マスタ!$I:$I,$AG78)="○",$E78&gt;=K$3,$E78&lt;EDATE(K$3,1)),"▼",""))</f>
        <v/>
      </c>
      <c r="L78" s="31" t="str">
        <f aca="false">IF(OR($AG78=0,L$3=""),"",IF(AND(INDEX(工程マスタ!$I:$I,$AG78)="○",$E78&gt;=L$3,$E78&lt;EDATE(L$3,1)),"▼",""))</f>
        <v/>
      </c>
      <c r="M78" s="31" t="str">
        <f aca="false">IF(OR($AG78=0,M$3=""),"",IF(AND(INDEX(工程マスタ!$I:$I,$AG78)="○",$E78&gt;=M$3,$E78&lt;EDATE(M$3,1)),"▼",""))</f>
        <v/>
      </c>
      <c r="N78" s="31" t="str">
        <f aca="false">IF(OR($AG78=0,N$3=""),"",IF(AND(INDEX(工程マスタ!$I:$I,$AG78)="○",$E78&gt;=N$3,$E78&lt;EDATE(N$3,1)),"▼",""))</f>
        <v/>
      </c>
      <c r="O78" s="31" t="str">
        <f aca="false">IF(OR($AG78=0,O$3=""),"",IF(AND(INDEX(工程マスタ!$I:$I,$AG78)="○",$E78&gt;=O$3,$E78&lt;EDATE(O$3,1)),"▼",""))</f>
        <v/>
      </c>
      <c r="P78" s="31" t="str">
        <f aca="false">IF(OR($AG78=0,P$3=""),"",IF(AND(INDEX(工程マスタ!$I:$I,$AG78)="○",$E78&gt;=P$3,$E78&lt;EDATE(P$3,1)),"▼",""))</f>
        <v/>
      </c>
      <c r="Q78" s="31" t="str">
        <f aca="false">IF(OR($AG78=0,Q$3=""),"",IF(AND(INDEX(工程マスタ!$I:$I,$AG78)="○",$E78&gt;=Q$3,$E78&lt;EDATE(Q$3,1)),"▼",""))</f>
        <v/>
      </c>
      <c r="R78" s="31" t="str">
        <f aca="false">IF(OR($AG78=0,R$3=""),"",IF(AND(INDEX(工程マスタ!$I:$I,$AG78)="○",$E78&gt;=R$3,$E78&lt;EDATE(R$3,1)),"▼",""))</f>
        <v/>
      </c>
      <c r="S78" s="31" t="str">
        <f aca="false">IF(OR($AG78=0,S$3=""),"",IF(AND(INDEX(工程マスタ!$I:$I,$AG78)="○",$E78&gt;=S$3,$E78&lt;EDATE(S$3,1)),"▼",""))</f>
        <v/>
      </c>
      <c r="T78" s="31" t="str">
        <f aca="false">IF(OR($AG78=0,T$3=""),"",IF(AND(INDEX(工程マスタ!$I:$I,$AG78)="○",$E78&gt;=T$3,$E78&lt;EDATE(T$3,1)),"▼",""))</f>
        <v/>
      </c>
      <c r="U78" s="31" t="str">
        <f aca="false">IF(OR($AG78=0,U$3=""),"",IF(AND(INDEX(工程マスタ!$I:$I,$AG78)="○",$E78&gt;=U$3,$E78&lt;EDATE(U$3,1)),"▼",""))</f>
        <v/>
      </c>
      <c r="V78" s="31" t="str">
        <f aca="false">IF(OR($AG78=0,V$3=""),"",IF(AND(INDEX(工程マスタ!$I:$I,$AG78)="○",$E78&gt;=V$3,$E78&lt;EDATE(V$3,1)),"▼",""))</f>
        <v/>
      </c>
      <c r="W78" s="31" t="str">
        <f aca="false">IF(OR($AG78=0,W$3=""),"",IF(AND(INDEX(工程マスタ!$I:$I,$AG78)="○",$E78&gt;=W$3,$E78&lt;EDATE(W$3,1)),"▼",""))</f>
        <v/>
      </c>
      <c r="X78" s="31" t="str">
        <f aca="false">IF(OR($AG78=0,X$3=""),"",IF(AND(INDEX(工程マスタ!$I:$I,$AG78)="○",$E78&gt;=X$3,$E78&lt;EDATE(X$3,1)),"▼",""))</f>
        <v/>
      </c>
      <c r="Y78" s="31" t="str">
        <f aca="false">IF(OR($AG78=0,Y$3=""),"",IF(AND(INDEX(工程マスタ!$I:$I,$AG78)="○",$E78&gt;=Y$3,$E78&lt;EDATE(Y$3,1)),"▼",""))</f>
        <v/>
      </c>
      <c r="Z78" s="31" t="str">
        <f aca="false">IF(OR($AG78=0,Z$3=""),"",IF(AND(INDEX(工程マスタ!$I:$I,$AG78)="○",$E78&gt;=Z$3,$E78&lt;EDATE(Z$3,1)),"▼",""))</f>
        <v/>
      </c>
      <c r="AA78" s="31" t="str">
        <f aca="false">IF(OR($AG78=0,AA$3=""),"",IF(AND(INDEX(工程マスタ!$I:$I,$AG78)="○",$E78&gt;=AA$3,$E78&lt;EDATE(AA$3,1)),"▼",""))</f>
        <v/>
      </c>
      <c r="AB78" s="31" t="str">
        <f aca="false">IF(OR($AG78=0,AB$3=""),"",IF(AND(INDEX(工程マスタ!$I:$I,$AG78)="○",$E78&gt;=AB$3,$E78&lt;EDATE(AB$3,1)),"▼",""))</f>
        <v/>
      </c>
      <c r="AC78" s="31" t="str">
        <f aca="false">IF(OR($AG78=0,AC$3=""),"",IF(AND(INDEX(工程マスタ!$I:$I,$AG78)="○",$E78&gt;=AC$3,$E78&lt;EDATE(AC$3,1)),"▼",""))</f>
        <v/>
      </c>
      <c r="AD78" s="31" t="str">
        <f aca="false">IF(OR($AG78=0,AD$3=""),"",IF(AND(INDEX(工程マスタ!$I:$I,$AG78)="○",$E78&gt;=AD$3,$E78&lt;EDATE(AD$3,1)),"▼",""))</f>
        <v/>
      </c>
      <c r="AE78" s="31" t="str">
        <f aca="false">IF(OR($AG78=0,AE$3=""),"",IF(AND(INDEX(工程マスタ!$I:$I,$AG78)="○",$E78&gt;=AE$3,$E78&lt;EDATE(AE$3,1)),"▼",""))</f>
        <v/>
      </c>
      <c r="AG78" s="27" t="n">
        <f aca="false" t="array" ref="AG78:AG78">IFERROR(SMALL(IF(工程マスタ!$K$5:$K$154&gt;0,ROW(工程マスタ!$C$5:$C$154)),73),0)</f>
        <v>0</v>
      </c>
      <c r="AH78" s="27" t="n">
        <f aca="false">IF($AG78=0,0,INDEX(工程マスタ!$M:$M,$AG78))</f>
        <v>0</v>
      </c>
    </row>
    <row r="79" customFormat="false" ht="15" hidden="false" customHeight="false" outlineLevel="0" collapsed="false">
      <c r="A79" s="28" t="str">
        <f aca="false">IF($AG79=0,"",IF(INDEX(工程マスタ!$A:$A,$AG79)="","",INDEX(工程マスタ!$A:$A,$AG79)))</f>
        <v/>
      </c>
      <c r="B79" s="21" t="str">
        <f aca="false">IF($AG79=0,"",IF(INDEX(工程マスタ!$B:$B,$AG79)="","",INDEX(工程マスタ!$B:$B,$AG79)))</f>
        <v/>
      </c>
      <c r="C79" s="21" t="str">
        <f aca="false">IF($AG79=0,"",IF(INDEX(工程マスタ!$C:$C,$AG79)="","",INDEX(工程マスタ!$C:$C,$AG79)))</f>
        <v/>
      </c>
      <c r="D79" s="21" t="str">
        <f aca="false">IF($AG79=0,"",IF(INDEX(工程マスタ!$D:$D,$AG79)="","",INDEX(工程マスタ!$D:$D,$AG79)))</f>
        <v/>
      </c>
      <c r="E79" s="29" t="str">
        <f aca="false">IF($AG79=0,"",IF(INDEX(工程マスタ!$E:$E,$AG79)="","",INDEX(工程マスタ!$E:$E,$AG79)))</f>
        <v/>
      </c>
      <c r="F79" s="29" t="str">
        <f aca="false">IF($AG79=0,"",IF(INDEX(工程マスタ!$F:$F,$AG79)="","",INDEX(工程マスタ!$F:$F,$AG79)))</f>
        <v/>
      </c>
      <c r="G79" s="30" t="str">
        <f aca="false">IF($AG79=0,"",IF(INDEX(工程マスタ!$H:$H,$AG79)="","",INDEX(工程マスタ!$H:$H,$AG79)))</f>
        <v/>
      </c>
      <c r="H79" s="31" t="str">
        <f aca="false">IF(OR($AG79=0,H$3=""),"",IF(AND(INDEX(工程マスタ!$I:$I,$AG79)="○",$E79&gt;=H$3,$E79&lt;EDATE(H$3,1)),"▼",""))</f>
        <v/>
      </c>
      <c r="I79" s="31" t="str">
        <f aca="false">IF(OR($AG79=0,I$3=""),"",IF(AND(INDEX(工程マスタ!$I:$I,$AG79)="○",$E79&gt;=I$3,$E79&lt;EDATE(I$3,1)),"▼",""))</f>
        <v/>
      </c>
      <c r="J79" s="31" t="str">
        <f aca="false">IF(OR($AG79=0,J$3=""),"",IF(AND(INDEX(工程マスタ!$I:$I,$AG79)="○",$E79&gt;=J$3,$E79&lt;EDATE(J$3,1)),"▼",""))</f>
        <v/>
      </c>
      <c r="K79" s="31" t="str">
        <f aca="false">IF(OR($AG79=0,K$3=""),"",IF(AND(INDEX(工程マスタ!$I:$I,$AG79)="○",$E79&gt;=K$3,$E79&lt;EDATE(K$3,1)),"▼",""))</f>
        <v/>
      </c>
      <c r="L79" s="31" t="str">
        <f aca="false">IF(OR($AG79=0,L$3=""),"",IF(AND(INDEX(工程マスタ!$I:$I,$AG79)="○",$E79&gt;=L$3,$E79&lt;EDATE(L$3,1)),"▼",""))</f>
        <v/>
      </c>
      <c r="M79" s="31" t="str">
        <f aca="false">IF(OR($AG79=0,M$3=""),"",IF(AND(INDEX(工程マスタ!$I:$I,$AG79)="○",$E79&gt;=M$3,$E79&lt;EDATE(M$3,1)),"▼",""))</f>
        <v/>
      </c>
      <c r="N79" s="31" t="str">
        <f aca="false">IF(OR($AG79=0,N$3=""),"",IF(AND(INDEX(工程マスタ!$I:$I,$AG79)="○",$E79&gt;=N$3,$E79&lt;EDATE(N$3,1)),"▼",""))</f>
        <v/>
      </c>
      <c r="O79" s="31" t="str">
        <f aca="false">IF(OR($AG79=0,O$3=""),"",IF(AND(INDEX(工程マスタ!$I:$I,$AG79)="○",$E79&gt;=O$3,$E79&lt;EDATE(O$3,1)),"▼",""))</f>
        <v/>
      </c>
      <c r="P79" s="31" t="str">
        <f aca="false">IF(OR($AG79=0,P$3=""),"",IF(AND(INDEX(工程マスタ!$I:$I,$AG79)="○",$E79&gt;=P$3,$E79&lt;EDATE(P$3,1)),"▼",""))</f>
        <v/>
      </c>
      <c r="Q79" s="31" t="str">
        <f aca="false">IF(OR($AG79=0,Q$3=""),"",IF(AND(INDEX(工程マスタ!$I:$I,$AG79)="○",$E79&gt;=Q$3,$E79&lt;EDATE(Q$3,1)),"▼",""))</f>
        <v/>
      </c>
      <c r="R79" s="31" t="str">
        <f aca="false">IF(OR($AG79=0,R$3=""),"",IF(AND(INDEX(工程マスタ!$I:$I,$AG79)="○",$E79&gt;=R$3,$E79&lt;EDATE(R$3,1)),"▼",""))</f>
        <v/>
      </c>
      <c r="S79" s="31" t="str">
        <f aca="false">IF(OR($AG79=0,S$3=""),"",IF(AND(INDEX(工程マスタ!$I:$I,$AG79)="○",$E79&gt;=S$3,$E79&lt;EDATE(S$3,1)),"▼",""))</f>
        <v/>
      </c>
      <c r="T79" s="31" t="str">
        <f aca="false">IF(OR($AG79=0,T$3=""),"",IF(AND(INDEX(工程マスタ!$I:$I,$AG79)="○",$E79&gt;=T$3,$E79&lt;EDATE(T$3,1)),"▼",""))</f>
        <v/>
      </c>
      <c r="U79" s="31" t="str">
        <f aca="false">IF(OR($AG79=0,U$3=""),"",IF(AND(INDEX(工程マスタ!$I:$I,$AG79)="○",$E79&gt;=U$3,$E79&lt;EDATE(U$3,1)),"▼",""))</f>
        <v/>
      </c>
      <c r="V79" s="31" t="str">
        <f aca="false">IF(OR($AG79=0,V$3=""),"",IF(AND(INDEX(工程マスタ!$I:$I,$AG79)="○",$E79&gt;=V$3,$E79&lt;EDATE(V$3,1)),"▼",""))</f>
        <v/>
      </c>
      <c r="W79" s="31" t="str">
        <f aca="false">IF(OR($AG79=0,W$3=""),"",IF(AND(INDEX(工程マスタ!$I:$I,$AG79)="○",$E79&gt;=W$3,$E79&lt;EDATE(W$3,1)),"▼",""))</f>
        <v/>
      </c>
      <c r="X79" s="31" t="str">
        <f aca="false">IF(OR($AG79=0,X$3=""),"",IF(AND(INDEX(工程マスタ!$I:$I,$AG79)="○",$E79&gt;=X$3,$E79&lt;EDATE(X$3,1)),"▼",""))</f>
        <v/>
      </c>
      <c r="Y79" s="31" t="str">
        <f aca="false">IF(OR($AG79=0,Y$3=""),"",IF(AND(INDEX(工程マスタ!$I:$I,$AG79)="○",$E79&gt;=Y$3,$E79&lt;EDATE(Y$3,1)),"▼",""))</f>
        <v/>
      </c>
      <c r="Z79" s="31" t="str">
        <f aca="false">IF(OR($AG79=0,Z$3=""),"",IF(AND(INDEX(工程マスタ!$I:$I,$AG79)="○",$E79&gt;=Z$3,$E79&lt;EDATE(Z$3,1)),"▼",""))</f>
        <v/>
      </c>
      <c r="AA79" s="31" t="str">
        <f aca="false">IF(OR($AG79=0,AA$3=""),"",IF(AND(INDEX(工程マスタ!$I:$I,$AG79)="○",$E79&gt;=AA$3,$E79&lt;EDATE(AA$3,1)),"▼",""))</f>
        <v/>
      </c>
      <c r="AB79" s="31" t="str">
        <f aca="false">IF(OR($AG79=0,AB$3=""),"",IF(AND(INDEX(工程マスタ!$I:$I,$AG79)="○",$E79&gt;=AB$3,$E79&lt;EDATE(AB$3,1)),"▼",""))</f>
        <v/>
      </c>
      <c r="AC79" s="31" t="str">
        <f aca="false">IF(OR($AG79=0,AC$3=""),"",IF(AND(INDEX(工程マスタ!$I:$I,$AG79)="○",$E79&gt;=AC$3,$E79&lt;EDATE(AC$3,1)),"▼",""))</f>
        <v/>
      </c>
      <c r="AD79" s="31" t="str">
        <f aca="false">IF(OR($AG79=0,AD$3=""),"",IF(AND(INDEX(工程マスタ!$I:$I,$AG79)="○",$E79&gt;=AD$3,$E79&lt;EDATE(AD$3,1)),"▼",""))</f>
        <v/>
      </c>
      <c r="AE79" s="31" t="str">
        <f aca="false">IF(OR($AG79=0,AE$3=""),"",IF(AND(INDEX(工程マスタ!$I:$I,$AG79)="○",$E79&gt;=AE$3,$E79&lt;EDATE(AE$3,1)),"▼",""))</f>
        <v/>
      </c>
      <c r="AG79" s="27" t="n">
        <f aca="false" t="array" ref="AG79:AG79">IFERROR(SMALL(IF(工程マスタ!$K$5:$K$154&gt;0,ROW(工程マスタ!$C$5:$C$154)),74),0)</f>
        <v>0</v>
      </c>
      <c r="AH79" s="27" t="n">
        <f aca="false">IF($AG79=0,0,INDEX(工程マスタ!$M:$M,$AG79))</f>
        <v>0</v>
      </c>
    </row>
    <row r="80" customFormat="false" ht="15" hidden="false" customHeight="false" outlineLevel="0" collapsed="false">
      <c r="A80" s="28" t="str">
        <f aca="false">IF($AG80=0,"",IF(INDEX(工程マスタ!$A:$A,$AG80)="","",INDEX(工程マスタ!$A:$A,$AG80)))</f>
        <v/>
      </c>
      <c r="B80" s="21" t="str">
        <f aca="false">IF($AG80=0,"",IF(INDEX(工程マスタ!$B:$B,$AG80)="","",INDEX(工程マスタ!$B:$B,$AG80)))</f>
        <v/>
      </c>
      <c r="C80" s="21" t="str">
        <f aca="false">IF($AG80=0,"",IF(INDEX(工程マスタ!$C:$C,$AG80)="","",INDEX(工程マスタ!$C:$C,$AG80)))</f>
        <v/>
      </c>
      <c r="D80" s="21" t="str">
        <f aca="false">IF($AG80=0,"",IF(INDEX(工程マスタ!$D:$D,$AG80)="","",INDEX(工程マスタ!$D:$D,$AG80)))</f>
        <v/>
      </c>
      <c r="E80" s="29" t="str">
        <f aca="false">IF($AG80=0,"",IF(INDEX(工程マスタ!$E:$E,$AG80)="","",INDEX(工程マスタ!$E:$E,$AG80)))</f>
        <v/>
      </c>
      <c r="F80" s="29" t="str">
        <f aca="false">IF($AG80=0,"",IF(INDEX(工程マスタ!$F:$F,$AG80)="","",INDEX(工程マスタ!$F:$F,$AG80)))</f>
        <v/>
      </c>
      <c r="G80" s="30" t="str">
        <f aca="false">IF($AG80=0,"",IF(INDEX(工程マスタ!$H:$H,$AG80)="","",INDEX(工程マスタ!$H:$H,$AG80)))</f>
        <v/>
      </c>
      <c r="H80" s="31" t="str">
        <f aca="false">IF(OR($AG80=0,H$3=""),"",IF(AND(INDEX(工程マスタ!$I:$I,$AG80)="○",$E80&gt;=H$3,$E80&lt;EDATE(H$3,1)),"▼",""))</f>
        <v/>
      </c>
      <c r="I80" s="31" t="str">
        <f aca="false">IF(OR($AG80=0,I$3=""),"",IF(AND(INDEX(工程マスタ!$I:$I,$AG80)="○",$E80&gt;=I$3,$E80&lt;EDATE(I$3,1)),"▼",""))</f>
        <v/>
      </c>
      <c r="J80" s="31" t="str">
        <f aca="false">IF(OR($AG80=0,J$3=""),"",IF(AND(INDEX(工程マスタ!$I:$I,$AG80)="○",$E80&gt;=J$3,$E80&lt;EDATE(J$3,1)),"▼",""))</f>
        <v/>
      </c>
      <c r="K80" s="31" t="str">
        <f aca="false">IF(OR($AG80=0,K$3=""),"",IF(AND(INDEX(工程マスタ!$I:$I,$AG80)="○",$E80&gt;=K$3,$E80&lt;EDATE(K$3,1)),"▼",""))</f>
        <v/>
      </c>
      <c r="L80" s="31" t="str">
        <f aca="false">IF(OR($AG80=0,L$3=""),"",IF(AND(INDEX(工程マスタ!$I:$I,$AG80)="○",$E80&gt;=L$3,$E80&lt;EDATE(L$3,1)),"▼",""))</f>
        <v/>
      </c>
      <c r="M80" s="31" t="str">
        <f aca="false">IF(OR($AG80=0,M$3=""),"",IF(AND(INDEX(工程マスタ!$I:$I,$AG80)="○",$E80&gt;=M$3,$E80&lt;EDATE(M$3,1)),"▼",""))</f>
        <v/>
      </c>
      <c r="N80" s="31" t="str">
        <f aca="false">IF(OR($AG80=0,N$3=""),"",IF(AND(INDEX(工程マスタ!$I:$I,$AG80)="○",$E80&gt;=N$3,$E80&lt;EDATE(N$3,1)),"▼",""))</f>
        <v/>
      </c>
      <c r="O80" s="31" t="str">
        <f aca="false">IF(OR($AG80=0,O$3=""),"",IF(AND(INDEX(工程マスタ!$I:$I,$AG80)="○",$E80&gt;=O$3,$E80&lt;EDATE(O$3,1)),"▼",""))</f>
        <v/>
      </c>
      <c r="P80" s="31" t="str">
        <f aca="false">IF(OR($AG80=0,P$3=""),"",IF(AND(INDEX(工程マスタ!$I:$I,$AG80)="○",$E80&gt;=P$3,$E80&lt;EDATE(P$3,1)),"▼",""))</f>
        <v/>
      </c>
      <c r="Q80" s="31" t="str">
        <f aca="false">IF(OR($AG80=0,Q$3=""),"",IF(AND(INDEX(工程マスタ!$I:$I,$AG80)="○",$E80&gt;=Q$3,$E80&lt;EDATE(Q$3,1)),"▼",""))</f>
        <v/>
      </c>
      <c r="R80" s="31" t="str">
        <f aca="false">IF(OR($AG80=0,R$3=""),"",IF(AND(INDEX(工程マスタ!$I:$I,$AG80)="○",$E80&gt;=R$3,$E80&lt;EDATE(R$3,1)),"▼",""))</f>
        <v/>
      </c>
      <c r="S80" s="31" t="str">
        <f aca="false">IF(OR($AG80=0,S$3=""),"",IF(AND(INDEX(工程マスタ!$I:$I,$AG80)="○",$E80&gt;=S$3,$E80&lt;EDATE(S$3,1)),"▼",""))</f>
        <v/>
      </c>
      <c r="T80" s="31" t="str">
        <f aca="false">IF(OR($AG80=0,T$3=""),"",IF(AND(INDEX(工程マスタ!$I:$I,$AG80)="○",$E80&gt;=T$3,$E80&lt;EDATE(T$3,1)),"▼",""))</f>
        <v/>
      </c>
      <c r="U80" s="31" t="str">
        <f aca="false">IF(OR($AG80=0,U$3=""),"",IF(AND(INDEX(工程マスタ!$I:$I,$AG80)="○",$E80&gt;=U$3,$E80&lt;EDATE(U$3,1)),"▼",""))</f>
        <v/>
      </c>
      <c r="V80" s="31" t="str">
        <f aca="false">IF(OR($AG80=0,V$3=""),"",IF(AND(INDEX(工程マスタ!$I:$I,$AG80)="○",$E80&gt;=V$3,$E80&lt;EDATE(V$3,1)),"▼",""))</f>
        <v/>
      </c>
      <c r="W80" s="31" t="str">
        <f aca="false">IF(OR($AG80=0,W$3=""),"",IF(AND(INDEX(工程マスタ!$I:$I,$AG80)="○",$E80&gt;=W$3,$E80&lt;EDATE(W$3,1)),"▼",""))</f>
        <v/>
      </c>
      <c r="X80" s="31" t="str">
        <f aca="false">IF(OR($AG80=0,X$3=""),"",IF(AND(INDEX(工程マスタ!$I:$I,$AG80)="○",$E80&gt;=X$3,$E80&lt;EDATE(X$3,1)),"▼",""))</f>
        <v/>
      </c>
      <c r="Y80" s="31" t="str">
        <f aca="false">IF(OR($AG80=0,Y$3=""),"",IF(AND(INDEX(工程マスタ!$I:$I,$AG80)="○",$E80&gt;=Y$3,$E80&lt;EDATE(Y$3,1)),"▼",""))</f>
        <v/>
      </c>
      <c r="Z80" s="31" t="str">
        <f aca="false">IF(OR($AG80=0,Z$3=""),"",IF(AND(INDEX(工程マスタ!$I:$I,$AG80)="○",$E80&gt;=Z$3,$E80&lt;EDATE(Z$3,1)),"▼",""))</f>
        <v/>
      </c>
      <c r="AA80" s="31" t="str">
        <f aca="false">IF(OR($AG80=0,AA$3=""),"",IF(AND(INDEX(工程マスタ!$I:$I,$AG80)="○",$E80&gt;=AA$3,$E80&lt;EDATE(AA$3,1)),"▼",""))</f>
        <v/>
      </c>
      <c r="AB80" s="31" t="str">
        <f aca="false">IF(OR($AG80=0,AB$3=""),"",IF(AND(INDEX(工程マスタ!$I:$I,$AG80)="○",$E80&gt;=AB$3,$E80&lt;EDATE(AB$3,1)),"▼",""))</f>
        <v/>
      </c>
      <c r="AC80" s="31" t="str">
        <f aca="false">IF(OR($AG80=0,AC$3=""),"",IF(AND(INDEX(工程マスタ!$I:$I,$AG80)="○",$E80&gt;=AC$3,$E80&lt;EDATE(AC$3,1)),"▼",""))</f>
        <v/>
      </c>
      <c r="AD80" s="31" t="str">
        <f aca="false">IF(OR($AG80=0,AD$3=""),"",IF(AND(INDEX(工程マスタ!$I:$I,$AG80)="○",$E80&gt;=AD$3,$E80&lt;EDATE(AD$3,1)),"▼",""))</f>
        <v/>
      </c>
      <c r="AE80" s="31" t="str">
        <f aca="false">IF(OR($AG80=0,AE$3=""),"",IF(AND(INDEX(工程マスタ!$I:$I,$AG80)="○",$E80&gt;=AE$3,$E80&lt;EDATE(AE$3,1)),"▼",""))</f>
        <v/>
      </c>
      <c r="AG80" s="27" t="n">
        <f aca="false" t="array" ref="AG80:AG80">IFERROR(SMALL(IF(工程マスタ!$K$5:$K$154&gt;0,ROW(工程マスタ!$C$5:$C$154)),75),0)</f>
        <v>0</v>
      </c>
      <c r="AH80" s="27" t="n">
        <f aca="false">IF($AG80=0,0,INDEX(工程マスタ!$M:$M,$AG80))</f>
        <v>0</v>
      </c>
    </row>
    <row r="81" customFormat="false" ht="15" hidden="false" customHeight="false" outlineLevel="0" collapsed="false">
      <c r="A81" s="28" t="str">
        <f aca="false">IF($AG81=0,"",IF(INDEX(工程マスタ!$A:$A,$AG81)="","",INDEX(工程マスタ!$A:$A,$AG81)))</f>
        <v/>
      </c>
      <c r="B81" s="21" t="str">
        <f aca="false">IF($AG81=0,"",IF(INDEX(工程マスタ!$B:$B,$AG81)="","",INDEX(工程マスタ!$B:$B,$AG81)))</f>
        <v/>
      </c>
      <c r="C81" s="21" t="str">
        <f aca="false">IF($AG81=0,"",IF(INDEX(工程マスタ!$C:$C,$AG81)="","",INDEX(工程マスタ!$C:$C,$AG81)))</f>
        <v/>
      </c>
      <c r="D81" s="21" t="str">
        <f aca="false">IF($AG81=0,"",IF(INDEX(工程マスタ!$D:$D,$AG81)="","",INDEX(工程マスタ!$D:$D,$AG81)))</f>
        <v/>
      </c>
      <c r="E81" s="29" t="str">
        <f aca="false">IF($AG81=0,"",IF(INDEX(工程マスタ!$E:$E,$AG81)="","",INDEX(工程マスタ!$E:$E,$AG81)))</f>
        <v/>
      </c>
      <c r="F81" s="29" t="str">
        <f aca="false">IF($AG81=0,"",IF(INDEX(工程マスタ!$F:$F,$AG81)="","",INDEX(工程マスタ!$F:$F,$AG81)))</f>
        <v/>
      </c>
      <c r="G81" s="30" t="str">
        <f aca="false">IF($AG81=0,"",IF(INDEX(工程マスタ!$H:$H,$AG81)="","",INDEX(工程マスタ!$H:$H,$AG81)))</f>
        <v/>
      </c>
      <c r="H81" s="31" t="str">
        <f aca="false">IF(OR($AG81=0,H$3=""),"",IF(AND(INDEX(工程マスタ!$I:$I,$AG81)="○",$E81&gt;=H$3,$E81&lt;EDATE(H$3,1)),"▼",""))</f>
        <v/>
      </c>
      <c r="I81" s="31" t="str">
        <f aca="false">IF(OR($AG81=0,I$3=""),"",IF(AND(INDEX(工程マスタ!$I:$I,$AG81)="○",$E81&gt;=I$3,$E81&lt;EDATE(I$3,1)),"▼",""))</f>
        <v/>
      </c>
      <c r="J81" s="31" t="str">
        <f aca="false">IF(OR($AG81=0,J$3=""),"",IF(AND(INDEX(工程マスタ!$I:$I,$AG81)="○",$E81&gt;=J$3,$E81&lt;EDATE(J$3,1)),"▼",""))</f>
        <v/>
      </c>
      <c r="K81" s="31" t="str">
        <f aca="false">IF(OR($AG81=0,K$3=""),"",IF(AND(INDEX(工程マスタ!$I:$I,$AG81)="○",$E81&gt;=K$3,$E81&lt;EDATE(K$3,1)),"▼",""))</f>
        <v/>
      </c>
      <c r="L81" s="31" t="str">
        <f aca="false">IF(OR($AG81=0,L$3=""),"",IF(AND(INDEX(工程マスタ!$I:$I,$AG81)="○",$E81&gt;=L$3,$E81&lt;EDATE(L$3,1)),"▼",""))</f>
        <v/>
      </c>
      <c r="M81" s="31" t="str">
        <f aca="false">IF(OR($AG81=0,M$3=""),"",IF(AND(INDEX(工程マスタ!$I:$I,$AG81)="○",$E81&gt;=M$3,$E81&lt;EDATE(M$3,1)),"▼",""))</f>
        <v/>
      </c>
      <c r="N81" s="31" t="str">
        <f aca="false">IF(OR($AG81=0,N$3=""),"",IF(AND(INDEX(工程マスタ!$I:$I,$AG81)="○",$E81&gt;=N$3,$E81&lt;EDATE(N$3,1)),"▼",""))</f>
        <v/>
      </c>
      <c r="O81" s="31" t="str">
        <f aca="false">IF(OR($AG81=0,O$3=""),"",IF(AND(INDEX(工程マスタ!$I:$I,$AG81)="○",$E81&gt;=O$3,$E81&lt;EDATE(O$3,1)),"▼",""))</f>
        <v/>
      </c>
      <c r="P81" s="31" t="str">
        <f aca="false">IF(OR($AG81=0,P$3=""),"",IF(AND(INDEX(工程マスタ!$I:$I,$AG81)="○",$E81&gt;=P$3,$E81&lt;EDATE(P$3,1)),"▼",""))</f>
        <v/>
      </c>
      <c r="Q81" s="31" t="str">
        <f aca="false">IF(OR($AG81=0,Q$3=""),"",IF(AND(INDEX(工程マスタ!$I:$I,$AG81)="○",$E81&gt;=Q$3,$E81&lt;EDATE(Q$3,1)),"▼",""))</f>
        <v/>
      </c>
      <c r="R81" s="31" t="str">
        <f aca="false">IF(OR($AG81=0,R$3=""),"",IF(AND(INDEX(工程マスタ!$I:$I,$AG81)="○",$E81&gt;=R$3,$E81&lt;EDATE(R$3,1)),"▼",""))</f>
        <v/>
      </c>
      <c r="S81" s="31" t="str">
        <f aca="false">IF(OR($AG81=0,S$3=""),"",IF(AND(INDEX(工程マスタ!$I:$I,$AG81)="○",$E81&gt;=S$3,$E81&lt;EDATE(S$3,1)),"▼",""))</f>
        <v/>
      </c>
      <c r="T81" s="31" t="str">
        <f aca="false">IF(OR($AG81=0,T$3=""),"",IF(AND(INDEX(工程マスタ!$I:$I,$AG81)="○",$E81&gt;=T$3,$E81&lt;EDATE(T$3,1)),"▼",""))</f>
        <v/>
      </c>
      <c r="U81" s="31" t="str">
        <f aca="false">IF(OR($AG81=0,U$3=""),"",IF(AND(INDEX(工程マスタ!$I:$I,$AG81)="○",$E81&gt;=U$3,$E81&lt;EDATE(U$3,1)),"▼",""))</f>
        <v/>
      </c>
      <c r="V81" s="31" t="str">
        <f aca="false">IF(OR($AG81=0,V$3=""),"",IF(AND(INDEX(工程マスタ!$I:$I,$AG81)="○",$E81&gt;=V$3,$E81&lt;EDATE(V$3,1)),"▼",""))</f>
        <v/>
      </c>
      <c r="W81" s="31" t="str">
        <f aca="false">IF(OR($AG81=0,W$3=""),"",IF(AND(INDEX(工程マスタ!$I:$I,$AG81)="○",$E81&gt;=W$3,$E81&lt;EDATE(W$3,1)),"▼",""))</f>
        <v/>
      </c>
      <c r="X81" s="31" t="str">
        <f aca="false">IF(OR($AG81=0,X$3=""),"",IF(AND(INDEX(工程マスタ!$I:$I,$AG81)="○",$E81&gt;=X$3,$E81&lt;EDATE(X$3,1)),"▼",""))</f>
        <v/>
      </c>
      <c r="Y81" s="31" t="str">
        <f aca="false">IF(OR($AG81=0,Y$3=""),"",IF(AND(INDEX(工程マスタ!$I:$I,$AG81)="○",$E81&gt;=Y$3,$E81&lt;EDATE(Y$3,1)),"▼",""))</f>
        <v/>
      </c>
      <c r="Z81" s="31" t="str">
        <f aca="false">IF(OR($AG81=0,Z$3=""),"",IF(AND(INDEX(工程マスタ!$I:$I,$AG81)="○",$E81&gt;=Z$3,$E81&lt;EDATE(Z$3,1)),"▼",""))</f>
        <v/>
      </c>
      <c r="AA81" s="31" t="str">
        <f aca="false">IF(OR($AG81=0,AA$3=""),"",IF(AND(INDEX(工程マスタ!$I:$I,$AG81)="○",$E81&gt;=AA$3,$E81&lt;EDATE(AA$3,1)),"▼",""))</f>
        <v/>
      </c>
      <c r="AB81" s="31" t="str">
        <f aca="false">IF(OR($AG81=0,AB$3=""),"",IF(AND(INDEX(工程マスタ!$I:$I,$AG81)="○",$E81&gt;=AB$3,$E81&lt;EDATE(AB$3,1)),"▼",""))</f>
        <v/>
      </c>
      <c r="AC81" s="31" t="str">
        <f aca="false">IF(OR($AG81=0,AC$3=""),"",IF(AND(INDEX(工程マスタ!$I:$I,$AG81)="○",$E81&gt;=AC$3,$E81&lt;EDATE(AC$3,1)),"▼",""))</f>
        <v/>
      </c>
      <c r="AD81" s="31" t="str">
        <f aca="false">IF(OR($AG81=0,AD$3=""),"",IF(AND(INDEX(工程マスタ!$I:$I,$AG81)="○",$E81&gt;=AD$3,$E81&lt;EDATE(AD$3,1)),"▼",""))</f>
        <v/>
      </c>
      <c r="AE81" s="31" t="str">
        <f aca="false">IF(OR($AG81=0,AE$3=""),"",IF(AND(INDEX(工程マスタ!$I:$I,$AG81)="○",$E81&gt;=AE$3,$E81&lt;EDATE(AE$3,1)),"▼",""))</f>
        <v/>
      </c>
      <c r="AG81" s="27" t="n">
        <f aca="false" t="array" ref="AG81:AG81">IFERROR(SMALL(IF(工程マスタ!$K$5:$K$154&gt;0,ROW(工程マスタ!$C$5:$C$154)),76),0)</f>
        <v>0</v>
      </c>
      <c r="AH81" s="27" t="n">
        <f aca="false">IF($AG81=0,0,INDEX(工程マスタ!$M:$M,$AG81))</f>
        <v>0</v>
      </c>
    </row>
    <row r="82" customFormat="false" ht="15" hidden="false" customHeight="false" outlineLevel="0" collapsed="false">
      <c r="A82" s="28" t="str">
        <f aca="false">IF($AG82=0,"",IF(INDEX(工程マスタ!$A:$A,$AG82)="","",INDEX(工程マスタ!$A:$A,$AG82)))</f>
        <v/>
      </c>
      <c r="B82" s="21" t="str">
        <f aca="false">IF($AG82=0,"",IF(INDEX(工程マスタ!$B:$B,$AG82)="","",INDEX(工程マスタ!$B:$B,$AG82)))</f>
        <v/>
      </c>
      <c r="C82" s="21" t="str">
        <f aca="false">IF($AG82=0,"",IF(INDEX(工程マスタ!$C:$C,$AG82)="","",INDEX(工程マスタ!$C:$C,$AG82)))</f>
        <v/>
      </c>
      <c r="D82" s="21" t="str">
        <f aca="false">IF($AG82=0,"",IF(INDEX(工程マスタ!$D:$D,$AG82)="","",INDEX(工程マスタ!$D:$D,$AG82)))</f>
        <v/>
      </c>
      <c r="E82" s="29" t="str">
        <f aca="false">IF($AG82=0,"",IF(INDEX(工程マスタ!$E:$E,$AG82)="","",INDEX(工程マスタ!$E:$E,$AG82)))</f>
        <v/>
      </c>
      <c r="F82" s="29" t="str">
        <f aca="false">IF($AG82=0,"",IF(INDEX(工程マスタ!$F:$F,$AG82)="","",INDEX(工程マスタ!$F:$F,$AG82)))</f>
        <v/>
      </c>
      <c r="G82" s="30" t="str">
        <f aca="false">IF($AG82=0,"",IF(INDEX(工程マスタ!$H:$H,$AG82)="","",INDEX(工程マスタ!$H:$H,$AG82)))</f>
        <v/>
      </c>
      <c r="H82" s="31" t="str">
        <f aca="false">IF(OR($AG82=0,H$3=""),"",IF(AND(INDEX(工程マスタ!$I:$I,$AG82)="○",$E82&gt;=H$3,$E82&lt;EDATE(H$3,1)),"▼",""))</f>
        <v/>
      </c>
      <c r="I82" s="31" t="str">
        <f aca="false">IF(OR($AG82=0,I$3=""),"",IF(AND(INDEX(工程マスタ!$I:$I,$AG82)="○",$E82&gt;=I$3,$E82&lt;EDATE(I$3,1)),"▼",""))</f>
        <v/>
      </c>
      <c r="J82" s="31" t="str">
        <f aca="false">IF(OR($AG82=0,J$3=""),"",IF(AND(INDEX(工程マスタ!$I:$I,$AG82)="○",$E82&gt;=J$3,$E82&lt;EDATE(J$3,1)),"▼",""))</f>
        <v/>
      </c>
      <c r="K82" s="31" t="str">
        <f aca="false">IF(OR($AG82=0,K$3=""),"",IF(AND(INDEX(工程マスタ!$I:$I,$AG82)="○",$E82&gt;=K$3,$E82&lt;EDATE(K$3,1)),"▼",""))</f>
        <v/>
      </c>
      <c r="L82" s="31" t="str">
        <f aca="false">IF(OR($AG82=0,L$3=""),"",IF(AND(INDEX(工程マスタ!$I:$I,$AG82)="○",$E82&gt;=L$3,$E82&lt;EDATE(L$3,1)),"▼",""))</f>
        <v/>
      </c>
      <c r="M82" s="31" t="str">
        <f aca="false">IF(OR($AG82=0,M$3=""),"",IF(AND(INDEX(工程マスタ!$I:$I,$AG82)="○",$E82&gt;=M$3,$E82&lt;EDATE(M$3,1)),"▼",""))</f>
        <v/>
      </c>
      <c r="N82" s="31" t="str">
        <f aca="false">IF(OR($AG82=0,N$3=""),"",IF(AND(INDEX(工程マスタ!$I:$I,$AG82)="○",$E82&gt;=N$3,$E82&lt;EDATE(N$3,1)),"▼",""))</f>
        <v/>
      </c>
      <c r="O82" s="31" t="str">
        <f aca="false">IF(OR($AG82=0,O$3=""),"",IF(AND(INDEX(工程マスタ!$I:$I,$AG82)="○",$E82&gt;=O$3,$E82&lt;EDATE(O$3,1)),"▼",""))</f>
        <v/>
      </c>
      <c r="P82" s="31" t="str">
        <f aca="false">IF(OR($AG82=0,P$3=""),"",IF(AND(INDEX(工程マスタ!$I:$I,$AG82)="○",$E82&gt;=P$3,$E82&lt;EDATE(P$3,1)),"▼",""))</f>
        <v/>
      </c>
      <c r="Q82" s="31" t="str">
        <f aca="false">IF(OR($AG82=0,Q$3=""),"",IF(AND(INDEX(工程マスタ!$I:$I,$AG82)="○",$E82&gt;=Q$3,$E82&lt;EDATE(Q$3,1)),"▼",""))</f>
        <v/>
      </c>
      <c r="R82" s="31" t="str">
        <f aca="false">IF(OR($AG82=0,R$3=""),"",IF(AND(INDEX(工程マスタ!$I:$I,$AG82)="○",$E82&gt;=R$3,$E82&lt;EDATE(R$3,1)),"▼",""))</f>
        <v/>
      </c>
      <c r="S82" s="31" t="str">
        <f aca="false">IF(OR($AG82=0,S$3=""),"",IF(AND(INDEX(工程マスタ!$I:$I,$AG82)="○",$E82&gt;=S$3,$E82&lt;EDATE(S$3,1)),"▼",""))</f>
        <v/>
      </c>
      <c r="T82" s="31" t="str">
        <f aca="false">IF(OR($AG82=0,T$3=""),"",IF(AND(INDEX(工程マスタ!$I:$I,$AG82)="○",$E82&gt;=T$3,$E82&lt;EDATE(T$3,1)),"▼",""))</f>
        <v/>
      </c>
      <c r="U82" s="31" t="str">
        <f aca="false">IF(OR($AG82=0,U$3=""),"",IF(AND(INDEX(工程マスタ!$I:$I,$AG82)="○",$E82&gt;=U$3,$E82&lt;EDATE(U$3,1)),"▼",""))</f>
        <v/>
      </c>
      <c r="V82" s="31" t="str">
        <f aca="false">IF(OR($AG82=0,V$3=""),"",IF(AND(INDEX(工程マスタ!$I:$I,$AG82)="○",$E82&gt;=V$3,$E82&lt;EDATE(V$3,1)),"▼",""))</f>
        <v/>
      </c>
      <c r="W82" s="31" t="str">
        <f aca="false">IF(OR($AG82=0,W$3=""),"",IF(AND(INDEX(工程マスタ!$I:$I,$AG82)="○",$E82&gt;=W$3,$E82&lt;EDATE(W$3,1)),"▼",""))</f>
        <v/>
      </c>
      <c r="X82" s="31" t="str">
        <f aca="false">IF(OR($AG82=0,X$3=""),"",IF(AND(INDEX(工程マスタ!$I:$I,$AG82)="○",$E82&gt;=X$3,$E82&lt;EDATE(X$3,1)),"▼",""))</f>
        <v/>
      </c>
      <c r="Y82" s="31" t="str">
        <f aca="false">IF(OR($AG82=0,Y$3=""),"",IF(AND(INDEX(工程マスタ!$I:$I,$AG82)="○",$E82&gt;=Y$3,$E82&lt;EDATE(Y$3,1)),"▼",""))</f>
        <v/>
      </c>
      <c r="Z82" s="31" t="str">
        <f aca="false">IF(OR($AG82=0,Z$3=""),"",IF(AND(INDEX(工程マスタ!$I:$I,$AG82)="○",$E82&gt;=Z$3,$E82&lt;EDATE(Z$3,1)),"▼",""))</f>
        <v/>
      </c>
      <c r="AA82" s="31" t="str">
        <f aca="false">IF(OR($AG82=0,AA$3=""),"",IF(AND(INDEX(工程マスタ!$I:$I,$AG82)="○",$E82&gt;=AA$3,$E82&lt;EDATE(AA$3,1)),"▼",""))</f>
        <v/>
      </c>
      <c r="AB82" s="31" t="str">
        <f aca="false">IF(OR($AG82=0,AB$3=""),"",IF(AND(INDEX(工程マスタ!$I:$I,$AG82)="○",$E82&gt;=AB$3,$E82&lt;EDATE(AB$3,1)),"▼",""))</f>
        <v/>
      </c>
      <c r="AC82" s="31" t="str">
        <f aca="false">IF(OR($AG82=0,AC$3=""),"",IF(AND(INDEX(工程マスタ!$I:$I,$AG82)="○",$E82&gt;=AC$3,$E82&lt;EDATE(AC$3,1)),"▼",""))</f>
        <v/>
      </c>
      <c r="AD82" s="31" t="str">
        <f aca="false">IF(OR($AG82=0,AD$3=""),"",IF(AND(INDEX(工程マスタ!$I:$I,$AG82)="○",$E82&gt;=AD$3,$E82&lt;EDATE(AD$3,1)),"▼",""))</f>
        <v/>
      </c>
      <c r="AE82" s="31" t="str">
        <f aca="false">IF(OR($AG82=0,AE$3=""),"",IF(AND(INDEX(工程マスタ!$I:$I,$AG82)="○",$E82&gt;=AE$3,$E82&lt;EDATE(AE$3,1)),"▼",""))</f>
        <v/>
      </c>
      <c r="AG82" s="27" t="n">
        <f aca="false" t="array" ref="AG82:AG82">IFERROR(SMALL(IF(工程マスタ!$K$5:$K$154&gt;0,ROW(工程マスタ!$C$5:$C$154)),77),0)</f>
        <v>0</v>
      </c>
      <c r="AH82" s="27" t="n">
        <f aca="false">IF($AG82=0,0,INDEX(工程マスタ!$M:$M,$AG82))</f>
        <v>0</v>
      </c>
    </row>
    <row r="83" customFormat="false" ht="15" hidden="false" customHeight="false" outlineLevel="0" collapsed="false">
      <c r="A83" s="28" t="str">
        <f aca="false">IF($AG83=0,"",IF(INDEX(工程マスタ!$A:$A,$AG83)="","",INDEX(工程マスタ!$A:$A,$AG83)))</f>
        <v/>
      </c>
      <c r="B83" s="21" t="str">
        <f aca="false">IF($AG83=0,"",IF(INDEX(工程マスタ!$B:$B,$AG83)="","",INDEX(工程マスタ!$B:$B,$AG83)))</f>
        <v/>
      </c>
      <c r="C83" s="21" t="str">
        <f aca="false">IF($AG83=0,"",IF(INDEX(工程マスタ!$C:$C,$AG83)="","",INDEX(工程マスタ!$C:$C,$AG83)))</f>
        <v/>
      </c>
      <c r="D83" s="21" t="str">
        <f aca="false">IF($AG83=0,"",IF(INDEX(工程マスタ!$D:$D,$AG83)="","",INDEX(工程マスタ!$D:$D,$AG83)))</f>
        <v/>
      </c>
      <c r="E83" s="29" t="str">
        <f aca="false">IF($AG83=0,"",IF(INDEX(工程マスタ!$E:$E,$AG83)="","",INDEX(工程マスタ!$E:$E,$AG83)))</f>
        <v/>
      </c>
      <c r="F83" s="29" t="str">
        <f aca="false">IF($AG83=0,"",IF(INDEX(工程マスタ!$F:$F,$AG83)="","",INDEX(工程マスタ!$F:$F,$AG83)))</f>
        <v/>
      </c>
      <c r="G83" s="30" t="str">
        <f aca="false">IF($AG83=0,"",IF(INDEX(工程マスタ!$H:$H,$AG83)="","",INDEX(工程マスタ!$H:$H,$AG83)))</f>
        <v/>
      </c>
      <c r="H83" s="31" t="str">
        <f aca="false">IF(OR($AG83=0,H$3=""),"",IF(AND(INDEX(工程マスタ!$I:$I,$AG83)="○",$E83&gt;=H$3,$E83&lt;EDATE(H$3,1)),"▼",""))</f>
        <v/>
      </c>
      <c r="I83" s="31" t="str">
        <f aca="false">IF(OR($AG83=0,I$3=""),"",IF(AND(INDEX(工程マスタ!$I:$I,$AG83)="○",$E83&gt;=I$3,$E83&lt;EDATE(I$3,1)),"▼",""))</f>
        <v/>
      </c>
      <c r="J83" s="31" t="str">
        <f aca="false">IF(OR($AG83=0,J$3=""),"",IF(AND(INDEX(工程マスタ!$I:$I,$AG83)="○",$E83&gt;=J$3,$E83&lt;EDATE(J$3,1)),"▼",""))</f>
        <v/>
      </c>
      <c r="K83" s="31" t="str">
        <f aca="false">IF(OR($AG83=0,K$3=""),"",IF(AND(INDEX(工程マスタ!$I:$I,$AG83)="○",$E83&gt;=K$3,$E83&lt;EDATE(K$3,1)),"▼",""))</f>
        <v/>
      </c>
      <c r="L83" s="31" t="str">
        <f aca="false">IF(OR($AG83=0,L$3=""),"",IF(AND(INDEX(工程マスタ!$I:$I,$AG83)="○",$E83&gt;=L$3,$E83&lt;EDATE(L$3,1)),"▼",""))</f>
        <v/>
      </c>
      <c r="M83" s="31" t="str">
        <f aca="false">IF(OR($AG83=0,M$3=""),"",IF(AND(INDEX(工程マスタ!$I:$I,$AG83)="○",$E83&gt;=M$3,$E83&lt;EDATE(M$3,1)),"▼",""))</f>
        <v/>
      </c>
      <c r="N83" s="31" t="str">
        <f aca="false">IF(OR($AG83=0,N$3=""),"",IF(AND(INDEX(工程マスタ!$I:$I,$AG83)="○",$E83&gt;=N$3,$E83&lt;EDATE(N$3,1)),"▼",""))</f>
        <v/>
      </c>
      <c r="O83" s="31" t="str">
        <f aca="false">IF(OR($AG83=0,O$3=""),"",IF(AND(INDEX(工程マスタ!$I:$I,$AG83)="○",$E83&gt;=O$3,$E83&lt;EDATE(O$3,1)),"▼",""))</f>
        <v/>
      </c>
      <c r="P83" s="31" t="str">
        <f aca="false">IF(OR($AG83=0,P$3=""),"",IF(AND(INDEX(工程マスタ!$I:$I,$AG83)="○",$E83&gt;=P$3,$E83&lt;EDATE(P$3,1)),"▼",""))</f>
        <v/>
      </c>
      <c r="Q83" s="31" t="str">
        <f aca="false">IF(OR($AG83=0,Q$3=""),"",IF(AND(INDEX(工程マスタ!$I:$I,$AG83)="○",$E83&gt;=Q$3,$E83&lt;EDATE(Q$3,1)),"▼",""))</f>
        <v/>
      </c>
      <c r="R83" s="31" t="str">
        <f aca="false">IF(OR($AG83=0,R$3=""),"",IF(AND(INDEX(工程マスタ!$I:$I,$AG83)="○",$E83&gt;=R$3,$E83&lt;EDATE(R$3,1)),"▼",""))</f>
        <v/>
      </c>
      <c r="S83" s="31" t="str">
        <f aca="false">IF(OR($AG83=0,S$3=""),"",IF(AND(INDEX(工程マスタ!$I:$I,$AG83)="○",$E83&gt;=S$3,$E83&lt;EDATE(S$3,1)),"▼",""))</f>
        <v/>
      </c>
      <c r="T83" s="31" t="str">
        <f aca="false">IF(OR($AG83=0,T$3=""),"",IF(AND(INDEX(工程マスタ!$I:$I,$AG83)="○",$E83&gt;=T$3,$E83&lt;EDATE(T$3,1)),"▼",""))</f>
        <v/>
      </c>
      <c r="U83" s="31" t="str">
        <f aca="false">IF(OR($AG83=0,U$3=""),"",IF(AND(INDEX(工程マスタ!$I:$I,$AG83)="○",$E83&gt;=U$3,$E83&lt;EDATE(U$3,1)),"▼",""))</f>
        <v/>
      </c>
      <c r="V83" s="31" t="str">
        <f aca="false">IF(OR($AG83=0,V$3=""),"",IF(AND(INDEX(工程マスタ!$I:$I,$AG83)="○",$E83&gt;=V$3,$E83&lt;EDATE(V$3,1)),"▼",""))</f>
        <v/>
      </c>
      <c r="W83" s="31" t="str">
        <f aca="false">IF(OR($AG83=0,W$3=""),"",IF(AND(INDEX(工程マスタ!$I:$I,$AG83)="○",$E83&gt;=W$3,$E83&lt;EDATE(W$3,1)),"▼",""))</f>
        <v/>
      </c>
      <c r="X83" s="31" t="str">
        <f aca="false">IF(OR($AG83=0,X$3=""),"",IF(AND(INDEX(工程マスタ!$I:$I,$AG83)="○",$E83&gt;=X$3,$E83&lt;EDATE(X$3,1)),"▼",""))</f>
        <v/>
      </c>
      <c r="Y83" s="31" t="str">
        <f aca="false">IF(OR($AG83=0,Y$3=""),"",IF(AND(INDEX(工程マスタ!$I:$I,$AG83)="○",$E83&gt;=Y$3,$E83&lt;EDATE(Y$3,1)),"▼",""))</f>
        <v/>
      </c>
      <c r="Z83" s="31" t="str">
        <f aca="false">IF(OR($AG83=0,Z$3=""),"",IF(AND(INDEX(工程マスタ!$I:$I,$AG83)="○",$E83&gt;=Z$3,$E83&lt;EDATE(Z$3,1)),"▼",""))</f>
        <v/>
      </c>
      <c r="AA83" s="31" t="str">
        <f aca="false">IF(OR($AG83=0,AA$3=""),"",IF(AND(INDEX(工程マスタ!$I:$I,$AG83)="○",$E83&gt;=AA$3,$E83&lt;EDATE(AA$3,1)),"▼",""))</f>
        <v/>
      </c>
      <c r="AB83" s="31" t="str">
        <f aca="false">IF(OR($AG83=0,AB$3=""),"",IF(AND(INDEX(工程マスタ!$I:$I,$AG83)="○",$E83&gt;=AB$3,$E83&lt;EDATE(AB$3,1)),"▼",""))</f>
        <v/>
      </c>
      <c r="AC83" s="31" t="str">
        <f aca="false">IF(OR($AG83=0,AC$3=""),"",IF(AND(INDEX(工程マスタ!$I:$I,$AG83)="○",$E83&gt;=AC$3,$E83&lt;EDATE(AC$3,1)),"▼",""))</f>
        <v/>
      </c>
      <c r="AD83" s="31" t="str">
        <f aca="false">IF(OR($AG83=0,AD$3=""),"",IF(AND(INDEX(工程マスタ!$I:$I,$AG83)="○",$E83&gt;=AD$3,$E83&lt;EDATE(AD$3,1)),"▼",""))</f>
        <v/>
      </c>
      <c r="AE83" s="31" t="str">
        <f aca="false">IF(OR($AG83=0,AE$3=""),"",IF(AND(INDEX(工程マスタ!$I:$I,$AG83)="○",$E83&gt;=AE$3,$E83&lt;EDATE(AE$3,1)),"▼",""))</f>
        <v/>
      </c>
      <c r="AG83" s="27" t="n">
        <f aca="false" t="array" ref="AG83:AG83">IFERROR(SMALL(IF(工程マスタ!$K$5:$K$154&gt;0,ROW(工程マスタ!$C$5:$C$154)),78),0)</f>
        <v>0</v>
      </c>
      <c r="AH83" s="27" t="n">
        <f aca="false">IF($AG83=0,0,INDEX(工程マスタ!$M:$M,$AG83))</f>
        <v>0</v>
      </c>
    </row>
    <row r="84" customFormat="false" ht="15" hidden="false" customHeight="false" outlineLevel="0" collapsed="false">
      <c r="A84" s="28" t="str">
        <f aca="false">IF($AG84=0,"",IF(INDEX(工程マスタ!$A:$A,$AG84)="","",INDEX(工程マスタ!$A:$A,$AG84)))</f>
        <v/>
      </c>
      <c r="B84" s="21" t="str">
        <f aca="false">IF($AG84=0,"",IF(INDEX(工程マスタ!$B:$B,$AG84)="","",INDEX(工程マスタ!$B:$B,$AG84)))</f>
        <v/>
      </c>
      <c r="C84" s="21" t="str">
        <f aca="false">IF($AG84=0,"",IF(INDEX(工程マスタ!$C:$C,$AG84)="","",INDEX(工程マスタ!$C:$C,$AG84)))</f>
        <v/>
      </c>
      <c r="D84" s="21" t="str">
        <f aca="false">IF($AG84=0,"",IF(INDEX(工程マスタ!$D:$D,$AG84)="","",INDEX(工程マスタ!$D:$D,$AG84)))</f>
        <v/>
      </c>
      <c r="E84" s="29" t="str">
        <f aca="false">IF($AG84=0,"",IF(INDEX(工程マスタ!$E:$E,$AG84)="","",INDEX(工程マスタ!$E:$E,$AG84)))</f>
        <v/>
      </c>
      <c r="F84" s="29" t="str">
        <f aca="false">IF($AG84=0,"",IF(INDEX(工程マスタ!$F:$F,$AG84)="","",INDEX(工程マスタ!$F:$F,$AG84)))</f>
        <v/>
      </c>
      <c r="G84" s="30" t="str">
        <f aca="false">IF($AG84=0,"",IF(INDEX(工程マスタ!$H:$H,$AG84)="","",INDEX(工程マスタ!$H:$H,$AG84)))</f>
        <v/>
      </c>
      <c r="H84" s="31" t="str">
        <f aca="false">IF(OR($AG84=0,H$3=""),"",IF(AND(INDEX(工程マスタ!$I:$I,$AG84)="○",$E84&gt;=H$3,$E84&lt;EDATE(H$3,1)),"▼",""))</f>
        <v/>
      </c>
      <c r="I84" s="31" t="str">
        <f aca="false">IF(OR($AG84=0,I$3=""),"",IF(AND(INDEX(工程マスタ!$I:$I,$AG84)="○",$E84&gt;=I$3,$E84&lt;EDATE(I$3,1)),"▼",""))</f>
        <v/>
      </c>
      <c r="J84" s="31" t="str">
        <f aca="false">IF(OR($AG84=0,J$3=""),"",IF(AND(INDEX(工程マスタ!$I:$I,$AG84)="○",$E84&gt;=J$3,$E84&lt;EDATE(J$3,1)),"▼",""))</f>
        <v/>
      </c>
      <c r="K84" s="31" t="str">
        <f aca="false">IF(OR($AG84=0,K$3=""),"",IF(AND(INDEX(工程マスタ!$I:$I,$AG84)="○",$E84&gt;=K$3,$E84&lt;EDATE(K$3,1)),"▼",""))</f>
        <v/>
      </c>
      <c r="L84" s="31" t="str">
        <f aca="false">IF(OR($AG84=0,L$3=""),"",IF(AND(INDEX(工程マスタ!$I:$I,$AG84)="○",$E84&gt;=L$3,$E84&lt;EDATE(L$3,1)),"▼",""))</f>
        <v/>
      </c>
      <c r="M84" s="31" t="str">
        <f aca="false">IF(OR($AG84=0,M$3=""),"",IF(AND(INDEX(工程マスタ!$I:$I,$AG84)="○",$E84&gt;=M$3,$E84&lt;EDATE(M$3,1)),"▼",""))</f>
        <v/>
      </c>
      <c r="N84" s="31" t="str">
        <f aca="false">IF(OR($AG84=0,N$3=""),"",IF(AND(INDEX(工程マスタ!$I:$I,$AG84)="○",$E84&gt;=N$3,$E84&lt;EDATE(N$3,1)),"▼",""))</f>
        <v/>
      </c>
      <c r="O84" s="31" t="str">
        <f aca="false">IF(OR($AG84=0,O$3=""),"",IF(AND(INDEX(工程マスタ!$I:$I,$AG84)="○",$E84&gt;=O$3,$E84&lt;EDATE(O$3,1)),"▼",""))</f>
        <v/>
      </c>
      <c r="P84" s="31" t="str">
        <f aca="false">IF(OR($AG84=0,P$3=""),"",IF(AND(INDEX(工程マスタ!$I:$I,$AG84)="○",$E84&gt;=P$3,$E84&lt;EDATE(P$3,1)),"▼",""))</f>
        <v/>
      </c>
      <c r="Q84" s="31" t="str">
        <f aca="false">IF(OR($AG84=0,Q$3=""),"",IF(AND(INDEX(工程マスタ!$I:$I,$AG84)="○",$E84&gt;=Q$3,$E84&lt;EDATE(Q$3,1)),"▼",""))</f>
        <v/>
      </c>
      <c r="R84" s="31" t="str">
        <f aca="false">IF(OR($AG84=0,R$3=""),"",IF(AND(INDEX(工程マスタ!$I:$I,$AG84)="○",$E84&gt;=R$3,$E84&lt;EDATE(R$3,1)),"▼",""))</f>
        <v/>
      </c>
      <c r="S84" s="31" t="str">
        <f aca="false">IF(OR($AG84=0,S$3=""),"",IF(AND(INDEX(工程マスタ!$I:$I,$AG84)="○",$E84&gt;=S$3,$E84&lt;EDATE(S$3,1)),"▼",""))</f>
        <v/>
      </c>
      <c r="T84" s="31" t="str">
        <f aca="false">IF(OR($AG84=0,T$3=""),"",IF(AND(INDEX(工程マスタ!$I:$I,$AG84)="○",$E84&gt;=T$3,$E84&lt;EDATE(T$3,1)),"▼",""))</f>
        <v/>
      </c>
      <c r="U84" s="31" t="str">
        <f aca="false">IF(OR($AG84=0,U$3=""),"",IF(AND(INDEX(工程マスタ!$I:$I,$AG84)="○",$E84&gt;=U$3,$E84&lt;EDATE(U$3,1)),"▼",""))</f>
        <v/>
      </c>
      <c r="V84" s="31" t="str">
        <f aca="false">IF(OR($AG84=0,V$3=""),"",IF(AND(INDEX(工程マスタ!$I:$I,$AG84)="○",$E84&gt;=V$3,$E84&lt;EDATE(V$3,1)),"▼",""))</f>
        <v/>
      </c>
      <c r="W84" s="31" t="str">
        <f aca="false">IF(OR($AG84=0,W$3=""),"",IF(AND(INDEX(工程マスタ!$I:$I,$AG84)="○",$E84&gt;=W$3,$E84&lt;EDATE(W$3,1)),"▼",""))</f>
        <v/>
      </c>
      <c r="X84" s="31" t="str">
        <f aca="false">IF(OR($AG84=0,X$3=""),"",IF(AND(INDEX(工程マスタ!$I:$I,$AG84)="○",$E84&gt;=X$3,$E84&lt;EDATE(X$3,1)),"▼",""))</f>
        <v/>
      </c>
      <c r="Y84" s="31" t="str">
        <f aca="false">IF(OR($AG84=0,Y$3=""),"",IF(AND(INDEX(工程マスタ!$I:$I,$AG84)="○",$E84&gt;=Y$3,$E84&lt;EDATE(Y$3,1)),"▼",""))</f>
        <v/>
      </c>
      <c r="Z84" s="31" t="str">
        <f aca="false">IF(OR($AG84=0,Z$3=""),"",IF(AND(INDEX(工程マスタ!$I:$I,$AG84)="○",$E84&gt;=Z$3,$E84&lt;EDATE(Z$3,1)),"▼",""))</f>
        <v/>
      </c>
      <c r="AA84" s="31" t="str">
        <f aca="false">IF(OR($AG84=0,AA$3=""),"",IF(AND(INDEX(工程マスタ!$I:$I,$AG84)="○",$E84&gt;=AA$3,$E84&lt;EDATE(AA$3,1)),"▼",""))</f>
        <v/>
      </c>
      <c r="AB84" s="31" t="str">
        <f aca="false">IF(OR($AG84=0,AB$3=""),"",IF(AND(INDEX(工程マスタ!$I:$I,$AG84)="○",$E84&gt;=AB$3,$E84&lt;EDATE(AB$3,1)),"▼",""))</f>
        <v/>
      </c>
      <c r="AC84" s="31" t="str">
        <f aca="false">IF(OR($AG84=0,AC$3=""),"",IF(AND(INDEX(工程マスタ!$I:$I,$AG84)="○",$E84&gt;=AC$3,$E84&lt;EDATE(AC$3,1)),"▼",""))</f>
        <v/>
      </c>
      <c r="AD84" s="31" t="str">
        <f aca="false">IF(OR($AG84=0,AD$3=""),"",IF(AND(INDEX(工程マスタ!$I:$I,$AG84)="○",$E84&gt;=AD$3,$E84&lt;EDATE(AD$3,1)),"▼",""))</f>
        <v/>
      </c>
      <c r="AE84" s="31" t="str">
        <f aca="false">IF(OR($AG84=0,AE$3=""),"",IF(AND(INDEX(工程マスタ!$I:$I,$AG84)="○",$E84&gt;=AE$3,$E84&lt;EDATE(AE$3,1)),"▼",""))</f>
        <v/>
      </c>
      <c r="AG84" s="27" t="n">
        <f aca="false" t="array" ref="AG84:AG84">IFERROR(SMALL(IF(工程マスタ!$K$5:$K$154&gt;0,ROW(工程マスタ!$C$5:$C$154)),79),0)</f>
        <v>0</v>
      </c>
      <c r="AH84" s="27" t="n">
        <f aca="false">IF($AG84=0,0,INDEX(工程マスタ!$M:$M,$AG84))</f>
        <v>0</v>
      </c>
    </row>
    <row r="85" customFormat="false" ht="15" hidden="false" customHeight="false" outlineLevel="0" collapsed="false">
      <c r="A85" s="28" t="str">
        <f aca="false">IF($AG85=0,"",IF(INDEX(工程マスタ!$A:$A,$AG85)="","",INDEX(工程マスタ!$A:$A,$AG85)))</f>
        <v/>
      </c>
      <c r="B85" s="21" t="str">
        <f aca="false">IF($AG85=0,"",IF(INDEX(工程マスタ!$B:$B,$AG85)="","",INDEX(工程マスタ!$B:$B,$AG85)))</f>
        <v/>
      </c>
      <c r="C85" s="21" t="str">
        <f aca="false">IF($AG85=0,"",IF(INDEX(工程マスタ!$C:$C,$AG85)="","",INDEX(工程マスタ!$C:$C,$AG85)))</f>
        <v/>
      </c>
      <c r="D85" s="21" t="str">
        <f aca="false">IF($AG85=0,"",IF(INDEX(工程マスタ!$D:$D,$AG85)="","",INDEX(工程マスタ!$D:$D,$AG85)))</f>
        <v/>
      </c>
      <c r="E85" s="29" t="str">
        <f aca="false">IF($AG85=0,"",IF(INDEX(工程マスタ!$E:$E,$AG85)="","",INDEX(工程マスタ!$E:$E,$AG85)))</f>
        <v/>
      </c>
      <c r="F85" s="29" t="str">
        <f aca="false">IF($AG85=0,"",IF(INDEX(工程マスタ!$F:$F,$AG85)="","",INDEX(工程マスタ!$F:$F,$AG85)))</f>
        <v/>
      </c>
      <c r="G85" s="30" t="str">
        <f aca="false">IF($AG85=0,"",IF(INDEX(工程マスタ!$H:$H,$AG85)="","",INDEX(工程マスタ!$H:$H,$AG85)))</f>
        <v/>
      </c>
      <c r="H85" s="31" t="str">
        <f aca="false">IF(OR($AG85=0,H$3=""),"",IF(AND(INDEX(工程マスタ!$I:$I,$AG85)="○",$E85&gt;=H$3,$E85&lt;EDATE(H$3,1)),"▼",""))</f>
        <v/>
      </c>
      <c r="I85" s="31" t="str">
        <f aca="false">IF(OR($AG85=0,I$3=""),"",IF(AND(INDEX(工程マスタ!$I:$I,$AG85)="○",$E85&gt;=I$3,$E85&lt;EDATE(I$3,1)),"▼",""))</f>
        <v/>
      </c>
      <c r="J85" s="31" t="str">
        <f aca="false">IF(OR($AG85=0,J$3=""),"",IF(AND(INDEX(工程マスタ!$I:$I,$AG85)="○",$E85&gt;=J$3,$E85&lt;EDATE(J$3,1)),"▼",""))</f>
        <v/>
      </c>
      <c r="K85" s="31" t="str">
        <f aca="false">IF(OR($AG85=0,K$3=""),"",IF(AND(INDEX(工程マスタ!$I:$I,$AG85)="○",$E85&gt;=K$3,$E85&lt;EDATE(K$3,1)),"▼",""))</f>
        <v/>
      </c>
      <c r="L85" s="31" t="str">
        <f aca="false">IF(OR($AG85=0,L$3=""),"",IF(AND(INDEX(工程マスタ!$I:$I,$AG85)="○",$E85&gt;=L$3,$E85&lt;EDATE(L$3,1)),"▼",""))</f>
        <v/>
      </c>
      <c r="M85" s="31" t="str">
        <f aca="false">IF(OR($AG85=0,M$3=""),"",IF(AND(INDEX(工程マスタ!$I:$I,$AG85)="○",$E85&gt;=M$3,$E85&lt;EDATE(M$3,1)),"▼",""))</f>
        <v/>
      </c>
      <c r="N85" s="31" t="str">
        <f aca="false">IF(OR($AG85=0,N$3=""),"",IF(AND(INDEX(工程マスタ!$I:$I,$AG85)="○",$E85&gt;=N$3,$E85&lt;EDATE(N$3,1)),"▼",""))</f>
        <v/>
      </c>
      <c r="O85" s="31" t="str">
        <f aca="false">IF(OR($AG85=0,O$3=""),"",IF(AND(INDEX(工程マスタ!$I:$I,$AG85)="○",$E85&gt;=O$3,$E85&lt;EDATE(O$3,1)),"▼",""))</f>
        <v/>
      </c>
      <c r="P85" s="31" t="str">
        <f aca="false">IF(OR($AG85=0,P$3=""),"",IF(AND(INDEX(工程マスタ!$I:$I,$AG85)="○",$E85&gt;=P$3,$E85&lt;EDATE(P$3,1)),"▼",""))</f>
        <v/>
      </c>
      <c r="Q85" s="31" t="str">
        <f aca="false">IF(OR($AG85=0,Q$3=""),"",IF(AND(INDEX(工程マスタ!$I:$I,$AG85)="○",$E85&gt;=Q$3,$E85&lt;EDATE(Q$3,1)),"▼",""))</f>
        <v/>
      </c>
      <c r="R85" s="31" t="str">
        <f aca="false">IF(OR($AG85=0,R$3=""),"",IF(AND(INDEX(工程マスタ!$I:$I,$AG85)="○",$E85&gt;=R$3,$E85&lt;EDATE(R$3,1)),"▼",""))</f>
        <v/>
      </c>
      <c r="S85" s="31" t="str">
        <f aca="false">IF(OR($AG85=0,S$3=""),"",IF(AND(INDEX(工程マスタ!$I:$I,$AG85)="○",$E85&gt;=S$3,$E85&lt;EDATE(S$3,1)),"▼",""))</f>
        <v/>
      </c>
      <c r="T85" s="31" t="str">
        <f aca="false">IF(OR($AG85=0,T$3=""),"",IF(AND(INDEX(工程マスタ!$I:$I,$AG85)="○",$E85&gt;=T$3,$E85&lt;EDATE(T$3,1)),"▼",""))</f>
        <v/>
      </c>
      <c r="U85" s="31" t="str">
        <f aca="false">IF(OR($AG85=0,U$3=""),"",IF(AND(INDEX(工程マスタ!$I:$I,$AG85)="○",$E85&gt;=U$3,$E85&lt;EDATE(U$3,1)),"▼",""))</f>
        <v/>
      </c>
      <c r="V85" s="31" t="str">
        <f aca="false">IF(OR($AG85=0,V$3=""),"",IF(AND(INDEX(工程マスタ!$I:$I,$AG85)="○",$E85&gt;=V$3,$E85&lt;EDATE(V$3,1)),"▼",""))</f>
        <v/>
      </c>
      <c r="W85" s="31" t="str">
        <f aca="false">IF(OR($AG85=0,W$3=""),"",IF(AND(INDEX(工程マスタ!$I:$I,$AG85)="○",$E85&gt;=W$3,$E85&lt;EDATE(W$3,1)),"▼",""))</f>
        <v/>
      </c>
      <c r="X85" s="31" t="str">
        <f aca="false">IF(OR($AG85=0,X$3=""),"",IF(AND(INDEX(工程マスタ!$I:$I,$AG85)="○",$E85&gt;=X$3,$E85&lt;EDATE(X$3,1)),"▼",""))</f>
        <v/>
      </c>
      <c r="Y85" s="31" t="str">
        <f aca="false">IF(OR($AG85=0,Y$3=""),"",IF(AND(INDEX(工程マスタ!$I:$I,$AG85)="○",$E85&gt;=Y$3,$E85&lt;EDATE(Y$3,1)),"▼",""))</f>
        <v/>
      </c>
      <c r="Z85" s="31" t="str">
        <f aca="false">IF(OR($AG85=0,Z$3=""),"",IF(AND(INDEX(工程マスタ!$I:$I,$AG85)="○",$E85&gt;=Z$3,$E85&lt;EDATE(Z$3,1)),"▼",""))</f>
        <v/>
      </c>
      <c r="AA85" s="31" t="str">
        <f aca="false">IF(OR($AG85=0,AA$3=""),"",IF(AND(INDEX(工程マスタ!$I:$I,$AG85)="○",$E85&gt;=AA$3,$E85&lt;EDATE(AA$3,1)),"▼",""))</f>
        <v/>
      </c>
      <c r="AB85" s="31" t="str">
        <f aca="false">IF(OR($AG85=0,AB$3=""),"",IF(AND(INDEX(工程マスタ!$I:$I,$AG85)="○",$E85&gt;=AB$3,$E85&lt;EDATE(AB$3,1)),"▼",""))</f>
        <v/>
      </c>
      <c r="AC85" s="31" t="str">
        <f aca="false">IF(OR($AG85=0,AC$3=""),"",IF(AND(INDEX(工程マスタ!$I:$I,$AG85)="○",$E85&gt;=AC$3,$E85&lt;EDATE(AC$3,1)),"▼",""))</f>
        <v/>
      </c>
      <c r="AD85" s="31" t="str">
        <f aca="false">IF(OR($AG85=0,AD$3=""),"",IF(AND(INDEX(工程マスタ!$I:$I,$AG85)="○",$E85&gt;=AD$3,$E85&lt;EDATE(AD$3,1)),"▼",""))</f>
        <v/>
      </c>
      <c r="AE85" s="31" t="str">
        <f aca="false">IF(OR($AG85=0,AE$3=""),"",IF(AND(INDEX(工程マスタ!$I:$I,$AG85)="○",$E85&gt;=AE$3,$E85&lt;EDATE(AE$3,1)),"▼",""))</f>
        <v/>
      </c>
      <c r="AG85" s="27" t="n">
        <f aca="false" t="array" ref="AG85:AG85">IFERROR(SMALL(IF(工程マスタ!$K$5:$K$154&gt;0,ROW(工程マスタ!$C$5:$C$154)),80),0)</f>
        <v>0</v>
      </c>
      <c r="AH85" s="27" t="n">
        <f aca="false">IF($AG85=0,0,INDEX(工程マスタ!$M:$M,$AG85))</f>
        <v>0</v>
      </c>
    </row>
    <row r="86" customFormat="false" ht="15" hidden="false" customHeight="false" outlineLevel="0" collapsed="false">
      <c r="A86" s="28" t="str">
        <f aca="false">IF($AG86=0,"",IF(INDEX(工程マスタ!$A:$A,$AG86)="","",INDEX(工程マスタ!$A:$A,$AG86)))</f>
        <v/>
      </c>
      <c r="B86" s="21" t="str">
        <f aca="false">IF($AG86=0,"",IF(INDEX(工程マスタ!$B:$B,$AG86)="","",INDEX(工程マスタ!$B:$B,$AG86)))</f>
        <v/>
      </c>
      <c r="C86" s="21" t="str">
        <f aca="false">IF($AG86=0,"",IF(INDEX(工程マスタ!$C:$C,$AG86)="","",INDEX(工程マスタ!$C:$C,$AG86)))</f>
        <v/>
      </c>
      <c r="D86" s="21" t="str">
        <f aca="false">IF($AG86=0,"",IF(INDEX(工程マスタ!$D:$D,$AG86)="","",INDEX(工程マスタ!$D:$D,$AG86)))</f>
        <v/>
      </c>
      <c r="E86" s="29" t="str">
        <f aca="false">IF($AG86=0,"",IF(INDEX(工程マスタ!$E:$E,$AG86)="","",INDEX(工程マスタ!$E:$E,$AG86)))</f>
        <v/>
      </c>
      <c r="F86" s="29" t="str">
        <f aca="false">IF($AG86=0,"",IF(INDEX(工程マスタ!$F:$F,$AG86)="","",INDEX(工程マスタ!$F:$F,$AG86)))</f>
        <v/>
      </c>
      <c r="G86" s="30" t="str">
        <f aca="false">IF($AG86=0,"",IF(INDEX(工程マスタ!$H:$H,$AG86)="","",INDEX(工程マスタ!$H:$H,$AG86)))</f>
        <v/>
      </c>
      <c r="H86" s="31" t="str">
        <f aca="false">IF(OR($AG86=0,H$3=""),"",IF(AND(INDEX(工程マスタ!$I:$I,$AG86)="○",$E86&gt;=H$3,$E86&lt;EDATE(H$3,1)),"▼",""))</f>
        <v/>
      </c>
      <c r="I86" s="31" t="str">
        <f aca="false">IF(OR($AG86=0,I$3=""),"",IF(AND(INDEX(工程マスタ!$I:$I,$AG86)="○",$E86&gt;=I$3,$E86&lt;EDATE(I$3,1)),"▼",""))</f>
        <v/>
      </c>
      <c r="J86" s="31" t="str">
        <f aca="false">IF(OR($AG86=0,J$3=""),"",IF(AND(INDEX(工程マスタ!$I:$I,$AG86)="○",$E86&gt;=J$3,$E86&lt;EDATE(J$3,1)),"▼",""))</f>
        <v/>
      </c>
      <c r="K86" s="31" t="str">
        <f aca="false">IF(OR($AG86=0,K$3=""),"",IF(AND(INDEX(工程マスタ!$I:$I,$AG86)="○",$E86&gt;=K$3,$E86&lt;EDATE(K$3,1)),"▼",""))</f>
        <v/>
      </c>
      <c r="L86" s="31" t="str">
        <f aca="false">IF(OR($AG86=0,L$3=""),"",IF(AND(INDEX(工程マスタ!$I:$I,$AG86)="○",$E86&gt;=L$3,$E86&lt;EDATE(L$3,1)),"▼",""))</f>
        <v/>
      </c>
      <c r="M86" s="31" t="str">
        <f aca="false">IF(OR($AG86=0,M$3=""),"",IF(AND(INDEX(工程マスタ!$I:$I,$AG86)="○",$E86&gt;=M$3,$E86&lt;EDATE(M$3,1)),"▼",""))</f>
        <v/>
      </c>
      <c r="N86" s="31" t="str">
        <f aca="false">IF(OR($AG86=0,N$3=""),"",IF(AND(INDEX(工程マスタ!$I:$I,$AG86)="○",$E86&gt;=N$3,$E86&lt;EDATE(N$3,1)),"▼",""))</f>
        <v/>
      </c>
      <c r="O86" s="31" t="str">
        <f aca="false">IF(OR($AG86=0,O$3=""),"",IF(AND(INDEX(工程マスタ!$I:$I,$AG86)="○",$E86&gt;=O$3,$E86&lt;EDATE(O$3,1)),"▼",""))</f>
        <v/>
      </c>
      <c r="P86" s="31" t="str">
        <f aca="false">IF(OR($AG86=0,P$3=""),"",IF(AND(INDEX(工程マスタ!$I:$I,$AG86)="○",$E86&gt;=P$3,$E86&lt;EDATE(P$3,1)),"▼",""))</f>
        <v/>
      </c>
      <c r="Q86" s="31" t="str">
        <f aca="false">IF(OR($AG86=0,Q$3=""),"",IF(AND(INDEX(工程マスタ!$I:$I,$AG86)="○",$E86&gt;=Q$3,$E86&lt;EDATE(Q$3,1)),"▼",""))</f>
        <v/>
      </c>
      <c r="R86" s="31" t="str">
        <f aca="false">IF(OR($AG86=0,R$3=""),"",IF(AND(INDEX(工程マスタ!$I:$I,$AG86)="○",$E86&gt;=R$3,$E86&lt;EDATE(R$3,1)),"▼",""))</f>
        <v/>
      </c>
      <c r="S86" s="31" t="str">
        <f aca="false">IF(OR($AG86=0,S$3=""),"",IF(AND(INDEX(工程マスタ!$I:$I,$AG86)="○",$E86&gt;=S$3,$E86&lt;EDATE(S$3,1)),"▼",""))</f>
        <v/>
      </c>
      <c r="T86" s="31" t="str">
        <f aca="false">IF(OR($AG86=0,T$3=""),"",IF(AND(INDEX(工程マスタ!$I:$I,$AG86)="○",$E86&gt;=T$3,$E86&lt;EDATE(T$3,1)),"▼",""))</f>
        <v/>
      </c>
      <c r="U86" s="31" t="str">
        <f aca="false">IF(OR($AG86=0,U$3=""),"",IF(AND(INDEX(工程マスタ!$I:$I,$AG86)="○",$E86&gt;=U$3,$E86&lt;EDATE(U$3,1)),"▼",""))</f>
        <v/>
      </c>
      <c r="V86" s="31" t="str">
        <f aca="false">IF(OR($AG86=0,V$3=""),"",IF(AND(INDEX(工程マスタ!$I:$I,$AG86)="○",$E86&gt;=V$3,$E86&lt;EDATE(V$3,1)),"▼",""))</f>
        <v/>
      </c>
      <c r="W86" s="31" t="str">
        <f aca="false">IF(OR($AG86=0,W$3=""),"",IF(AND(INDEX(工程マスタ!$I:$I,$AG86)="○",$E86&gt;=W$3,$E86&lt;EDATE(W$3,1)),"▼",""))</f>
        <v/>
      </c>
      <c r="X86" s="31" t="str">
        <f aca="false">IF(OR($AG86=0,X$3=""),"",IF(AND(INDEX(工程マスタ!$I:$I,$AG86)="○",$E86&gt;=X$3,$E86&lt;EDATE(X$3,1)),"▼",""))</f>
        <v/>
      </c>
      <c r="Y86" s="31" t="str">
        <f aca="false">IF(OR($AG86=0,Y$3=""),"",IF(AND(INDEX(工程マスタ!$I:$I,$AG86)="○",$E86&gt;=Y$3,$E86&lt;EDATE(Y$3,1)),"▼",""))</f>
        <v/>
      </c>
      <c r="Z86" s="31" t="str">
        <f aca="false">IF(OR($AG86=0,Z$3=""),"",IF(AND(INDEX(工程マスタ!$I:$I,$AG86)="○",$E86&gt;=Z$3,$E86&lt;EDATE(Z$3,1)),"▼",""))</f>
        <v/>
      </c>
      <c r="AA86" s="31" t="str">
        <f aca="false">IF(OR($AG86=0,AA$3=""),"",IF(AND(INDEX(工程マスタ!$I:$I,$AG86)="○",$E86&gt;=AA$3,$E86&lt;EDATE(AA$3,1)),"▼",""))</f>
        <v/>
      </c>
      <c r="AB86" s="31" t="str">
        <f aca="false">IF(OR($AG86=0,AB$3=""),"",IF(AND(INDEX(工程マスタ!$I:$I,$AG86)="○",$E86&gt;=AB$3,$E86&lt;EDATE(AB$3,1)),"▼",""))</f>
        <v/>
      </c>
      <c r="AC86" s="31" t="str">
        <f aca="false">IF(OR($AG86=0,AC$3=""),"",IF(AND(INDEX(工程マスタ!$I:$I,$AG86)="○",$E86&gt;=AC$3,$E86&lt;EDATE(AC$3,1)),"▼",""))</f>
        <v/>
      </c>
      <c r="AD86" s="31" t="str">
        <f aca="false">IF(OR($AG86=0,AD$3=""),"",IF(AND(INDEX(工程マスタ!$I:$I,$AG86)="○",$E86&gt;=AD$3,$E86&lt;EDATE(AD$3,1)),"▼",""))</f>
        <v/>
      </c>
      <c r="AE86" s="31" t="str">
        <f aca="false">IF(OR($AG86=0,AE$3=""),"",IF(AND(INDEX(工程マスタ!$I:$I,$AG86)="○",$E86&gt;=AE$3,$E86&lt;EDATE(AE$3,1)),"▼",""))</f>
        <v/>
      </c>
      <c r="AG86" s="27" t="n">
        <f aca="false" t="array" ref="AG86:AG86">IFERROR(SMALL(IF(工程マスタ!$K$5:$K$154&gt;0,ROW(工程マスタ!$C$5:$C$154)),81),0)</f>
        <v>0</v>
      </c>
      <c r="AH86" s="27" t="n">
        <f aca="false">IF($AG86=0,0,INDEX(工程マスタ!$M:$M,$AG86))</f>
        <v>0</v>
      </c>
    </row>
    <row r="87" customFormat="false" ht="15" hidden="false" customHeight="false" outlineLevel="0" collapsed="false">
      <c r="A87" s="28" t="str">
        <f aca="false">IF($AG87=0,"",IF(INDEX(工程マスタ!$A:$A,$AG87)="","",INDEX(工程マスタ!$A:$A,$AG87)))</f>
        <v/>
      </c>
      <c r="B87" s="21" t="str">
        <f aca="false">IF($AG87=0,"",IF(INDEX(工程マスタ!$B:$B,$AG87)="","",INDEX(工程マスタ!$B:$B,$AG87)))</f>
        <v/>
      </c>
      <c r="C87" s="21" t="str">
        <f aca="false">IF($AG87=0,"",IF(INDEX(工程マスタ!$C:$C,$AG87)="","",INDEX(工程マスタ!$C:$C,$AG87)))</f>
        <v/>
      </c>
      <c r="D87" s="21" t="str">
        <f aca="false">IF($AG87=0,"",IF(INDEX(工程マスタ!$D:$D,$AG87)="","",INDEX(工程マスタ!$D:$D,$AG87)))</f>
        <v/>
      </c>
      <c r="E87" s="29" t="str">
        <f aca="false">IF($AG87=0,"",IF(INDEX(工程マスタ!$E:$E,$AG87)="","",INDEX(工程マスタ!$E:$E,$AG87)))</f>
        <v/>
      </c>
      <c r="F87" s="29" t="str">
        <f aca="false">IF($AG87=0,"",IF(INDEX(工程マスタ!$F:$F,$AG87)="","",INDEX(工程マスタ!$F:$F,$AG87)))</f>
        <v/>
      </c>
      <c r="G87" s="30" t="str">
        <f aca="false">IF($AG87=0,"",IF(INDEX(工程マスタ!$H:$H,$AG87)="","",INDEX(工程マスタ!$H:$H,$AG87)))</f>
        <v/>
      </c>
      <c r="H87" s="31" t="str">
        <f aca="false">IF(OR($AG87=0,H$3=""),"",IF(AND(INDEX(工程マスタ!$I:$I,$AG87)="○",$E87&gt;=H$3,$E87&lt;EDATE(H$3,1)),"▼",""))</f>
        <v/>
      </c>
      <c r="I87" s="31" t="str">
        <f aca="false">IF(OR($AG87=0,I$3=""),"",IF(AND(INDEX(工程マスタ!$I:$I,$AG87)="○",$E87&gt;=I$3,$E87&lt;EDATE(I$3,1)),"▼",""))</f>
        <v/>
      </c>
      <c r="J87" s="31" t="str">
        <f aca="false">IF(OR($AG87=0,J$3=""),"",IF(AND(INDEX(工程マスタ!$I:$I,$AG87)="○",$E87&gt;=J$3,$E87&lt;EDATE(J$3,1)),"▼",""))</f>
        <v/>
      </c>
      <c r="K87" s="31" t="str">
        <f aca="false">IF(OR($AG87=0,K$3=""),"",IF(AND(INDEX(工程マスタ!$I:$I,$AG87)="○",$E87&gt;=K$3,$E87&lt;EDATE(K$3,1)),"▼",""))</f>
        <v/>
      </c>
      <c r="L87" s="31" t="str">
        <f aca="false">IF(OR($AG87=0,L$3=""),"",IF(AND(INDEX(工程マスタ!$I:$I,$AG87)="○",$E87&gt;=L$3,$E87&lt;EDATE(L$3,1)),"▼",""))</f>
        <v/>
      </c>
      <c r="M87" s="31" t="str">
        <f aca="false">IF(OR($AG87=0,M$3=""),"",IF(AND(INDEX(工程マスタ!$I:$I,$AG87)="○",$E87&gt;=M$3,$E87&lt;EDATE(M$3,1)),"▼",""))</f>
        <v/>
      </c>
      <c r="N87" s="31" t="str">
        <f aca="false">IF(OR($AG87=0,N$3=""),"",IF(AND(INDEX(工程マスタ!$I:$I,$AG87)="○",$E87&gt;=N$3,$E87&lt;EDATE(N$3,1)),"▼",""))</f>
        <v/>
      </c>
      <c r="O87" s="31" t="str">
        <f aca="false">IF(OR($AG87=0,O$3=""),"",IF(AND(INDEX(工程マスタ!$I:$I,$AG87)="○",$E87&gt;=O$3,$E87&lt;EDATE(O$3,1)),"▼",""))</f>
        <v/>
      </c>
      <c r="P87" s="31" t="str">
        <f aca="false">IF(OR($AG87=0,P$3=""),"",IF(AND(INDEX(工程マスタ!$I:$I,$AG87)="○",$E87&gt;=P$3,$E87&lt;EDATE(P$3,1)),"▼",""))</f>
        <v/>
      </c>
      <c r="Q87" s="31" t="str">
        <f aca="false">IF(OR($AG87=0,Q$3=""),"",IF(AND(INDEX(工程マスタ!$I:$I,$AG87)="○",$E87&gt;=Q$3,$E87&lt;EDATE(Q$3,1)),"▼",""))</f>
        <v/>
      </c>
      <c r="R87" s="31" t="str">
        <f aca="false">IF(OR($AG87=0,R$3=""),"",IF(AND(INDEX(工程マスタ!$I:$I,$AG87)="○",$E87&gt;=R$3,$E87&lt;EDATE(R$3,1)),"▼",""))</f>
        <v/>
      </c>
      <c r="S87" s="31" t="str">
        <f aca="false">IF(OR($AG87=0,S$3=""),"",IF(AND(INDEX(工程マスタ!$I:$I,$AG87)="○",$E87&gt;=S$3,$E87&lt;EDATE(S$3,1)),"▼",""))</f>
        <v/>
      </c>
      <c r="T87" s="31" t="str">
        <f aca="false">IF(OR($AG87=0,T$3=""),"",IF(AND(INDEX(工程マスタ!$I:$I,$AG87)="○",$E87&gt;=T$3,$E87&lt;EDATE(T$3,1)),"▼",""))</f>
        <v/>
      </c>
      <c r="U87" s="31" t="str">
        <f aca="false">IF(OR($AG87=0,U$3=""),"",IF(AND(INDEX(工程マスタ!$I:$I,$AG87)="○",$E87&gt;=U$3,$E87&lt;EDATE(U$3,1)),"▼",""))</f>
        <v/>
      </c>
      <c r="V87" s="31" t="str">
        <f aca="false">IF(OR($AG87=0,V$3=""),"",IF(AND(INDEX(工程マスタ!$I:$I,$AG87)="○",$E87&gt;=V$3,$E87&lt;EDATE(V$3,1)),"▼",""))</f>
        <v/>
      </c>
      <c r="W87" s="31" t="str">
        <f aca="false">IF(OR($AG87=0,W$3=""),"",IF(AND(INDEX(工程マスタ!$I:$I,$AG87)="○",$E87&gt;=W$3,$E87&lt;EDATE(W$3,1)),"▼",""))</f>
        <v/>
      </c>
      <c r="X87" s="31" t="str">
        <f aca="false">IF(OR($AG87=0,X$3=""),"",IF(AND(INDEX(工程マスタ!$I:$I,$AG87)="○",$E87&gt;=X$3,$E87&lt;EDATE(X$3,1)),"▼",""))</f>
        <v/>
      </c>
      <c r="Y87" s="31" t="str">
        <f aca="false">IF(OR($AG87=0,Y$3=""),"",IF(AND(INDEX(工程マスタ!$I:$I,$AG87)="○",$E87&gt;=Y$3,$E87&lt;EDATE(Y$3,1)),"▼",""))</f>
        <v/>
      </c>
      <c r="Z87" s="31" t="str">
        <f aca="false">IF(OR($AG87=0,Z$3=""),"",IF(AND(INDEX(工程マスタ!$I:$I,$AG87)="○",$E87&gt;=Z$3,$E87&lt;EDATE(Z$3,1)),"▼",""))</f>
        <v/>
      </c>
      <c r="AA87" s="31" t="str">
        <f aca="false">IF(OR($AG87=0,AA$3=""),"",IF(AND(INDEX(工程マスタ!$I:$I,$AG87)="○",$E87&gt;=AA$3,$E87&lt;EDATE(AA$3,1)),"▼",""))</f>
        <v/>
      </c>
      <c r="AB87" s="31" t="str">
        <f aca="false">IF(OR($AG87=0,AB$3=""),"",IF(AND(INDEX(工程マスタ!$I:$I,$AG87)="○",$E87&gt;=AB$3,$E87&lt;EDATE(AB$3,1)),"▼",""))</f>
        <v/>
      </c>
      <c r="AC87" s="31" t="str">
        <f aca="false">IF(OR($AG87=0,AC$3=""),"",IF(AND(INDEX(工程マスタ!$I:$I,$AG87)="○",$E87&gt;=AC$3,$E87&lt;EDATE(AC$3,1)),"▼",""))</f>
        <v/>
      </c>
      <c r="AD87" s="31" t="str">
        <f aca="false">IF(OR($AG87=0,AD$3=""),"",IF(AND(INDEX(工程マスタ!$I:$I,$AG87)="○",$E87&gt;=AD$3,$E87&lt;EDATE(AD$3,1)),"▼",""))</f>
        <v/>
      </c>
      <c r="AE87" s="31" t="str">
        <f aca="false">IF(OR($AG87=0,AE$3=""),"",IF(AND(INDEX(工程マスタ!$I:$I,$AG87)="○",$E87&gt;=AE$3,$E87&lt;EDATE(AE$3,1)),"▼",""))</f>
        <v/>
      </c>
      <c r="AG87" s="27" t="n">
        <f aca="false" t="array" ref="AG87:AG87">IFERROR(SMALL(IF(工程マスタ!$K$5:$K$154&gt;0,ROW(工程マスタ!$C$5:$C$154)),82),0)</f>
        <v>0</v>
      </c>
      <c r="AH87" s="27" t="n">
        <f aca="false">IF($AG87=0,0,INDEX(工程マスタ!$M:$M,$AG87))</f>
        <v>0</v>
      </c>
    </row>
    <row r="88" customFormat="false" ht="15" hidden="false" customHeight="false" outlineLevel="0" collapsed="false">
      <c r="A88" s="28" t="str">
        <f aca="false">IF($AG88=0,"",IF(INDEX(工程マスタ!$A:$A,$AG88)="","",INDEX(工程マスタ!$A:$A,$AG88)))</f>
        <v/>
      </c>
      <c r="B88" s="21" t="str">
        <f aca="false">IF($AG88=0,"",IF(INDEX(工程マスタ!$B:$B,$AG88)="","",INDEX(工程マスタ!$B:$B,$AG88)))</f>
        <v/>
      </c>
      <c r="C88" s="21" t="str">
        <f aca="false">IF($AG88=0,"",IF(INDEX(工程マスタ!$C:$C,$AG88)="","",INDEX(工程マスタ!$C:$C,$AG88)))</f>
        <v/>
      </c>
      <c r="D88" s="21" t="str">
        <f aca="false">IF($AG88=0,"",IF(INDEX(工程マスタ!$D:$D,$AG88)="","",INDEX(工程マスタ!$D:$D,$AG88)))</f>
        <v/>
      </c>
      <c r="E88" s="29" t="str">
        <f aca="false">IF($AG88=0,"",IF(INDEX(工程マスタ!$E:$E,$AG88)="","",INDEX(工程マスタ!$E:$E,$AG88)))</f>
        <v/>
      </c>
      <c r="F88" s="29" t="str">
        <f aca="false">IF($AG88=0,"",IF(INDEX(工程マスタ!$F:$F,$AG88)="","",INDEX(工程マスタ!$F:$F,$AG88)))</f>
        <v/>
      </c>
      <c r="G88" s="30" t="str">
        <f aca="false">IF($AG88=0,"",IF(INDEX(工程マスタ!$H:$H,$AG88)="","",INDEX(工程マスタ!$H:$H,$AG88)))</f>
        <v/>
      </c>
      <c r="H88" s="31" t="str">
        <f aca="false">IF(OR($AG88=0,H$3=""),"",IF(AND(INDEX(工程マスタ!$I:$I,$AG88)="○",$E88&gt;=H$3,$E88&lt;EDATE(H$3,1)),"▼",""))</f>
        <v/>
      </c>
      <c r="I88" s="31" t="str">
        <f aca="false">IF(OR($AG88=0,I$3=""),"",IF(AND(INDEX(工程マスタ!$I:$I,$AG88)="○",$E88&gt;=I$3,$E88&lt;EDATE(I$3,1)),"▼",""))</f>
        <v/>
      </c>
      <c r="J88" s="31" t="str">
        <f aca="false">IF(OR($AG88=0,J$3=""),"",IF(AND(INDEX(工程マスタ!$I:$I,$AG88)="○",$E88&gt;=J$3,$E88&lt;EDATE(J$3,1)),"▼",""))</f>
        <v/>
      </c>
      <c r="K88" s="31" t="str">
        <f aca="false">IF(OR($AG88=0,K$3=""),"",IF(AND(INDEX(工程マスタ!$I:$I,$AG88)="○",$E88&gt;=K$3,$E88&lt;EDATE(K$3,1)),"▼",""))</f>
        <v/>
      </c>
      <c r="L88" s="31" t="str">
        <f aca="false">IF(OR($AG88=0,L$3=""),"",IF(AND(INDEX(工程マスタ!$I:$I,$AG88)="○",$E88&gt;=L$3,$E88&lt;EDATE(L$3,1)),"▼",""))</f>
        <v/>
      </c>
      <c r="M88" s="31" t="str">
        <f aca="false">IF(OR($AG88=0,M$3=""),"",IF(AND(INDEX(工程マスタ!$I:$I,$AG88)="○",$E88&gt;=M$3,$E88&lt;EDATE(M$3,1)),"▼",""))</f>
        <v/>
      </c>
      <c r="N88" s="31" t="str">
        <f aca="false">IF(OR($AG88=0,N$3=""),"",IF(AND(INDEX(工程マスタ!$I:$I,$AG88)="○",$E88&gt;=N$3,$E88&lt;EDATE(N$3,1)),"▼",""))</f>
        <v/>
      </c>
      <c r="O88" s="31" t="str">
        <f aca="false">IF(OR($AG88=0,O$3=""),"",IF(AND(INDEX(工程マスタ!$I:$I,$AG88)="○",$E88&gt;=O$3,$E88&lt;EDATE(O$3,1)),"▼",""))</f>
        <v/>
      </c>
      <c r="P88" s="31" t="str">
        <f aca="false">IF(OR($AG88=0,P$3=""),"",IF(AND(INDEX(工程マスタ!$I:$I,$AG88)="○",$E88&gt;=P$3,$E88&lt;EDATE(P$3,1)),"▼",""))</f>
        <v/>
      </c>
      <c r="Q88" s="31" t="str">
        <f aca="false">IF(OR($AG88=0,Q$3=""),"",IF(AND(INDEX(工程マスタ!$I:$I,$AG88)="○",$E88&gt;=Q$3,$E88&lt;EDATE(Q$3,1)),"▼",""))</f>
        <v/>
      </c>
      <c r="R88" s="31" t="str">
        <f aca="false">IF(OR($AG88=0,R$3=""),"",IF(AND(INDEX(工程マスタ!$I:$I,$AG88)="○",$E88&gt;=R$3,$E88&lt;EDATE(R$3,1)),"▼",""))</f>
        <v/>
      </c>
      <c r="S88" s="31" t="str">
        <f aca="false">IF(OR($AG88=0,S$3=""),"",IF(AND(INDEX(工程マスタ!$I:$I,$AG88)="○",$E88&gt;=S$3,$E88&lt;EDATE(S$3,1)),"▼",""))</f>
        <v/>
      </c>
      <c r="T88" s="31" t="str">
        <f aca="false">IF(OR($AG88=0,T$3=""),"",IF(AND(INDEX(工程マスタ!$I:$I,$AG88)="○",$E88&gt;=T$3,$E88&lt;EDATE(T$3,1)),"▼",""))</f>
        <v/>
      </c>
      <c r="U88" s="31" t="str">
        <f aca="false">IF(OR($AG88=0,U$3=""),"",IF(AND(INDEX(工程マスタ!$I:$I,$AG88)="○",$E88&gt;=U$3,$E88&lt;EDATE(U$3,1)),"▼",""))</f>
        <v/>
      </c>
      <c r="V88" s="31" t="str">
        <f aca="false">IF(OR($AG88=0,V$3=""),"",IF(AND(INDEX(工程マスタ!$I:$I,$AG88)="○",$E88&gt;=V$3,$E88&lt;EDATE(V$3,1)),"▼",""))</f>
        <v/>
      </c>
      <c r="W88" s="31" t="str">
        <f aca="false">IF(OR($AG88=0,W$3=""),"",IF(AND(INDEX(工程マスタ!$I:$I,$AG88)="○",$E88&gt;=W$3,$E88&lt;EDATE(W$3,1)),"▼",""))</f>
        <v/>
      </c>
      <c r="X88" s="31" t="str">
        <f aca="false">IF(OR($AG88=0,X$3=""),"",IF(AND(INDEX(工程マスタ!$I:$I,$AG88)="○",$E88&gt;=X$3,$E88&lt;EDATE(X$3,1)),"▼",""))</f>
        <v/>
      </c>
      <c r="Y88" s="31" t="str">
        <f aca="false">IF(OR($AG88=0,Y$3=""),"",IF(AND(INDEX(工程マスタ!$I:$I,$AG88)="○",$E88&gt;=Y$3,$E88&lt;EDATE(Y$3,1)),"▼",""))</f>
        <v/>
      </c>
      <c r="Z88" s="31" t="str">
        <f aca="false">IF(OR($AG88=0,Z$3=""),"",IF(AND(INDEX(工程マスタ!$I:$I,$AG88)="○",$E88&gt;=Z$3,$E88&lt;EDATE(Z$3,1)),"▼",""))</f>
        <v/>
      </c>
      <c r="AA88" s="31" t="str">
        <f aca="false">IF(OR($AG88=0,AA$3=""),"",IF(AND(INDEX(工程マスタ!$I:$I,$AG88)="○",$E88&gt;=AA$3,$E88&lt;EDATE(AA$3,1)),"▼",""))</f>
        <v/>
      </c>
      <c r="AB88" s="31" t="str">
        <f aca="false">IF(OR($AG88=0,AB$3=""),"",IF(AND(INDEX(工程マスタ!$I:$I,$AG88)="○",$E88&gt;=AB$3,$E88&lt;EDATE(AB$3,1)),"▼",""))</f>
        <v/>
      </c>
      <c r="AC88" s="31" t="str">
        <f aca="false">IF(OR($AG88=0,AC$3=""),"",IF(AND(INDEX(工程マスタ!$I:$I,$AG88)="○",$E88&gt;=AC$3,$E88&lt;EDATE(AC$3,1)),"▼",""))</f>
        <v/>
      </c>
      <c r="AD88" s="31" t="str">
        <f aca="false">IF(OR($AG88=0,AD$3=""),"",IF(AND(INDEX(工程マスタ!$I:$I,$AG88)="○",$E88&gt;=AD$3,$E88&lt;EDATE(AD$3,1)),"▼",""))</f>
        <v/>
      </c>
      <c r="AE88" s="31" t="str">
        <f aca="false">IF(OR($AG88=0,AE$3=""),"",IF(AND(INDEX(工程マスタ!$I:$I,$AG88)="○",$E88&gt;=AE$3,$E88&lt;EDATE(AE$3,1)),"▼",""))</f>
        <v/>
      </c>
      <c r="AG88" s="27" t="n">
        <f aca="false" t="array" ref="AG88:AG88">IFERROR(SMALL(IF(工程マスタ!$K$5:$K$154&gt;0,ROW(工程マスタ!$C$5:$C$154)),83),0)</f>
        <v>0</v>
      </c>
      <c r="AH88" s="27" t="n">
        <f aca="false">IF($AG88=0,0,INDEX(工程マスタ!$M:$M,$AG88))</f>
        <v>0</v>
      </c>
    </row>
    <row r="89" customFormat="false" ht="15" hidden="false" customHeight="false" outlineLevel="0" collapsed="false">
      <c r="A89" s="28" t="str">
        <f aca="false">IF($AG89=0,"",IF(INDEX(工程マスタ!$A:$A,$AG89)="","",INDEX(工程マスタ!$A:$A,$AG89)))</f>
        <v/>
      </c>
      <c r="B89" s="21" t="str">
        <f aca="false">IF($AG89=0,"",IF(INDEX(工程マスタ!$B:$B,$AG89)="","",INDEX(工程マスタ!$B:$B,$AG89)))</f>
        <v/>
      </c>
      <c r="C89" s="21" t="str">
        <f aca="false">IF($AG89=0,"",IF(INDEX(工程マスタ!$C:$C,$AG89)="","",INDEX(工程マスタ!$C:$C,$AG89)))</f>
        <v/>
      </c>
      <c r="D89" s="21" t="str">
        <f aca="false">IF($AG89=0,"",IF(INDEX(工程マスタ!$D:$D,$AG89)="","",INDEX(工程マスタ!$D:$D,$AG89)))</f>
        <v/>
      </c>
      <c r="E89" s="29" t="str">
        <f aca="false">IF($AG89=0,"",IF(INDEX(工程マスタ!$E:$E,$AG89)="","",INDEX(工程マスタ!$E:$E,$AG89)))</f>
        <v/>
      </c>
      <c r="F89" s="29" t="str">
        <f aca="false">IF($AG89=0,"",IF(INDEX(工程マスタ!$F:$F,$AG89)="","",INDEX(工程マスタ!$F:$F,$AG89)))</f>
        <v/>
      </c>
      <c r="G89" s="30" t="str">
        <f aca="false">IF($AG89=0,"",IF(INDEX(工程マスタ!$H:$H,$AG89)="","",INDEX(工程マスタ!$H:$H,$AG89)))</f>
        <v/>
      </c>
      <c r="H89" s="31" t="str">
        <f aca="false">IF(OR($AG89=0,H$3=""),"",IF(AND(INDEX(工程マスタ!$I:$I,$AG89)="○",$E89&gt;=H$3,$E89&lt;EDATE(H$3,1)),"▼",""))</f>
        <v/>
      </c>
      <c r="I89" s="31" t="str">
        <f aca="false">IF(OR($AG89=0,I$3=""),"",IF(AND(INDEX(工程マスタ!$I:$I,$AG89)="○",$E89&gt;=I$3,$E89&lt;EDATE(I$3,1)),"▼",""))</f>
        <v/>
      </c>
      <c r="J89" s="31" t="str">
        <f aca="false">IF(OR($AG89=0,J$3=""),"",IF(AND(INDEX(工程マスタ!$I:$I,$AG89)="○",$E89&gt;=J$3,$E89&lt;EDATE(J$3,1)),"▼",""))</f>
        <v/>
      </c>
      <c r="K89" s="31" t="str">
        <f aca="false">IF(OR($AG89=0,K$3=""),"",IF(AND(INDEX(工程マスタ!$I:$I,$AG89)="○",$E89&gt;=K$3,$E89&lt;EDATE(K$3,1)),"▼",""))</f>
        <v/>
      </c>
      <c r="L89" s="31" t="str">
        <f aca="false">IF(OR($AG89=0,L$3=""),"",IF(AND(INDEX(工程マスタ!$I:$I,$AG89)="○",$E89&gt;=L$3,$E89&lt;EDATE(L$3,1)),"▼",""))</f>
        <v/>
      </c>
      <c r="M89" s="31" t="str">
        <f aca="false">IF(OR($AG89=0,M$3=""),"",IF(AND(INDEX(工程マスタ!$I:$I,$AG89)="○",$E89&gt;=M$3,$E89&lt;EDATE(M$3,1)),"▼",""))</f>
        <v/>
      </c>
      <c r="N89" s="31" t="str">
        <f aca="false">IF(OR($AG89=0,N$3=""),"",IF(AND(INDEX(工程マスタ!$I:$I,$AG89)="○",$E89&gt;=N$3,$E89&lt;EDATE(N$3,1)),"▼",""))</f>
        <v/>
      </c>
      <c r="O89" s="31" t="str">
        <f aca="false">IF(OR($AG89=0,O$3=""),"",IF(AND(INDEX(工程マスタ!$I:$I,$AG89)="○",$E89&gt;=O$3,$E89&lt;EDATE(O$3,1)),"▼",""))</f>
        <v/>
      </c>
      <c r="P89" s="31" t="str">
        <f aca="false">IF(OR($AG89=0,P$3=""),"",IF(AND(INDEX(工程マスタ!$I:$I,$AG89)="○",$E89&gt;=P$3,$E89&lt;EDATE(P$3,1)),"▼",""))</f>
        <v/>
      </c>
      <c r="Q89" s="31" t="str">
        <f aca="false">IF(OR($AG89=0,Q$3=""),"",IF(AND(INDEX(工程マスタ!$I:$I,$AG89)="○",$E89&gt;=Q$3,$E89&lt;EDATE(Q$3,1)),"▼",""))</f>
        <v/>
      </c>
      <c r="R89" s="31" t="str">
        <f aca="false">IF(OR($AG89=0,R$3=""),"",IF(AND(INDEX(工程マスタ!$I:$I,$AG89)="○",$E89&gt;=R$3,$E89&lt;EDATE(R$3,1)),"▼",""))</f>
        <v/>
      </c>
      <c r="S89" s="31" t="str">
        <f aca="false">IF(OR($AG89=0,S$3=""),"",IF(AND(INDEX(工程マスタ!$I:$I,$AG89)="○",$E89&gt;=S$3,$E89&lt;EDATE(S$3,1)),"▼",""))</f>
        <v/>
      </c>
      <c r="T89" s="31" t="str">
        <f aca="false">IF(OR($AG89=0,T$3=""),"",IF(AND(INDEX(工程マスタ!$I:$I,$AG89)="○",$E89&gt;=T$3,$E89&lt;EDATE(T$3,1)),"▼",""))</f>
        <v/>
      </c>
      <c r="U89" s="31" t="str">
        <f aca="false">IF(OR($AG89=0,U$3=""),"",IF(AND(INDEX(工程マスタ!$I:$I,$AG89)="○",$E89&gt;=U$3,$E89&lt;EDATE(U$3,1)),"▼",""))</f>
        <v/>
      </c>
      <c r="V89" s="31" t="str">
        <f aca="false">IF(OR($AG89=0,V$3=""),"",IF(AND(INDEX(工程マスタ!$I:$I,$AG89)="○",$E89&gt;=V$3,$E89&lt;EDATE(V$3,1)),"▼",""))</f>
        <v/>
      </c>
      <c r="W89" s="31" t="str">
        <f aca="false">IF(OR($AG89=0,W$3=""),"",IF(AND(INDEX(工程マスタ!$I:$I,$AG89)="○",$E89&gt;=W$3,$E89&lt;EDATE(W$3,1)),"▼",""))</f>
        <v/>
      </c>
      <c r="X89" s="31" t="str">
        <f aca="false">IF(OR($AG89=0,X$3=""),"",IF(AND(INDEX(工程マスタ!$I:$I,$AG89)="○",$E89&gt;=X$3,$E89&lt;EDATE(X$3,1)),"▼",""))</f>
        <v/>
      </c>
      <c r="Y89" s="31" t="str">
        <f aca="false">IF(OR($AG89=0,Y$3=""),"",IF(AND(INDEX(工程マスタ!$I:$I,$AG89)="○",$E89&gt;=Y$3,$E89&lt;EDATE(Y$3,1)),"▼",""))</f>
        <v/>
      </c>
      <c r="Z89" s="31" t="str">
        <f aca="false">IF(OR($AG89=0,Z$3=""),"",IF(AND(INDEX(工程マスタ!$I:$I,$AG89)="○",$E89&gt;=Z$3,$E89&lt;EDATE(Z$3,1)),"▼",""))</f>
        <v/>
      </c>
      <c r="AA89" s="31" t="str">
        <f aca="false">IF(OR($AG89=0,AA$3=""),"",IF(AND(INDEX(工程マスタ!$I:$I,$AG89)="○",$E89&gt;=AA$3,$E89&lt;EDATE(AA$3,1)),"▼",""))</f>
        <v/>
      </c>
      <c r="AB89" s="31" t="str">
        <f aca="false">IF(OR($AG89=0,AB$3=""),"",IF(AND(INDEX(工程マスタ!$I:$I,$AG89)="○",$E89&gt;=AB$3,$E89&lt;EDATE(AB$3,1)),"▼",""))</f>
        <v/>
      </c>
      <c r="AC89" s="31" t="str">
        <f aca="false">IF(OR($AG89=0,AC$3=""),"",IF(AND(INDEX(工程マスタ!$I:$I,$AG89)="○",$E89&gt;=AC$3,$E89&lt;EDATE(AC$3,1)),"▼",""))</f>
        <v/>
      </c>
      <c r="AD89" s="31" t="str">
        <f aca="false">IF(OR($AG89=0,AD$3=""),"",IF(AND(INDEX(工程マスタ!$I:$I,$AG89)="○",$E89&gt;=AD$3,$E89&lt;EDATE(AD$3,1)),"▼",""))</f>
        <v/>
      </c>
      <c r="AE89" s="31" t="str">
        <f aca="false">IF(OR($AG89=0,AE$3=""),"",IF(AND(INDEX(工程マスタ!$I:$I,$AG89)="○",$E89&gt;=AE$3,$E89&lt;EDATE(AE$3,1)),"▼",""))</f>
        <v/>
      </c>
      <c r="AG89" s="27" t="n">
        <f aca="false" t="array" ref="AG89:AG89">IFERROR(SMALL(IF(工程マスタ!$K$5:$K$154&gt;0,ROW(工程マスタ!$C$5:$C$154)),84),0)</f>
        <v>0</v>
      </c>
      <c r="AH89" s="27" t="n">
        <f aca="false">IF($AG89=0,0,INDEX(工程マスタ!$M:$M,$AG89))</f>
        <v>0</v>
      </c>
    </row>
    <row r="90" customFormat="false" ht="15" hidden="false" customHeight="false" outlineLevel="0" collapsed="false">
      <c r="A90" s="28" t="str">
        <f aca="false">IF($AG90=0,"",IF(INDEX(工程マスタ!$A:$A,$AG90)="","",INDEX(工程マスタ!$A:$A,$AG90)))</f>
        <v/>
      </c>
      <c r="B90" s="21" t="str">
        <f aca="false">IF($AG90=0,"",IF(INDEX(工程マスタ!$B:$B,$AG90)="","",INDEX(工程マスタ!$B:$B,$AG90)))</f>
        <v/>
      </c>
      <c r="C90" s="21" t="str">
        <f aca="false">IF($AG90=0,"",IF(INDEX(工程マスタ!$C:$C,$AG90)="","",INDEX(工程マスタ!$C:$C,$AG90)))</f>
        <v/>
      </c>
      <c r="D90" s="21" t="str">
        <f aca="false">IF($AG90=0,"",IF(INDEX(工程マスタ!$D:$D,$AG90)="","",INDEX(工程マスタ!$D:$D,$AG90)))</f>
        <v/>
      </c>
      <c r="E90" s="29" t="str">
        <f aca="false">IF($AG90=0,"",IF(INDEX(工程マスタ!$E:$E,$AG90)="","",INDEX(工程マスタ!$E:$E,$AG90)))</f>
        <v/>
      </c>
      <c r="F90" s="29" t="str">
        <f aca="false">IF($AG90=0,"",IF(INDEX(工程マスタ!$F:$F,$AG90)="","",INDEX(工程マスタ!$F:$F,$AG90)))</f>
        <v/>
      </c>
      <c r="G90" s="30" t="str">
        <f aca="false">IF($AG90=0,"",IF(INDEX(工程マスタ!$H:$H,$AG90)="","",INDEX(工程マスタ!$H:$H,$AG90)))</f>
        <v/>
      </c>
      <c r="H90" s="31" t="str">
        <f aca="false">IF(OR($AG90=0,H$3=""),"",IF(AND(INDEX(工程マスタ!$I:$I,$AG90)="○",$E90&gt;=H$3,$E90&lt;EDATE(H$3,1)),"▼",""))</f>
        <v/>
      </c>
      <c r="I90" s="31" t="str">
        <f aca="false">IF(OR($AG90=0,I$3=""),"",IF(AND(INDEX(工程マスタ!$I:$I,$AG90)="○",$E90&gt;=I$3,$E90&lt;EDATE(I$3,1)),"▼",""))</f>
        <v/>
      </c>
      <c r="J90" s="31" t="str">
        <f aca="false">IF(OR($AG90=0,J$3=""),"",IF(AND(INDEX(工程マスタ!$I:$I,$AG90)="○",$E90&gt;=J$3,$E90&lt;EDATE(J$3,1)),"▼",""))</f>
        <v/>
      </c>
      <c r="K90" s="31" t="str">
        <f aca="false">IF(OR($AG90=0,K$3=""),"",IF(AND(INDEX(工程マスタ!$I:$I,$AG90)="○",$E90&gt;=K$3,$E90&lt;EDATE(K$3,1)),"▼",""))</f>
        <v/>
      </c>
      <c r="L90" s="31" t="str">
        <f aca="false">IF(OR($AG90=0,L$3=""),"",IF(AND(INDEX(工程マスタ!$I:$I,$AG90)="○",$E90&gt;=L$3,$E90&lt;EDATE(L$3,1)),"▼",""))</f>
        <v/>
      </c>
      <c r="M90" s="31" t="str">
        <f aca="false">IF(OR($AG90=0,M$3=""),"",IF(AND(INDEX(工程マスタ!$I:$I,$AG90)="○",$E90&gt;=M$3,$E90&lt;EDATE(M$3,1)),"▼",""))</f>
        <v/>
      </c>
      <c r="N90" s="31" t="str">
        <f aca="false">IF(OR($AG90=0,N$3=""),"",IF(AND(INDEX(工程マスタ!$I:$I,$AG90)="○",$E90&gt;=N$3,$E90&lt;EDATE(N$3,1)),"▼",""))</f>
        <v/>
      </c>
      <c r="O90" s="31" t="str">
        <f aca="false">IF(OR($AG90=0,O$3=""),"",IF(AND(INDEX(工程マスタ!$I:$I,$AG90)="○",$E90&gt;=O$3,$E90&lt;EDATE(O$3,1)),"▼",""))</f>
        <v/>
      </c>
      <c r="P90" s="31" t="str">
        <f aca="false">IF(OR($AG90=0,P$3=""),"",IF(AND(INDEX(工程マスタ!$I:$I,$AG90)="○",$E90&gt;=P$3,$E90&lt;EDATE(P$3,1)),"▼",""))</f>
        <v/>
      </c>
      <c r="Q90" s="31" t="str">
        <f aca="false">IF(OR($AG90=0,Q$3=""),"",IF(AND(INDEX(工程マスタ!$I:$I,$AG90)="○",$E90&gt;=Q$3,$E90&lt;EDATE(Q$3,1)),"▼",""))</f>
        <v/>
      </c>
      <c r="R90" s="31" t="str">
        <f aca="false">IF(OR($AG90=0,R$3=""),"",IF(AND(INDEX(工程マスタ!$I:$I,$AG90)="○",$E90&gt;=R$3,$E90&lt;EDATE(R$3,1)),"▼",""))</f>
        <v/>
      </c>
      <c r="S90" s="31" t="str">
        <f aca="false">IF(OR($AG90=0,S$3=""),"",IF(AND(INDEX(工程マスタ!$I:$I,$AG90)="○",$E90&gt;=S$3,$E90&lt;EDATE(S$3,1)),"▼",""))</f>
        <v/>
      </c>
      <c r="T90" s="31" t="str">
        <f aca="false">IF(OR($AG90=0,T$3=""),"",IF(AND(INDEX(工程マスタ!$I:$I,$AG90)="○",$E90&gt;=T$3,$E90&lt;EDATE(T$3,1)),"▼",""))</f>
        <v/>
      </c>
      <c r="U90" s="31" t="str">
        <f aca="false">IF(OR($AG90=0,U$3=""),"",IF(AND(INDEX(工程マスタ!$I:$I,$AG90)="○",$E90&gt;=U$3,$E90&lt;EDATE(U$3,1)),"▼",""))</f>
        <v/>
      </c>
      <c r="V90" s="31" t="str">
        <f aca="false">IF(OR($AG90=0,V$3=""),"",IF(AND(INDEX(工程マスタ!$I:$I,$AG90)="○",$E90&gt;=V$3,$E90&lt;EDATE(V$3,1)),"▼",""))</f>
        <v/>
      </c>
      <c r="W90" s="31" t="str">
        <f aca="false">IF(OR($AG90=0,W$3=""),"",IF(AND(INDEX(工程マスタ!$I:$I,$AG90)="○",$E90&gt;=W$3,$E90&lt;EDATE(W$3,1)),"▼",""))</f>
        <v/>
      </c>
      <c r="X90" s="31" t="str">
        <f aca="false">IF(OR($AG90=0,X$3=""),"",IF(AND(INDEX(工程マスタ!$I:$I,$AG90)="○",$E90&gt;=X$3,$E90&lt;EDATE(X$3,1)),"▼",""))</f>
        <v/>
      </c>
      <c r="Y90" s="31" t="str">
        <f aca="false">IF(OR($AG90=0,Y$3=""),"",IF(AND(INDEX(工程マスタ!$I:$I,$AG90)="○",$E90&gt;=Y$3,$E90&lt;EDATE(Y$3,1)),"▼",""))</f>
        <v/>
      </c>
      <c r="Z90" s="31" t="str">
        <f aca="false">IF(OR($AG90=0,Z$3=""),"",IF(AND(INDEX(工程マスタ!$I:$I,$AG90)="○",$E90&gt;=Z$3,$E90&lt;EDATE(Z$3,1)),"▼",""))</f>
        <v/>
      </c>
      <c r="AA90" s="31" t="str">
        <f aca="false">IF(OR($AG90=0,AA$3=""),"",IF(AND(INDEX(工程マスタ!$I:$I,$AG90)="○",$E90&gt;=AA$3,$E90&lt;EDATE(AA$3,1)),"▼",""))</f>
        <v/>
      </c>
      <c r="AB90" s="31" t="str">
        <f aca="false">IF(OR($AG90=0,AB$3=""),"",IF(AND(INDEX(工程マスタ!$I:$I,$AG90)="○",$E90&gt;=AB$3,$E90&lt;EDATE(AB$3,1)),"▼",""))</f>
        <v/>
      </c>
      <c r="AC90" s="31" t="str">
        <f aca="false">IF(OR($AG90=0,AC$3=""),"",IF(AND(INDEX(工程マスタ!$I:$I,$AG90)="○",$E90&gt;=AC$3,$E90&lt;EDATE(AC$3,1)),"▼",""))</f>
        <v/>
      </c>
      <c r="AD90" s="31" t="str">
        <f aca="false">IF(OR($AG90=0,AD$3=""),"",IF(AND(INDEX(工程マスタ!$I:$I,$AG90)="○",$E90&gt;=AD$3,$E90&lt;EDATE(AD$3,1)),"▼",""))</f>
        <v/>
      </c>
      <c r="AE90" s="31" t="str">
        <f aca="false">IF(OR($AG90=0,AE$3=""),"",IF(AND(INDEX(工程マスタ!$I:$I,$AG90)="○",$E90&gt;=AE$3,$E90&lt;EDATE(AE$3,1)),"▼",""))</f>
        <v/>
      </c>
      <c r="AG90" s="27" t="n">
        <f aca="false" t="array" ref="AG90:AG90">IFERROR(SMALL(IF(工程マスタ!$K$5:$K$154&gt;0,ROW(工程マスタ!$C$5:$C$154)),85),0)</f>
        <v>0</v>
      </c>
      <c r="AH90" s="27" t="n">
        <f aca="false">IF($AG90=0,0,INDEX(工程マスタ!$M:$M,$AG90))</f>
        <v>0</v>
      </c>
    </row>
    <row r="91" customFormat="false" ht="15" hidden="false" customHeight="false" outlineLevel="0" collapsed="false">
      <c r="A91" s="28" t="str">
        <f aca="false">IF($AG91=0,"",IF(INDEX(工程マスタ!$A:$A,$AG91)="","",INDEX(工程マスタ!$A:$A,$AG91)))</f>
        <v/>
      </c>
      <c r="B91" s="21" t="str">
        <f aca="false">IF($AG91=0,"",IF(INDEX(工程マスタ!$B:$B,$AG91)="","",INDEX(工程マスタ!$B:$B,$AG91)))</f>
        <v/>
      </c>
      <c r="C91" s="21" t="str">
        <f aca="false">IF($AG91=0,"",IF(INDEX(工程マスタ!$C:$C,$AG91)="","",INDEX(工程マスタ!$C:$C,$AG91)))</f>
        <v/>
      </c>
      <c r="D91" s="21" t="str">
        <f aca="false">IF($AG91=0,"",IF(INDEX(工程マスタ!$D:$D,$AG91)="","",INDEX(工程マスタ!$D:$D,$AG91)))</f>
        <v/>
      </c>
      <c r="E91" s="29" t="str">
        <f aca="false">IF($AG91=0,"",IF(INDEX(工程マスタ!$E:$E,$AG91)="","",INDEX(工程マスタ!$E:$E,$AG91)))</f>
        <v/>
      </c>
      <c r="F91" s="29" t="str">
        <f aca="false">IF($AG91=0,"",IF(INDEX(工程マスタ!$F:$F,$AG91)="","",INDEX(工程マスタ!$F:$F,$AG91)))</f>
        <v/>
      </c>
      <c r="G91" s="30" t="str">
        <f aca="false">IF($AG91=0,"",IF(INDEX(工程マスタ!$H:$H,$AG91)="","",INDEX(工程マスタ!$H:$H,$AG91)))</f>
        <v/>
      </c>
      <c r="H91" s="31" t="str">
        <f aca="false">IF(OR($AG91=0,H$3=""),"",IF(AND(INDEX(工程マスタ!$I:$I,$AG91)="○",$E91&gt;=H$3,$E91&lt;EDATE(H$3,1)),"▼",""))</f>
        <v/>
      </c>
      <c r="I91" s="31" t="str">
        <f aca="false">IF(OR($AG91=0,I$3=""),"",IF(AND(INDEX(工程マスタ!$I:$I,$AG91)="○",$E91&gt;=I$3,$E91&lt;EDATE(I$3,1)),"▼",""))</f>
        <v/>
      </c>
      <c r="J91" s="31" t="str">
        <f aca="false">IF(OR($AG91=0,J$3=""),"",IF(AND(INDEX(工程マスタ!$I:$I,$AG91)="○",$E91&gt;=J$3,$E91&lt;EDATE(J$3,1)),"▼",""))</f>
        <v/>
      </c>
      <c r="K91" s="31" t="str">
        <f aca="false">IF(OR($AG91=0,K$3=""),"",IF(AND(INDEX(工程マスタ!$I:$I,$AG91)="○",$E91&gt;=K$3,$E91&lt;EDATE(K$3,1)),"▼",""))</f>
        <v/>
      </c>
      <c r="L91" s="31" t="str">
        <f aca="false">IF(OR($AG91=0,L$3=""),"",IF(AND(INDEX(工程マスタ!$I:$I,$AG91)="○",$E91&gt;=L$3,$E91&lt;EDATE(L$3,1)),"▼",""))</f>
        <v/>
      </c>
      <c r="M91" s="31" t="str">
        <f aca="false">IF(OR($AG91=0,M$3=""),"",IF(AND(INDEX(工程マスタ!$I:$I,$AG91)="○",$E91&gt;=M$3,$E91&lt;EDATE(M$3,1)),"▼",""))</f>
        <v/>
      </c>
      <c r="N91" s="31" t="str">
        <f aca="false">IF(OR($AG91=0,N$3=""),"",IF(AND(INDEX(工程マスタ!$I:$I,$AG91)="○",$E91&gt;=N$3,$E91&lt;EDATE(N$3,1)),"▼",""))</f>
        <v/>
      </c>
      <c r="O91" s="31" t="str">
        <f aca="false">IF(OR($AG91=0,O$3=""),"",IF(AND(INDEX(工程マスタ!$I:$I,$AG91)="○",$E91&gt;=O$3,$E91&lt;EDATE(O$3,1)),"▼",""))</f>
        <v/>
      </c>
      <c r="P91" s="31" t="str">
        <f aca="false">IF(OR($AG91=0,P$3=""),"",IF(AND(INDEX(工程マスタ!$I:$I,$AG91)="○",$E91&gt;=P$3,$E91&lt;EDATE(P$3,1)),"▼",""))</f>
        <v/>
      </c>
      <c r="Q91" s="31" t="str">
        <f aca="false">IF(OR($AG91=0,Q$3=""),"",IF(AND(INDEX(工程マスタ!$I:$I,$AG91)="○",$E91&gt;=Q$3,$E91&lt;EDATE(Q$3,1)),"▼",""))</f>
        <v/>
      </c>
      <c r="R91" s="31" t="str">
        <f aca="false">IF(OR($AG91=0,R$3=""),"",IF(AND(INDEX(工程マスタ!$I:$I,$AG91)="○",$E91&gt;=R$3,$E91&lt;EDATE(R$3,1)),"▼",""))</f>
        <v/>
      </c>
      <c r="S91" s="31" t="str">
        <f aca="false">IF(OR($AG91=0,S$3=""),"",IF(AND(INDEX(工程マスタ!$I:$I,$AG91)="○",$E91&gt;=S$3,$E91&lt;EDATE(S$3,1)),"▼",""))</f>
        <v/>
      </c>
      <c r="T91" s="31" t="str">
        <f aca="false">IF(OR($AG91=0,T$3=""),"",IF(AND(INDEX(工程マスタ!$I:$I,$AG91)="○",$E91&gt;=T$3,$E91&lt;EDATE(T$3,1)),"▼",""))</f>
        <v/>
      </c>
      <c r="U91" s="31" t="str">
        <f aca="false">IF(OR($AG91=0,U$3=""),"",IF(AND(INDEX(工程マスタ!$I:$I,$AG91)="○",$E91&gt;=U$3,$E91&lt;EDATE(U$3,1)),"▼",""))</f>
        <v/>
      </c>
      <c r="V91" s="31" t="str">
        <f aca="false">IF(OR($AG91=0,V$3=""),"",IF(AND(INDEX(工程マスタ!$I:$I,$AG91)="○",$E91&gt;=V$3,$E91&lt;EDATE(V$3,1)),"▼",""))</f>
        <v/>
      </c>
      <c r="W91" s="31" t="str">
        <f aca="false">IF(OR($AG91=0,W$3=""),"",IF(AND(INDEX(工程マスタ!$I:$I,$AG91)="○",$E91&gt;=W$3,$E91&lt;EDATE(W$3,1)),"▼",""))</f>
        <v/>
      </c>
      <c r="X91" s="31" t="str">
        <f aca="false">IF(OR($AG91=0,X$3=""),"",IF(AND(INDEX(工程マスタ!$I:$I,$AG91)="○",$E91&gt;=X$3,$E91&lt;EDATE(X$3,1)),"▼",""))</f>
        <v/>
      </c>
      <c r="Y91" s="31" t="str">
        <f aca="false">IF(OR($AG91=0,Y$3=""),"",IF(AND(INDEX(工程マスタ!$I:$I,$AG91)="○",$E91&gt;=Y$3,$E91&lt;EDATE(Y$3,1)),"▼",""))</f>
        <v/>
      </c>
      <c r="Z91" s="31" t="str">
        <f aca="false">IF(OR($AG91=0,Z$3=""),"",IF(AND(INDEX(工程マスタ!$I:$I,$AG91)="○",$E91&gt;=Z$3,$E91&lt;EDATE(Z$3,1)),"▼",""))</f>
        <v/>
      </c>
      <c r="AA91" s="31" t="str">
        <f aca="false">IF(OR($AG91=0,AA$3=""),"",IF(AND(INDEX(工程マスタ!$I:$I,$AG91)="○",$E91&gt;=AA$3,$E91&lt;EDATE(AA$3,1)),"▼",""))</f>
        <v/>
      </c>
      <c r="AB91" s="31" t="str">
        <f aca="false">IF(OR($AG91=0,AB$3=""),"",IF(AND(INDEX(工程マスタ!$I:$I,$AG91)="○",$E91&gt;=AB$3,$E91&lt;EDATE(AB$3,1)),"▼",""))</f>
        <v/>
      </c>
      <c r="AC91" s="31" t="str">
        <f aca="false">IF(OR($AG91=0,AC$3=""),"",IF(AND(INDEX(工程マスタ!$I:$I,$AG91)="○",$E91&gt;=AC$3,$E91&lt;EDATE(AC$3,1)),"▼",""))</f>
        <v/>
      </c>
      <c r="AD91" s="31" t="str">
        <f aca="false">IF(OR($AG91=0,AD$3=""),"",IF(AND(INDEX(工程マスタ!$I:$I,$AG91)="○",$E91&gt;=AD$3,$E91&lt;EDATE(AD$3,1)),"▼",""))</f>
        <v/>
      </c>
      <c r="AE91" s="31" t="str">
        <f aca="false">IF(OR($AG91=0,AE$3=""),"",IF(AND(INDEX(工程マスタ!$I:$I,$AG91)="○",$E91&gt;=AE$3,$E91&lt;EDATE(AE$3,1)),"▼",""))</f>
        <v/>
      </c>
      <c r="AG91" s="27" t="n">
        <f aca="false" t="array" ref="AG91:AG91">IFERROR(SMALL(IF(工程マスタ!$K$5:$K$154&gt;0,ROW(工程マスタ!$C$5:$C$154)),86),0)</f>
        <v>0</v>
      </c>
      <c r="AH91" s="27" t="n">
        <f aca="false">IF($AG91=0,0,INDEX(工程マスタ!$M:$M,$AG91))</f>
        <v>0</v>
      </c>
    </row>
    <row r="92" customFormat="false" ht="15" hidden="false" customHeight="false" outlineLevel="0" collapsed="false">
      <c r="A92" s="28" t="str">
        <f aca="false">IF($AG92=0,"",IF(INDEX(工程マスタ!$A:$A,$AG92)="","",INDEX(工程マスタ!$A:$A,$AG92)))</f>
        <v/>
      </c>
      <c r="B92" s="21" t="str">
        <f aca="false">IF($AG92=0,"",IF(INDEX(工程マスタ!$B:$B,$AG92)="","",INDEX(工程マスタ!$B:$B,$AG92)))</f>
        <v/>
      </c>
      <c r="C92" s="21" t="str">
        <f aca="false">IF($AG92=0,"",IF(INDEX(工程マスタ!$C:$C,$AG92)="","",INDEX(工程マスタ!$C:$C,$AG92)))</f>
        <v/>
      </c>
      <c r="D92" s="21" t="str">
        <f aca="false">IF($AG92=0,"",IF(INDEX(工程マスタ!$D:$D,$AG92)="","",INDEX(工程マスタ!$D:$D,$AG92)))</f>
        <v/>
      </c>
      <c r="E92" s="29" t="str">
        <f aca="false">IF($AG92=0,"",IF(INDEX(工程マスタ!$E:$E,$AG92)="","",INDEX(工程マスタ!$E:$E,$AG92)))</f>
        <v/>
      </c>
      <c r="F92" s="29" t="str">
        <f aca="false">IF($AG92=0,"",IF(INDEX(工程マスタ!$F:$F,$AG92)="","",INDEX(工程マスタ!$F:$F,$AG92)))</f>
        <v/>
      </c>
      <c r="G92" s="30" t="str">
        <f aca="false">IF($AG92=0,"",IF(INDEX(工程マスタ!$H:$H,$AG92)="","",INDEX(工程マスタ!$H:$H,$AG92)))</f>
        <v/>
      </c>
      <c r="H92" s="31" t="str">
        <f aca="false">IF(OR($AG92=0,H$3=""),"",IF(AND(INDEX(工程マスタ!$I:$I,$AG92)="○",$E92&gt;=H$3,$E92&lt;EDATE(H$3,1)),"▼",""))</f>
        <v/>
      </c>
      <c r="I92" s="31" t="str">
        <f aca="false">IF(OR($AG92=0,I$3=""),"",IF(AND(INDEX(工程マスタ!$I:$I,$AG92)="○",$E92&gt;=I$3,$E92&lt;EDATE(I$3,1)),"▼",""))</f>
        <v/>
      </c>
      <c r="J92" s="31" t="str">
        <f aca="false">IF(OR($AG92=0,J$3=""),"",IF(AND(INDEX(工程マスタ!$I:$I,$AG92)="○",$E92&gt;=J$3,$E92&lt;EDATE(J$3,1)),"▼",""))</f>
        <v/>
      </c>
      <c r="K92" s="31" t="str">
        <f aca="false">IF(OR($AG92=0,K$3=""),"",IF(AND(INDEX(工程マスタ!$I:$I,$AG92)="○",$E92&gt;=K$3,$E92&lt;EDATE(K$3,1)),"▼",""))</f>
        <v/>
      </c>
      <c r="L92" s="31" t="str">
        <f aca="false">IF(OR($AG92=0,L$3=""),"",IF(AND(INDEX(工程マスタ!$I:$I,$AG92)="○",$E92&gt;=L$3,$E92&lt;EDATE(L$3,1)),"▼",""))</f>
        <v/>
      </c>
      <c r="M92" s="31" t="str">
        <f aca="false">IF(OR($AG92=0,M$3=""),"",IF(AND(INDEX(工程マスタ!$I:$I,$AG92)="○",$E92&gt;=M$3,$E92&lt;EDATE(M$3,1)),"▼",""))</f>
        <v/>
      </c>
      <c r="N92" s="31" t="str">
        <f aca="false">IF(OR($AG92=0,N$3=""),"",IF(AND(INDEX(工程マスタ!$I:$I,$AG92)="○",$E92&gt;=N$3,$E92&lt;EDATE(N$3,1)),"▼",""))</f>
        <v/>
      </c>
      <c r="O92" s="31" t="str">
        <f aca="false">IF(OR($AG92=0,O$3=""),"",IF(AND(INDEX(工程マスタ!$I:$I,$AG92)="○",$E92&gt;=O$3,$E92&lt;EDATE(O$3,1)),"▼",""))</f>
        <v/>
      </c>
      <c r="P92" s="31" t="str">
        <f aca="false">IF(OR($AG92=0,P$3=""),"",IF(AND(INDEX(工程マスタ!$I:$I,$AG92)="○",$E92&gt;=P$3,$E92&lt;EDATE(P$3,1)),"▼",""))</f>
        <v/>
      </c>
      <c r="Q92" s="31" t="str">
        <f aca="false">IF(OR($AG92=0,Q$3=""),"",IF(AND(INDEX(工程マスタ!$I:$I,$AG92)="○",$E92&gt;=Q$3,$E92&lt;EDATE(Q$3,1)),"▼",""))</f>
        <v/>
      </c>
      <c r="R92" s="31" t="str">
        <f aca="false">IF(OR($AG92=0,R$3=""),"",IF(AND(INDEX(工程マスタ!$I:$I,$AG92)="○",$E92&gt;=R$3,$E92&lt;EDATE(R$3,1)),"▼",""))</f>
        <v/>
      </c>
      <c r="S92" s="31" t="str">
        <f aca="false">IF(OR($AG92=0,S$3=""),"",IF(AND(INDEX(工程マスタ!$I:$I,$AG92)="○",$E92&gt;=S$3,$E92&lt;EDATE(S$3,1)),"▼",""))</f>
        <v/>
      </c>
      <c r="T92" s="31" t="str">
        <f aca="false">IF(OR($AG92=0,T$3=""),"",IF(AND(INDEX(工程マスタ!$I:$I,$AG92)="○",$E92&gt;=T$3,$E92&lt;EDATE(T$3,1)),"▼",""))</f>
        <v/>
      </c>
      <c r="U92" s="31" t="str">
        <f aca="false">IF(OR($AG92=0,U$3=""),"",IF(AND(INDEX(工程マスタ!$I:$I,$AG92)="○",$E92&gt;=U$3,$E92&lt;EDATE(U$3,1)),"▼",""))</f>
        <v/>
      </c>
      <c r="V92" s="31" t="str">
        <f aca="false">IF(OR($AG92=0,V$3=""),"",IF(AND(INDEX(工程マスタ!$I:$I,$AG92)="○",$E92&gt;=V$3,$E92&lt;EDATE(V$3,1)),"▼",""))</f>
        <v/>
      </c>
      <c r="W92" s="31" t="str">
        <f aca="false">IF(OR($AG92=0,W$3=""),"",IF(AND(INDEX(工程マスタ!$I:$I,$AG92)="○",$E92&gt;=W$3,$E92&lt;EDATE(W$3,1)),"▼",""))</f>
        <v/>
      </c>
      <c r="X92" s="31" t="str">
        <f aca="false">IF(OR($AG92=0,X$3=""),"",IF(AND(INDEX(工程マスタ!$I:$I,$AG92)="○",$E92&gt;=X$3,$E92&lt;EDATE(X$3,1)),"▼",""))</f>
        <v/>
      </c>
      <c r="Y92" s="31" t="str">
        <f aca="false">IF(OR($AG92=0,Y$3=""),"",IF(AND(INDEX(工程マスタ!$I:$I,$AG92)="○",$E92&gt;=Y$3,$E92&lt;EDATE(Y$3,1)),"▼",""))</f>
        <v/>
      </c>
      <c r="Z92" s="31" t="str">
        <f aca="false">IF(OR($AG92=0,Z$3=""),"",IF(AND(INDEX(工程マスタ!$I:$I,$AG92)="○",$E92&gt;=Z$3,$E92&lt;EDATE(Z$3,1)),"▼",""))</f>
        <v/>
      </c>
      <c r="AA92" s="31" t="str">
        <f aca="false">IF(OR($AG92=0,AA$3=""),"",IF(AND(INDEX(工程マスタ!$I:$I,$AG92)="○",$E92&gt;=AA$3,$E92&lt;EDATE(AA$3,1)),"▼",""))</f>
        <v/>
      </c>
      <c r="AB92" s="31" t="str">
        <f aca="false">IF(OR($AG92=0,AB$3=""),"",IF(AND(INDEX(工程マスタ!$I:$I,$AG92)="○",$E92&gt;=AB$3,$E92&lt;EDATE(AB$3,1)),"▼",""))</f>
        <v/>
      </c>
      <c r="AC92" s="31" t="str">
        <f aca="false">IF(OR($AG92=0,AC$3=""),"",IF(AND(INDEX(工程マスタ!$I:$I,$AG92)="○",$E92&gt;=AC$3,$E92&lt;EDATE(AC$3,1)),"▼",""))</f>
        <v/>
      </c>
      <c r="AD92" s="31" t="str">
        <f aca="false">IF(OR($AG92=0,AD$3=""),"",IF(AND(INDEX(工程マスタ!$I:$I,$AG92)="○",$E92&gt;=AD$3,$E92&lt;EDATE(AD$3,1)),"▼",""))</f>
        <v/>
      </c>
      <c r="AE92" s="31" t="str">
        <f aca="false">IF(OR($AG92=0,AE$3=""),"",IF(AND(INDEX(工程マスタ!$I:$I,$AG92)="○",$E92&gt;=AE$3,$E92&lt;EDATE(AE$3,1)),"▼",""))</f>
        <v/>
      </c>
      <c r="AG92" s="27" t="n">
        <f aca="false" t="array" ref="AG92:AG92">IFERROR(SMALL(IF(工程マスタ!$K$5:$K$154&gt;0,ROW(工程マスタ!$C$5:$C$154)),87),0)</f>
        <v>0</v>
      </c>
      <c r="AH92" s="27" t="n">
        <f aca="false">IF($AG92=0,0,INDEX(工程マスタ!$M:$M,$AG92))</f>
        <v>0</v>
      </c>
    </row>
    <row r="93" customFormat="false" ht="15" hidden="false" customHeight="false" outlineLevel="0" collapsed="false">
      <c r="A93" s="28" t="str">
        <f aca="false">IF($AG93=0,"",IF(INDEX(工程マスタ!$A:$A,$AG93)="","",INDEX(工程マスタ!$A:$A,$AG93)))</f>
        <v/>
      </c>
      <c r="B93" s="21" t="str">
        <f aca="false">IF($AG93=0,"",IF(INDEX(工程マスタ!$B:$B,$AG93)="","",INDEX(工程マスタ!$B:$B,$AG93)))</f>
        <v/>
      </c>
      <c r="C93" s="21" t="str">
        <f aca="false">IF($AG93=0,"",IF(INDEX(工程マスタ!$C:$C,$AG93)="","",INDEX(工程マスタ!$C:$C,$AG93)))</f>
        <v/>
      </c>
      <c r="D93" s="21" t="str">
        <f aca="false">IF($AG93=0,"",IF(INDEX(工程マスタ!$D:$D,$AG93)="","",INDEX(工程マスタ!$D:$D,$AG93)))</f>
        <v/>
      </c>
      <c r="E93" s="29" t="str">
        <f aca="false">IF($AG93=0,"",IF(INDEX(工程マスタ!$E:$E,$AG93)="","",INDEX(工程マスタ!$E:$E,$AG93)))</f>
        <v/>
      </c>
      <c r="F93" s="29" t="str">
        <f aca="false">IF($AG93=0,"",IF(INDEX(工程マスタ!$F:$F,$AG93)="","",INDEX(工程マスタ!$F:$F,$AG93)))</f>
        <v/>
      </c>
      <c r="G93" s="30" t="str">
        <f aca="false">IF($AG93=0,"",IF(INDEX(工程マスタ!$H:$H,$AG93)="","",INDEX(工程マスタ!$H:$H,$AG93)))</f>
        <v/>
      </c>
      <c r="H93" s="31" t="str">
        <f aca="false">IF(OR($AG93=0,H$3=""),"",IF(AND(INDEX(工程マスタ!$I:$I,$AG93)="○",$E93&gt;=H$3,$E93&lt;EDATE(H$3,1)),"▼",""))</f>
        <v/>
      </c>
      <c r="I93" s="31" t="str">
        <f aca="false">IF(OR($AG93=0,I$3=""),"",IF(AND(INDEX(工程マスタ!$I:$I,$AG93)="○",$E93&gt;=I$3,$E93&lt;EDATE(I$3,1)),"▼",""))</f>
        <v/>
      </c>
      <c r="J93" s="31" t="str">
        <f aca="false">IF(OR($AG93=0,J$3=""),"",IF(AND(INDEX(工程マスタ!$I:$I,$AG93)="○",$E93&gt;=J$3,$E93&lt;EDATE(J$3,1)),"▼",""))</f>
        <v/>
      </c>
      <c r="K93" s="31" t="str">
        <f aca="false">IF(OR($AG93=0,K$3=""),"",IF(AND(INDEX(工程マスタ!$I:$I,$AG93)="○",$E93&gt;=K$3,$E93&lt;EDATE(K$3,1)),"▼",""))</f>
        <v/>
      </c>
      <c r="L93" s="31" t="str">
        <f aca="false">IF(OR($AG93=0,L$3=""),"",IF(AND(INDEX(工程マスタ!$I:$I,$AG93)="○",$E93&gt;=L$3,$E93&lt;EDATE(L$3,1)),"▼",""))</f>
        <v/>
      </c>
      <c r="M93" s="31" t="str">
        <f aca="false">IF(OR($AG93=0,M$3=""),"",IF(AND(INDEX(工程マスタ!$I:$I,$AG93)="○",$E93&gt;=M$3,$E93&lt;EDATE(M$3,1)),"▼",""))</f>
        <v/>
      </c>
      <c r="N93" s="31" t="str">
        <f aca="false">IF(OR($AG93=0,N$3=""),"",IF(AND(INDEX(工程マスタ!$I:$I,$AG93)="○",$E93&gt;=N$3,$E93&lt;EDATE(N$3,1)),"▼",""))</f>
        <v/>
      </c>
      <c r="O93" s="31" t="str">
        <f aca="false">IF(OR($AG93=0,O$3=""),"",IF(AND(INDEX(工程マスタ!$I:$I,$AG93)="○",$E93&gt;=O$3,$E93&lt;EDATE(O$3,1)),"▼",""))</f>
        <v/>
      </c>
      <c r="P93" s="31" t="str">
        <f aca="false">IF(OR($AG93=0,P$3=""),"",IF(AND(INDEX(工程マスタ!$I:$I,$AG93)="○",$E93&gt;=P$3,$E93&lt;EDATE(P$3,1)),"▼",""))</f>
        <v/>
      </c>
      <c r="Q93" s="31" t="str">
        <f aca="false">IF(OR($AG93=0,Q$3=""),"",IF(AND(INDEX(工程マスタ!$I:$I,$AG93)="○",$E93&gt;=Q$3,$E93&lt;EDATE(Q$3,1)),"▼",""))</f>
        <v/>
      </c>
      <c r="R93" s="31" t="str">
        <f aca="false">IF(OR($AG93=0,R$3=""),"",IF(AND(INDEX(工程マスタ!$I:$I,$AG93)="○",$E93&gt;=R$3,$E93&lt;EDATE(R$3,1)),"▼",""))</f>
        <v/>
      </c>
      <c r="S93" s="31" t="str">
        <f aca="false">IF(OR($AG93=0,S$3=""),"",IF(AND(INDEX(工程マスタ!$I:$I,$AG93)="○",$E93&gt;=S$3,$E93&lt;EDATE(S$3,1)),"▼",""))</f>
        <v/>
      </c>
      <c r="T93" s="31" t="str">
        <f aca="false">IF(OR($AG93=0,T$3=""),"",IF(AND(INDEX(工程マスタ!$I:$I,$AG93)="○",$E93&gt;=T$3,$E93&lt;EDATE(T$3,1)),"▼",""))</f>
        <v/>
      </c>
      <c r="U93" s="31" t="str">
        <f aca="false">IF(OR($AG93=0,U$3=""),"",IF(AND(INDEX(工程マスタ!$I:$I,$AG93)="○",$E93&gt;=U$3,$E93&lt;EDATE(U$3,1)),"▼",""))</f>
        <v/>
      </c>
      <c r="V93" s="31" t="str">
        <f aca="false">IF(OR($AG93=0,V$3=""),"",IF(AND(INDEX(工程マスタ!$I:$I,$AG93)="○",$E93&gt;=V$3,$E93&lt;EDATE(V$3,1)),"▼",""))</f>
        <v/>
      </c>
      <c r="W93" s="31" t="str">
        <f aca="false">IF(OR($AG93=0,W$3=""),"",IF(AND(INDEX(工程マスタ!$I:$I,$AG93)="○",$E93&gt;=W$3,$E93&lt;EDATE(W$3,1)),"▼",""))</f>
        <v/>
      </c>
      <c r="X93" s="31" t="str">
        <f aca="false">IF(OR($AG93=0,X$3=""),"",IF(AND(INDEX(工程マスタ!$I:$I,$AG93)="○",$E93&gt;=X$3,$E93&lt;EDATE(X$3,1)),"▼",""))</f>
        <v/>
      </c>
      <c r="Y93" s="31" t="str">
        <f aca="false">IF(OR($AG93=0,Y$3=""),"",IF(AND(INDEX(工程マスタ!$I:$I,$AG93)="○",$E93&gt;=Y$3,$E93&lt;EDATE(Y$3,1)),"▼",""))</f>
        <v/>
      </c>
      <c r="Z93" s="31" t="str">
        <f aca="false">IF(OR($AG93=0,Z$3=""),"",IF(AND(INDEX(工程マスタ!$I:$I,$AG93)="○",$E93&gt;=Z$3,$E93&lt;EDATE(Z$3,1)),"▼",""))</f>
        <v/>
      </c>
      <c r="AA93" s="31" t="str">
        <f aca="false">IF(OR($AG93=0,AA$3=""),"",IF(AND(INDEX(工程マスタ!$I:$I,$AG93)="○",$E93&gt;=AA$3,$E93&lt;EDATE(AA$3,1)),"▼",""))</f>
        <v/>
      </c>
      <c r="AB93" s="31" t="str">
        <f aca="false">IF(OR($AG93=0,AB$3=""),"",IF(AND(INDEX(工程マスタ!$I:$I,$AG93)="○",$E93&gt;=AB$3,$E93&lt;EDATE(AB$3,1)),"▼",""))</f>
        <v/>
      </c>
      <c r="AC93" s="31" t="str">
        <f aca="false">IF(OR($AG93=0,AC$3=""),"",IF(AND(INDEX(工程マスタ!$I:$I,$AG93)="○",$E93&gt;=AC$3,$E93&lt;EDATE(AC$3,1)),"▼",""))</f>
        <v/>
      </c>
      <c r="AD93" s="31" t="str">
        <f aca="false">IF(OR($AG93=0,AD$3=""),"",IF(AND(INDEX(工程マスタ!$I:$I,$AG93)="○",$E93&gt;=AD$3,$E93&lt;EDATE(AD$3,1)),"▼",""))</f>
        <v/>
      </c>
      <c r="AE93" s="31" t="str">
        <f aca="false">IF(OR($AG93=0,AE$3=""),"",IF(AND(INDEX(工程マスタ!$I:$I,$AG93)="○",$E93&gt;=AE$3,$E93&lt;EDATE(AE$3,1)),"▼",""))</f>
        <v/>
      </c>
      <c r="AG93" s="27" t="n">
        <f aca="false" t="array" ref="AG93:AG93">IFERROR(SMALL(IF(工程マスタ!$K$5:$K$154&gt;0,ROW(工程マスタ!$C$5:$C$154)),88),0)</f>
        <v>0</v>
      </c>
      <c r="AH93" s="27" t="n">
        <f aca="false">IF($AG93=0,0,INDEX(工程マスタ!$M:$M,$AG93))</f>
        <v>0</v>
      </c>
    </row>
    <row r="94" customFormat="false" ht="15" hidden="false" customHeight="false" outlineLevel="0" collapsed="false">
      <c r="A94" s="28" t="str">
        <f aca="false">IF($AG94=0,"",IF(INDEX(工程マスタ!$A:$A,$AG94)="","",INDEX(工程マスタ!$A:$A,$AG94)))</f>
        <v/>
      </c>
      <c r="B94" s="21" t="str">
        <f aca="false">IF($AG94=0,"",IF(INDEX(工程マスタ!$B:$B,$AG94)="","",INDEX(工程マスタ!$B:$B,$AG94)))</f>
        <v/>
      </c>
      <c r="C94" s="21" t="str">
        <f aca="false">IF($AG94=0,"",IF(INDEX(工程マスタ!$C:$C,$AG94)="","",INDEX(工程マスタ!$C:$C,$AG94)))</f>
        <v/>
      </c>
      <c r="D94" s="21" t="str">
        <f aca="false">IF($AG94=0,"",IF(INDEX(工程マスタ!$D:$D,$AG94)="","",INDEX(工程マスタ!$D:$D,$AG94)))</f>
        <v/>
      </c>
      <c r="E94" s="29" t="str">
        <f aca="false">IF($AG94=0,"",IF(INDEX(工程マスタ!$E:$E,$AG94)="","",INDEX(工程マスタ!$E:$E,$AG94)))</f>
        <v/>
      </c>
      <c r="F94" s="29" t="str">
        <f aca="false">IF($AG94=0,"",IF(INDEX(工程マスタ!$F:$F,$AG94)="","",INDEX(工程マスタ!$F:$F,$AG94)))</f>
        <v/>
      </c>
      <c r="G94" s="30" t="str">
        <f aca="false">IF($AG94=0,"",IF(INDEX(工程マスタ!$H:$H,$AG94)="","",INDEX(工程マスタ!$H:$H,$AG94)))</f>
        <v/>
      </c>
      <c r="H94" s="31" t="str">
        <f aca="false">IF(OR($AG94=0,H$3=""),"",IF(AND(INDEX(工程マスタ!$I:$I,$AG94)="○",$E94&gt;=H$3,$E94&lt;EDATE(H$3,1)),"▼",""))</f>
        <v/>
      </c>
      <c r="I94" s="31" t="str">
        <f aca="false">IF(OR($AG94=0,I$3=""),"",IF(AND(INDEX(工程マスタ!$I:$I,$AG94)="○",$E94&gt;=I$3,$E94&lt;EDATE(I$3,1)),"▼",""))</f>
        <v/>
      </c>
      <c r="J94" s="31" t="str">
        <f aca="false">IF(OR($AG94=0,J$3=""),"",IF(AND(INDEX(工程マスタ!$I:$I,$AG94)="○",$E94&gt;=J$3,$E94&lt;EDATE(J$3,1)),"▼",""))</f>
        <v/>
      </c>
      <c r="K94" s="31" t="str">
        <f aca="false">IF(OR($AG94=0,K$3=""),"",IF(AND(INDEX(工程マスタ!$I:$I,$AG94)="○",$E94&gt;=K$3,$E94&lt;EDATE(K$3,1)),"▼",""))</f>
        <v/>
      </c>
      <c r="L94" s="31" t="str">
        <f aca="false">IF(OR($AG94=0,L$3=""),"",IF(AND(INDEX(工程マスタ!$I:$I,$AG94)="○",$E94&gt;=L$3,$E94&lt;EDATE(L$3,1)),"▼",""))</f>
        <v/>
      </c>
      <c r="M94" s="31" t="str">
        <f aca="false">IF(OR($AG94=0,M$3=""),"",IF(AND(INDEX(工程マスタ!$I:$I,$AG94)="○",$E94&gt;=M$3,$E94&lt;EDATE(M$3,1)),"▼",""))</f>
        <v/>
      </c>
      <c r="N94" s="31" t="str">
        <f aca="false">IF(OR($AG94=0,N$3=""),"",IF(AND(INDEX(工程マスタ!$I:$I,$AG94)="○",$E94&gt;=N$3,$E94&lt;EDATE(N$3,1)),"▼",""))</f>
        <v/>
      </c>
      <c r="O94" s="31" t="str">
        <f aca="false">IF(OR($AG94=0,O$3=""),"",IF(AND(INDEX(工程マスタ!$I:$I,$AG94)="○",$E94&gt;=O$3,$E94&lt;EDATE(O$3,1)),"▼",""))</f>
        <v/>
      </c>
      <c r="P94" s="31" t="str">
        <f aca="false">IF(OR($AG94=0,P$3=""),"",IF(AND(INDEX(工程マスタ!$I:$I,$AG94)="○",$E94&gt;=P$3,$E94&lt;EDATE(P$3,1)),"▼",""))</f>
        <v/>
      </c>
      <c r="Q94" s="31" t="str">
        <f aca="false">IF(OR($AG94=0,Q$3=""),"",IF(AND(INDEX(工程マスタ!$I:$I,$AG94)="○",$E94&gt;=Q$3,$E94&lt;EDATE(Q$3,1)),"▼",""))</f>
        <v/>
      </c>
      <c r="R94" s="31" t="str">
        <f aca="false">IF(OR($AG94=0,R$3=""),"",IF(AND(INDEX(工程マスタ!$I:$I,$AG94)="○",$E94&gt;=R$3,$E94&lt;EDATE(R$3,1)),"▼",""))</f>
        <v/>
      </c>
      <c r="S94" s="31" t="str">
        <f aca="false">IF(OR($AG94=0,S$3=""),"",IF(AND(INDEX(工程マスタ!$I:$I,$AG94)="○",$E94&gt;=S$3,$E94&lt;EDATE(S$3,1)),"▼",""))</f>
        <v/>
      </c>
      <c r="T94" s="31" t="str">
        <f aca="false">IF(OR($AG94=0,T$3=""),"",IF(AND(INDEX(工程マスタ!$I:$I,$AG94)="○",$E94&gt;=T$3,$E94&lt;EDATE(T$3,1)),"▼",""))</f>
        <v/>
      </c>
      <c r="U94" s="31" t="str">
        <f aca="false">IF(OR($AG94=0,U$3=""),"",IF(AND(INDEX(工程マスタ!$I:$I,$AG94)="○",$E94&gt;=U$3,$E94&lt;EDATE(U$3,1)),"▼",""))</f>
        <v/>
      </c>
      <c r="V94" s="31" t="str">
        <f aca="false">IF(OR($AG94=0,V$3=""),"",IF(AND(INDEX(工程マスタ!$I:$I,$AG94)="○",$E94&gt;=V$3,$E94&lt;EDATE(V$3,1)),"▼",""))</f>
        <v/>
      </c>
      <c r="W94" s="31" t="str">
        <f aca="false">IF(OR($AG94=0,W$3=""),"",IF(AND(INDEX(工程マスタ!$I:$I,$AG94)="○",$E94&gt;=W$3,$E94&lt;EDATE(W$3,1)),"▼",""))</f>
        <v/>
      </c>
      <c r="X94" s="31" t="str">
        <f aca="false">IF(OR($AG94=0,X$3=""),"",IF(AND(INDEX(工程マスタ!$I:$I,$AG94)="○",$E94&gt;=X$3,$E94&lt;EDATE(X$3,1)),"▼",""))</f>
        <v/>
      </c>
      <c r="Y94" s="31" t="str">
        <f aca="false">IF(OR($AG94=0,Y$3=""),"",IF(AND(INDEX(工程マスタ!$I:$I,$AG94)="○",$E94&gt;=Y$3,$E94&lt;EDATE(Y$3,1)),"▼",""))</f>
        <v/>
      </c>
      <c r="Z94" s="31" t="str">
        <f aca="false">IF(OR($AG94=0,Z$3=""),"",IF(AND(INDEX(工程マスタ!$I:$I,$AG94)="○",$E94&gt;=Z$3,$E94&lt;EDATE(Z$3,1)),"▼",""))</f>
        <v/>
      </c>
      <c r="AA94" s="31" t="str">
        <f aca="false">IF(OR($AG94=0,AA$3=""),"",IF(AND(INDEX(工程マスタ!$I:$I,$AG94)="○",$E94&gt;=AA$3,$E94&lt;EDATE(AA$3,1)),"▼",""))</f>
        <v/>
      </c>
      <c r="AB94" s="31" t="str">
        <f aca="false">IF(OR($AG94=0,AB$3=""),"",IF(AND(INDEX(工程マスタ!$I:$I,$AG94)="○",$E94&gt;=AB$3,$E94&lt;EDATE(AB$3,1)),"▼",""))</f>
        <v/>
      </c>
      <c r="AC94" s="31" t="str">
        <f aca="false">IF(OR($AG94=0,AC$3=""),"",IF(AND(INDEX(工程マスタ!$I:$I,$AG94)="○",$E94&gt;=AC$3,$E94&lt;EDATE(AC$3,1)),"▼",""))</f>
        <v/>
      </c>
      <c r="AD94" s="31" t="str">
        <f aca="false">IF(OR($AG94=0,AD$3=""),"",IF(AND(INDEX(工程マスタ!$I:$I,$AG94)="○",$E94&gt;=AD$3,$E94&lt;EDATE(AD$3,1)),"▼",""))</f>
        <v/>
      </c>
      <c r="AE94" s="31" t="str">
        <f aca="false">IF(OR($AG94=0,AE$3=""),"",IF(AND(INDEX(工程マスタ!$I:$I,$AG94)="○",$E94&gt;=AE$3,$E94&lt;EDATE(AE$3,1)),"▼",""))</f>
        <v/>
      </c>
      <c r="AG94" s="27" t="n">
        <f aca="false" t="array" ref="AG94:AG94">IFERROR(SMALL(IF(工程マスタ!$K$5:$K$154&gt;0,ROW(工程マスタ!$C$5:$C$154)),89),0)</f>
        <v>0</v>
      </c>
      <c r="AH94" s="27" t="n">
        <f aca="false">IF($AG94=0,0,INDEX(工程マスタ!$M:$M,$AG94))</f>
        <v>0</v>
      </c>
    </row>
    <row r="95" customFormat="false" ht="15" hidden="false" customHeight="false" outlineLevel="0" collapsed="false">
      <c r="A95" s="28" t="str">
        <f aca="false">IF($AG95=0,"",IF(INDEX(工程マスタ!$A:$A,$AG95)="","",INDEX(工程マスタ!$A:$A,$AG95)))</f>
        <v/>
      </c>
      <c r="B95" s="21" t="str">
        <f aca="false">IF($AG95=0,"",IF(INDEX(工程マスタ!$B:$B,$AG95)="","",INDEX(工程マスタ!$B:$B,$AG95)))</f>
        <v/>
      </c>
      <c r="C95" s="21" t="str">
        <f aca="false">IF($AG95=0,"",IF(INDEX(工程マスタ!$C:$C,$AG95)="","",INDEX(工程マスタ!$C:$C,$AG95)))</f>
        <v/>
      </c>
      <c r="D95" s="21" t="str">
        <f aca="false">IF($AG95=0,"",IF(INDEX(工程マスタ!$D:$D,$AG95)="","",INDEX(工程マスタ!$D:$D,$AG95)))</f>
        <v/>
      </c>
      <c r="E95" s="29" t="str">
        <f aca="false">IF($AG95=0,"",IF(INDEX(工程マスタ!$E:$E,$AG95)="","",INDEX(工程マスタ!$E:$E,$AG95)))</f>
        <v/>
      </c>
      <c r="F95" s="29" t="str">
        <f aca="false">IF($AG95=0,"",IF(INDEX(工程マスタ!$F:$F,$AG95)="","",INDEX(工程マスタ!$F:$F,$AG95)))</f>
        <v/>
      </c>
      <c r="G95" s="30" t="str">
        <f aca="false">IF($AG95=0,"",IF(INDEX(工程マスタ!$H:$H,$AG95)="","",INDEX(工程マスタ!$H:$H,$AG95)))</f>
        <v/>
      </c>
      <c r="H95" s="31" t="str">
        <f aca="false">IF(OR($AG95=0,H$3=""),"",IF(AND(INDEX(工程マスタ!$I:$I,$AG95)="○",$E95&gt;=H$3,$E95&lt;EDATE(H$3,1)),"▼",""))</f>
        <v/>
      </c>
      <c r="I95" s="31" t="str">
        <f aca="false">IF(OR($AG95=0,I$3=""),"",IF(AND(INDEX(工程マスタ!$I:$I,$AG95)="○",$E95&gt;=I$3,$E95&lt;EDATE(I$3,1)),"▼",""))</f>
        <v/>
      </c>
      <c r="J95" s="31" t="str">
        <f aca="false">IF(OR($AG95=0,J$3=""),"",IF(AND(INDEX(工程マスタ!$I:$I,$AG95)="○",$E95&gt;=J$3,$E95&lt;EDATE(J$3,1)),"▼",""))</f>
        <v/>
      </c>
      <c r="K95" s="31" t="str">
        <f aca="false">IF(OR($AG95=0,K$3=""),"",IF(AND(INDEX(工程マスタ!$I:$I,$AG95)="○",$E95&gt;=K$3,$E95&lt;EDATE(K$3,1)),"▼",""))</f>
        <v/>
      </c>
      <c r="L95" s="31" t="str">
        <f aca="false">IF(OR($AG95=0,L$3=""),"",IF(AND(INDEX(工程マスタ!$I:$I,$AG95)="○",$E95&gt;=L$3,$E95&lt;EDATE(L$3,1)),"▼",""))</f>
        <v/>
      </c>
      <c r="M95" s="31" t="str">
        <f aca="false">IF(OR($AG95=0,M$3=""),"",IF(AND(INDEX(工程マスタ!$I:$I,$AG95)="○",$E95&gt;=M$3,$E95&lt;EDATE(M$3,1)),"▼",""))</f>
        <v/>
      </c>
      <c r="N95" s="31" t="str">
        <f aca="false">IF(OR($AG95=0,N$3=""),"",IF(AND(INDEX(工程マスタ!$I:$I,$AG95)="○",$E95&gt;=N$3,$E95&lt;EDATE(N$3,1)),"▼",""))</f>
        <v/>
      </c>
      <c r="O95" s="31" t="str">
        <f aca="false">IF(OR($AG95=0,O$3=""),"",IF(AND(INDEX(工程マスタ!$I:$I,$AG95)="○",$E95&gt;=O$3,$E95&lt;EDATE(O$3,1)),"▼",""))</f>
        <v/>
      </c>
      <c r="P95" s="31" t="str">
        <f aca="false">IF(OR($AG95=0,P$3=""),"",IF(AND(INDEX(工程マスタ!$I:$I,$AG95)="○",$E95&gt;=P$3,$E95&lt;EDATE(P$3,1)),"▼",""))</f>
        <v/>
      </c>
      <c r="Q95" s="31" t="str">
        <f aca="false">IF(OR($AG95=0,Q$3=""),"",IF(AND(INDEX(工程マスタ!$I:$I,$AG95)="○",$E95&gt;=Q$3,$E95&lt;EDATE(Q$3,1)),"▼",""))</f>
        <v/>
      </c>
      <c r="R95" s="31" t="str">
        <f aca="false">IF(OR($AG95=0,R$3=""),"",IF(AND(INDEX(工程マスタ!$I:$I,$AG95)="○",$E95&gt;=R$3,$E95&lt;EDATE(R$3,1)),"▼",""))</f>
        <v/>
      </c>
      <c r="S95" s="31" t="str">
        <f aca="false">IF(OR($AG95=0,S$3=""),"",IF(AND(INDEX(工程マスタ!$I:$I,$AG95)="○",$E95&gt;=S$3,$E95&lt;EDATE(S$3,1)),"▼",""))</f>
        <v/>
      </c>
      <c r="T95" s="31" t="str">
        <f aca="false">IF(OR($AG95=0,T$3=""),"",IF(AND(INDEX(工程マスタ!$I:$I,$AG95)="○",$E95&gt;=T$3,$E95&lt;EDATE(T$3,1)),"▼",""))</f>
        <v/>
      </c>
      <c r="U95" s="31" t="str">
        <f aca="false">IF(OR($AG95=0,U$3=""),"",IF(AND(INDEX(工程マスタ!$I:$I,$AG95)="○",$E95&gt;=U$3,$E95&lt;EDATE(U$3,1)),"▼",""))</f>
        <v/>
      </c>
      <c r="V95" s="31" t="str">
        <f aca="false">IF(OR($AG95=0,V$3=""),"",IF(AND(INDEX(工程マスタ!$I:$I,$AG95)="○",$E95&gt;=V$3,$E95&lt;EDATE(V$3,1)),"▼",""))</f>
        <v/>
      </c>
      <c r="W95" s="31" t="str">
        <f aca="false">IF(OR($AG95=0,W$3=""),"",IF(AND(INDEX(工程マスタ!$I:$I,$AG95)="○",$E95&gt;=W$3,$E95&lt;EDATE(W$3,1)),"▼",""))</f>
        <v/>
      </c>
      <c r="X95" s="31" t="str">
        <f aca="false">IF(OR($AG95=0,X$3=""),"",IF(AND(INDEX(工程マスタ!$I:$I,$AG95)="○",$E95&gt;=X$3,$E95&lt;EDATE(X$3,1)),"▼",""))</f>
        <v/>
      </c>
      <c r="Y95" s="31" t="str">
        <f aca="false">IF(OR($AG95=0,Y$3=""),"",IF(AND(INDEX(工程マスタ!$I:$I,$AG95)="○",$E95&gt;=Y$3,$E95&lt;EDATE(Y$3,1)),"▼",""))</f>
        <v/>
      </c>
      <c r="Z95" s="31" t="str">
        <f aca="false">IF(OR($AG95=0,Z$3=""),"",IF(AND(INDEX(工程マスタ!$I:$I,$AG95)="○",$E95&gt;=Z$3,$E95&lt;EDATE(Z$3,1)),"▼",""))</f>
        <v/>
      </c>
      <c r="AA95" s="31" t="str">
        <f aca="false">IF(OR($AG95=0,AA$3=""),"",IF(AND(INDEX(工程マスタ!$I:$I,$AG95)="○",$E95&gt;=AA$3,$E95&lt;EDATE(AA$3,1)),"▼",""))</f>
        <v/>
      </c>
      <c r="AB95" s="31" t="str">
        <f aca="false">IF(OR($AG95=0,AB$3=""),"",IF(AND(INDEX(工程マスタ!$I:$I,$AG95)="○",$E95&gt;=AB$3,$E95&lt;EDATE(AB$3,1)),"▼",""))</f>
        <v/>
      </c>
      <c r="AC95" s="31" t="str">
        <f aca="false">IF(OR($AG95=0,AC$3=""),"",IF(AND(INDEX(工程マスタ!$I:$I,$AG95)="○",$E95&gt;=AC$3,$E95&lt;EDATE(AC$3,1)),"▼",""))</f>
        <v/>
      </c>
      <c r="AD95" s="31" t="str">
        <f aca="false">IF(OR($AG95=0,AD$3=""),"",IF(AND(INDEX(工程マスタ!$I:$I,$AG95)="○",$E95&gt;=AD$3,$E95&lt;EDATE(AD$3,1)),"▼",""))</f>
        <v/>
      </c>
      <c r="AE95" s="31" t="str">
        <f aca="false">IF(OR($AG95=0,AE$3=""),"",IF(AND(INDEX(工程マスタ!$I:$I,$AG95)="○",$E95&gt;=AE$3,$E95&lt;EDATE(AE$3,1)),"▼",""))</f>
        <v/>
      </c>
      <c r="AG95" s="27" t="n">
        <f aca="false" t="array" ref="AG95:AG95">IFERROR(SMALL(IF(工程マスタ!$K$5:$K$154&gt;0,ROW(工程マスタ!$C$5:$C$154)),90),0)</f>
        <v>0</v>
      </c>
      <c r="AH95" s="27" t="n">
        <f aca="false">IF($AG95=0,0,INDEX(工程マスタ!$M:$M,$AG95))</f>
        <v>0</v>
      </c>
    </row>
    <row r="96" customFormat="false" ht="15" hidden="false" customHeight="false" outlineLevel="0" collapsed="false">
      <c r="A96" s="28" t="str">
        <f aca="false">IF($AG96=0,"",IF(INDEX(工程マスタ!$A:$A,$AG96)="","",INDEX(工程マスタ!$A:$A,$AG96)))</f>
        <v/>
      </c>
      <c r="B96" s="21" t="str">
        <f aca="false">IF($AG96=0,"",IF(INDEX(工程マスタ!$B:$B,$AG96)="","",INDEX(工程マスタ!$B:$B,$AG96)))</f>
        <v/>
      </c>
      <c r="C96" s="21" t="str">
        <f aca="false">IF($AG96=0,"",IF(INDEX(工程マスタ!$C:$C,$AG96)="","",INDEX(工程マスタ!$C:$C,$AG96)))</f>
        <v/>
      </c>
      <c r="D96" s="21" t="str">
        <f aca="false">IF($AG96=0,"",IF(INDEX(工程マスタ!$D:$D,$AG96)="","",INDEX(工程マスタ!$D:$D,$AG96)))</f>
        <v/>
      </c>
      <c r="E96" s="29" t="str">
        <f aca="false">IF($AG96=0,"",IF(INDEX(工程マスタ!$E:$E,$AG96)="","",INDEX(工程マスタ!$E:$E,$AG96)))</f>
        <v/>
      </c>
      <c r="F96" s="29" t="str">
        <f aca="false">IF($AG96=0,"",IF(INDEX(工程マスタ!$F:$F,$AG96)="","",INDEX(工程マスタ!$F:$F,$AG96)))</f>
        <v/>
      </c>
      <c r="G96" s="30" t="str">
        <f aca="false">IF($AG96=0,"",IF(INDEX(工程マスタ!$H:$H,$AG96)="","",INDEX(工程マスタ!$H:$H,$AG96)))</f>
        <v/>
      </c>
      <c r="H96" s="31" t="str">
        <f aca="false">IF(OR($AG96=0,H$3=""),"",IF(AND(INDEX(工程マスタ!$I:$I,$AG96)="○",$E96&gt;=H$3,$E96&lt;EDATE(H$3,1)),"▼",""))</f>
        <v/>
      </c>
      <c r="I96" s="31" t="str">
        <f aca="false">IF(OR($AG96=0,I$3=""),"",IF(AND(INDEX(工程マスタ!$I:$I,$AG96)="○",$E96&gt;=I$3,$E96&lt;EDATE(I$3,1)),"▼",""))</f>
        <v/>
      </c>
      <c r="J96" s="31" t="str">
        <f aca="false">IF(OR($AG96=0,J$3=""),"",IF(AND(INDEX(工程マスタ!$I:$I,$AG96)="○",$E96&gt;=J$3,$E96&lt;EDATE(J$3,1)),"▼",""))</f>
        <v/>
      </c>
      <c r="K96" s="31" t="str">
        <f aca="false">IF(OR($AG96=0,K$3=""),"",IF(AND(INDEX(工程マスタ!$I:$I,$AG96)="○",$E96&gt;=K$3,$E96&lt;EDATE(K$3,1)),"▼",""))</f>
        <v/>
      </c>
      <c r="L96" s="31" t="str">
        <f aca="false">IF(OR($AG96=0,L$3=""),"",IF(AND(INDEX(工程マスタ!$I:$I,$AG96)="○",$E96&gt;=L$3,$E96&lt;EDATE(L$3,1)),"▼",""))</f>
        <v/>
      </c>
      <c r="M96" s="31" t="str">
        <f aca="false">IF(OR($AG96=0,M$3=""),"",IF(AND(INDEX(工程マスタ!$I:$I,$AG96)="○",$E96&gt;=M$3,$E96&lt;EDATE(M$3,1)),"▼",""))</f>
        <v/>
      </c>
      <c r="N96" s="31" t="str">
        <f aca="false">IF(OR($AG96=0,N$3=""),"",IF(AND(INDEX(工程マスタ!$I:$I,$AG96)="○",$E96&gt;=N$3,$E96&lt;EDATE(N$3,1)),"▼",""))</f>
        <v/>
      </c>
      <c r="O96" s="31" t="str">
        <f aca="false">IF(OR($AG96=0,O$3=""),"",IF(AND(INDEX(工程マスタ!$I:$I,$AG96)="○",$E96&gt;=O$3,$E96&lt;EDATE(O$3,1)),"▼",""))</f>
        <v/>
      </c>
      <c r="P96" s="31" t="str">
        <f aca="false">IF(OR($AG96=0,P$3=""),"",IF(AND(INDEX(工程マスタ!$I:$I,$AG96)="○",$E96&gt;=P$3,$E96&lt;EDATE(P$3,1)),"▼",""))</f>
        <v/>
      </c>
      <c r="Q96" s="31" t="str">
        <f aca="false">IF(OR($AG96=0,Q$3=""),"",IF(AND(INDEX(工程マスタ!$I:$I,$AG96)="○",$E96&gt;=Q$3,$E96&lt;EDATE(Q$3,1)),"▼",""))</f>
        <v/>
      </c>
      <c r="R96" s="31" t="str">
        <f aca="false">IF(OR($AG96=0,R$3=""),"",IF(AND(INDEX(工程マスタ!$I:$I,$AG96)="○",$E96&gt;=R$3,$E96&lt;EDATE(R$3,1)),"▼",""))</f>
        <v/>
      </c>
      <c r="S96" s="31" t="str">
        <f aca="false">IF(OR($AG96=0,S$3=""),"",IF(AND(INDEX(工程マスタ!$I:$I,$AG96)="○",$E96&gt;=S$3,$E96&lt;EDATE(S$3,1)),"▼",""))</f>
        <v/>
      </c>
      <c r="T96" s="31" t="str">
        <f aca="false">IF(OR($AG96=0,T$3=""),"",IF(AND(INDEX(工程マスタ!$I:$I,$AG96)="○",$E96&gt;=T$3,$E96&lt;EDATE(T$3,1)),"▼",""))</f>
        <v/>
      </c>
      <c r="U96" s="31" t="str">
        <f aca="false">IF(OR($AG96=0,U$3=""),"",IF(AND(INDEX(工程マスタ!$I:$I,$AG96)="○",$E96&gt;=U$3,$E96&lt;EDATE(U$3,1)),"▼",""))</f>
        <v/>
      </c>
      <c r="V96" s="31" t="str">
        <f aca="false">IF(OR($AG96=0,V$3=""),"",IF(AND(INDEX(工程マスタ!$I:$I,$AG96)="○",$E96&gt;=V$3,$E96&lt;EDATE(V$3,1)),"▼",""))</f>
        <v/>
      </c>
      <c r="W96" s="31" t="str">
        <f aca="false">IF(OR($AG96=0,W$3=""),"",IF(AND(INDEX(工程マスタ!$I:$I,$AG96)="○",$E96&gt;=W$3,$E96&lt;EDATE(W$3,1)),"▼",""))</f>
        <v/>
      </c>
      <c r="X96" s="31" t="str">
        <f aca="false">IF(OR($AG96=0,X$3=""),"",IF(AND(INDEX(工程マスタ!$I:$I,$AG96)="○",$E96&gt;=X$3,$E96&lt;EDATE(X$3,1)),"▼",""))</f>
        <v/>
      </c>
      <c r="Y96" s="31" t="str">
        <f aca="false">IF(OR($AG96=0,Y$3=""),"",IF(AND(INDEX(工程マスタ!$I:$I,$AG96)="○",$E96&gt;=Y$3,$E96&lt;EDATE(Y$3,1)),"▼",""))</f>
        <v/>
      </c>
      <c r="Z96" s="31" t="str">
        <f aca="false">IF(OR($AG96=0,Z$3=""),"",IF(AND(INDEX(工程マスタ!$I:$I,$AG96)="○",$E96&gt;=Z$3,$E96&lt;EDATE(Z$3,1)),"▼",""))</f>
        <v/>
      </c>
      <c r="AA96" s="31" t="str">
        <f aca="false">IF(OR($AG96=0,AA$3=""),"",IF(AND(INDEX(工程マスタ!$I:$I,$AG96)="○",$E96&gt;=AA$3,$E96&lt;EDATE(AA$3,1)),"▼",""))</f>
        <v/>
      </c>
      <c r="AB96" s="31" t="str">
        <f aca="false">IF(OR($AG96=0,AB$3=""),"",IF(AND(INDEX(工程マスタ!$I:$I,$AG96)="○",$E96&gt;=AB$3,$E96&lt;EDATE(AB$3,1)),"▼",""))</f>
        <v/>
      </c>
      <c r="AC96" s="31" t="str">
        <f aca="false">IF(OR($AG96=0,AC$3=""),"",IF(AND(INDEX(工程マスタ!$I:$I,$AG96)="○",$E96&gt;=AC$3,$E96&lt;EDATE(AC$3,1)),"▼",""))</f>
        <v/>
      </c>
      <c r="AD96" s="31" t="str">
        <f aca="false">IF(OR($AG96=0,AD$3=""),"",IF(AND(INDEX(工程マスタ!$I:$I,$AG96)="○",$E96&gt;=AD$3,$E96&lt;EDATE(AD$3,1)),"▼",""))</f>
        <v/>
      </c>
      <c r="AE96" s="31" t="str">
        <f aca="false">IF(OR($AG96=0,AE$3=""),"",IF(AND(INDEX(工程マスタ!$I:$I,$AG96)="○",$E96&gt;=AE$3,$E96&lt;EDATE(AE$3,1)),"▼",""))</f>
        <v/>
      </c>
      <c r="AG96" s="27" t="n">
        <f aca="false" t="array" ref="AG96:AG96">IFERROR(SMALL(IF(工程マスタ!$K$5:$K$154&gt;0,ROW(工程マスタ!$C$5:$C$154)),91),0)</f>
        <v>0</v>
      </c>
      <c r="AH96" s="27" t="n">
        <f aca="false">IF($AG96=0,0,INDEX(工程マスタ!$M:$M,$AG96))</f>
        <v>0</v>
      </c>
    </row>
    <row r="97" customFormat="false" ht="15" hidden="false" customHeight="false" outlineLevel="0" collapsed="false">
      <c r="A97" s="28" t="str">
        <f aca="false">IF($AG97=0,"",IF(INDEX(工程マスタ!$A:$A,$AG97)="","",INDEX(工程マスタ!$A:$A,$AG97)))</f>
        <v/>
      </c>
      <c r="B97" s="21" t="str">
        <f aca="false">IF($AG97=0,"",IF(INDEX(工程マスタ!$B:$B,$AG97)="","",INDEX(工程マスタ!$B:$B,$AG97)))</f>
        <v/>
      </c>
      <c r="C97" s="21" t="str">
        <f aca="false">IF($AG97=0,"",IF(INDEX(工程マスタ!$C:$C,$AG97)="","",INDEX(工程マスタ!$C:$C,$AG97)))</f>
        <v/>
      </c>
      <c r="D97" s="21" t="str">
        <f aca="false">IF($AG97=0,"",IF(INDEX(工程マスタ!$D:$D,$AG97)="","",INDEX(工程マスタ!$D:$D,$AG97)))</f>
        <v/>
      </c>
      <c r="E97" s="29" t="str">
        <f aca="false">IF($AG97=0,"",IF(INDEX(工程マスタ!$E:$E,$AG97)="","",INDEX(工程マスタ!$E:$E,$AG97)))</f>
        <v/>
      </c>
      <c r="F97" s="29" t="str">
        <f aca="false">IF($AG97=0,"",IF(INDEX(工程マスタ!$F:$F,$AG97)="","",INDEX(工程マスタ!$F:$F,$AG97)))</f>
        <v/>
      </c>
      <c r="G97" s="30" t="str">
        <f aca="false">IF($AG97=0,"",IF(INDEX(工程マスタ!$H:$H,$AG97)="","",INDEX(工程マスタ!$H:$H,$AG97)))</f>
        <v/>
      </c>
      <c r="H97" s="31" t="str">
        <f aca="false">IF(OR($AG97=0,H$3=""),"",IF(AND(INDEX(工程マスタ!$I:$I,$AG97)="○",$E97&gt;=H$3,$E97&lt;EDATE(H$3,1)),"▼",""))</f>
        <v/>
      </c>
      <c r="I97" s="31" t="str">
        <f aca="false">IF(OR($AG97=0,I$3=""),"",IF(AND(INDEX(工程マスタ!$I:$I,$AG97)="○",$E97&gt;=I$3,$E97&lt;EDATE(I$3,1)),"▼",""))</f>
        <v/>
      </c>
      <c r="J97" s="31" t="str">
        <f aca="false">IF(OR($AG97=0,J$3=""),"",IF(AND(INDEX(工程マスタ!$I:$I,$AG97)="○",$E97&gt;=J$3,$E97&lt;EDATE(J$3,1)),"▼",""))</f>
        <v/>
      </c>
      <c r="K97" s="31" t="str">
        <f aca="false">IF(OR($AG97=0,K$3=""),"",IF(AND(INDEX(工程マスタ!$I:$I,$AG97)="○",$E97&gt;=K$3,$E97&lt;EDATE(K$3,1)),"▼",""))</f>
        <v/>
      </c>
      <c r="L97" s="31" t="str">
        <f aca="false">IF(OR($AG97=0,L$3=""),"",IF(AND(INDEX(工程マスタ!$I:$I,$AG97)="○",$E97&gt;=L$3,$E97&lt;EDATE(L$3,1)),"▼",""))</f>
        <v/>
      </c>
      <c r="M97" s="31" t="str">
        <f aca="false">IF(OR($AG97=0,M$3=""),"",IF(AND(INDEX(工程マスタ!$I:$I,$AG97)="○",$E97&gt;=M$3,$E97&lt;EDATE(M$3,1)),"▼",""))</f>
        <v/>
      </c>
      <c r="N97" s="31" t="str">
        <f aca="false">IF(OR($AG97=0,N$3=""),"",IF(AND(INDEX(工程マスタ!$I:$I,$AG97)="○",$E97&gt;=N$3,$E97&lt;EDATE(N$3,1)),"▼",""))</f>
        <v/>
      </c>
      <c r="O97" s="31" t="str">
        <f aca="false">IF(OR($AG97=0,O$3=""),"",IF(AND(INDEX(工程マスタ!$I:$I,$AG97)="○",$E97&gt;=O$3,$E97&lt;EDATE(O$3,1)),"▼",""))</f>
        <v/>
      </c>
      <c r="P97" s="31" t="str">
        <f aca="false">IF(OR($AG97=0,P$3=""),"",IF(AND(INDEX(工程マスタ!$I:$I,$AG97)="○",$E97&gt;=P$3,$E97&lt;EDATE(P$3,1)),"▼",""))</f>
        <v/>
      </c>
      <c r="Q97" s="31" t="str">
        <f aca="false">IF(OR($AG97=0,Q$3=""),"",IF(AND(INDEX(工程マスタ!$I:$I,$AG97)="○",$E97&gt;=Q$3,$E97&lt;EDATE(Q$3,1)),"▼",""))</f>
        <v/>
      </c>
      <c r="R97" s="31" t="str">
        <f aca="false">IF(OR($AG97=0,R$3=""),"",IF(AND(INDEX(工程マスタ!$I:$I,$AG97)="○",$E97&gt;=R$3,$E97&lt;EDATE(R$3,1)),"▼",""))</f>
        <v/>
      </c>
      <c r="S97" s="31" t="str">
        <f aca="false">IF(OR($AG97=0,S$3=""),"",IF(AND(INDEX(工程マスタ!$I:$I,$AG97)="○",$E97&gt;=S$3,$E97&lt;EDATE(S$3,1)),"▼",""))</f>
        <v/>
      </c>
      <c r="T97" s="31" t="str">
        <f aca="false">IF(OR($AG97=0,T$3=""),"",IF(AND(INDEX(工程マスタ!$I:$I,$AG97)="○",$E97&gt;=T$3,$E97&lt;EDATE(T$3,1)),"▼",""))</f>
        <v/>
      </c>
      <c r="U97" s="31" t="str">
        <f aca="false">IF(OR($AG97=0,U$3=""),"",IF(AND(INDEX(工程マスタ!$I:$I,$AG97)="○",$E97&gt;=U$3,$E97&lt;EDATE(U$3,1)),"▼",""))</f>
        <v/>
      </c>
      <c r="V97" s="31" t="str">
        <f aca="false">IF(OR($AG97=0,V$3=""),"",IF(AND(INDEX(工程マスタ!$I:$I,$AG97)="○",$E97&gt;=V$3,$E97&lt;EDATE(V$3,1)),"▼",""))</f>
        <v/>
      </c>
      <c r="W97" s="31" t="str">
        <f aca="false">IF(OR($AG97=0,W$3=""),"",IF(AND(INDEX(工程マスタ!$I:$I,$AG97)="○",$E97&gt;=W$3,$E97&lt;EDATE(W$3,1)),"▼",""))</f>
        <v/>
      </c>
      <c r="X97" s="31" t="str">
        <f aca="false">IF(OR($AG97=0,X$3=""),"",IF(AND(INDEX(工程マスタ!$I:$I,$AG97)="○",$E97&gt;=X$3,$E97&lt;EDATE(X$3,1)),"▼",""))</f>
        <v/>
      </c>
      <c r="Y97" s="31" t="str">
        <f aca="false">IF(OR($AG97=0,Y$3=""),"",IF(AND(INDEX(工程マスタ!$I:$I,$AG97)="○",$E97&gt;=Y$3,$E97&lt;EDATE(Y$3,1)),"▼",""))</f>
        <v/>
      </c>
      <c r="Z97" s="31" t="str">
        <f aca="false">IF(OR($AG97=0,Z$3=""),"",IF(AND(INDEX(工程マスタ!$I:$I,$AG97)="○",$E97&gt;=Z$3,$E97&lt;EDATE(Z$3,1)),"▼",""))</f>
        <v/>
      </c>
      <c r="AA97" s="31" t="str">
        <f aca="false">IF(OR($AG97=0,AA$3=""),"",IF(AND(INDEX(工程マスタ!$I:$I,$AG97)="○",$E97&gt;=AA$3,$E97&lt;EDATE(AA$3,1)),"▼",""))</f>
        <v/>
      </c>
      <c r="AB97" s="31" t="str">
        <f aca="false">IF(OR($AG97=0,AB$3=""),"",IF(AND(INDEX(工程マスタ!$I:$I,$AG97)="○",$E97&gt;=AB$3,$E97&lt;EDATE(AB$3,1)),"▼",""))</f>
        <v/>
      </c>
      <c r="AC97" s="31" t="str">
        <f aca="false">IF(OR($AG97=0,AC$3=""),"",IF(AND(INDEX(工程マスタ!$I:$I,$AG97)="○",$E97&gt;=AC$3,$E97&lt;EDATE(AC$3,1)),"▼",""))</f>
        <v/>
      </c>
      <c r="AD97" s="31" t="str">
        <f aca="false">IF(OR($AG97=0,AD$3=""),"",IF(AND(INDEX(工程マスタ!$I:$I,$AG97)="○",$E97&gt;=AD$3,$E97&lt;EDATE(AD$3,1)),"▼",""))</f>
        <v/>
      </c>
      <c r="AE97" s="31" t="str">
        <f aca="false">IF(OR($AG97=0,AE$3=""),"",IF(AND(INDEX(工程マスタ!$I:$I,$AG97)="○",$E97&gt;=AE$3,$E97&lt;EDATE(AE$3,1)),"▼",""))</f>
        <v/>
      </c>
      <c r="AG97" s="27" t="n">
        <f aca="false" t="array" ref="AG97:AG97">IFERROR(SMALL(IF(工程マスタ!$K$5:$K$154&gt;0,ROW(工程マスタ!$C$5:$C$154)),92),0)</f>
        <v>0</v>
      </c>
      <c r="AH97" s="27" t="n">
        <f aca="false">IF($AG97=0,0,INDEX(工程マスタ!$M:$M,$AG97))</f>
        <v>0</v>
      </c>
    </row>
    <row r="98" customFormat="false" ht="15" hidden="false" customHeight="false" outlineLevel="0" collapsed="false">
      <c r="A98" s="28" t="str">
        <f aca="false">IF($AG98=0,"",IF(INDEX(工程マスタ!$A:$A,$AG98)="","",INDEX(工程マスタ!$A:$A,$AG98)))</f>
        <v/>
      </c>
      <c r="B98" s="21" t="str">
        <f aca="false">IF($AG98=0,"",IF(INDEX(工程マスタ!$B:$B,$AG98)="","",INDEX(工程マスタ!$B:$B,$AG98)))</f>
        <v/>
      </c>
      <c r="C98" s="21" t="str">
        <f aca="false">IF($AG98=0,"",IF(INDEX(工程マスタ!$C:$C,$AG98)="","",INDEX(工程マスタ!$C:$C,$AG98)))</f>
        <v/>
      </c>
      <c r="D98" s="21" t="str">
        <f aca="false">IF($AG98=0,"",IF(INDEX(工程マスタ!$D:$D,$AG98)="","",INDEX(工程マスタ!$D:$D,$AG98)))</f>
        <v/>
      </c>
      <c r="E98" s="29" t="str">
        <f aca="false">IF($AG98=0,"",IF(INDEX(工程マスタ!$E:$E,$AG98)="","",INDEX(工程マスタ!$E:$E,$AG98)))</f>
        <v/>
      </c>
      <c r="F98" s="29" t="str">
        <f aca="false">IF($AG98=0,"",IF(INDEX(工程マスタ!$F:$F,$AG98)="","",INDEX(工程マスタ!$F:$F,$AG98)))</f>
        <v/>
      </c>
      <c r="G98" s="30" t="str">
        <f aca="false">IF($AG98=0,"",IF(INDEX(工程マスタ!$H:$H,$AG98)="","",INDEX(工程マスタ!$H:$H,$AG98)))</f>
        <v/>
      </c>
      <c r="H98" s="31" t="str">
        <f aca="false">IF(OR($AG98=0,H$3=""),"",IF(AND(INDEX(工程マスタ!$I:$I,$AG98)="○",$E98&gt;=H$3,$E98&lt;EDATE(H$3,1)),"▼",""))</f>
        <v/>
      </c>
      <c r="I98" s="31" t="str">
        <f aca="false">IF(OR($AG98=0,I$3=""),"",IF(AND(INDEX(工程マスタ!$I:$I,$AG98)="○",$E98&gt;=I$3,$E98&lt;EDATE(I$3,1)),"▼",""))</f>
        <v/>
      </c>
      <c r="J98" s="31" t="str">
        <f aca="false">IF(OR($AG98=0,J$3=""),"",IF(AND(INDEX(工程マスタ!$I:$I,$AG98)="○",$E98&gt;=J$3,$E98&lt;EDATE(J$3,1)),"▼",""))</f>
        <v/>
      </c>
      <c r="K98" s="31" t="str">
        <f aca="false">IF(OR($AG98=0,K$3=""),"",IF(AND(INDEX(工程マスタ!$I:$I,$AG98)="○",$E98&gt;=K$3,$E98&lt;EDATE(K$3,1)),"▼",""))</f>
        <v/>
      </c>
      <c r="L98" s="31" t="str">
        <f aca="false">IF(OR($AG98=0,L$3=""),"",IF(AND(INDEX(工程マスタ!$I:$I,$AG98)="○",$E98&gt;=L$3,$E98&lt;EDATE(L$3,1)),"▼",""))</f>
        <v/>
      </c>
      <c r="M98" s="31" t="str">
        <f aca="false">IF(OR($AG98=0,M$3=""),"",IF(AND(INDEX(工程マスタ!$I:$I,$AG98)="○",$E98&gt;=M$3,$E98&lt;EDATE(M$3,1)),"▼",""))</f>
        <v/>
      </c>
      <c r="N98" s="31" t="str">
        <f aca="false">IF(OR($AG98=0,N$3=""),"",IF(AND(INDEX(工程マスタ!$I:$I,$AG98)="○",$E98&gt;=N$3,$E98&lt;EDATE(N$3,1)),"▼",""))</f>
        <v/>
      </c>
      <c r="O98" s="31" t="str">
        <f aca="false">IF(OR($AG98=0,O$3=""),"",IF(AND(INDEX(工程マスタ!$I:$I,$AG98)="○",$E98&gt;=O$3,$E98&lt;EDATE(O$3,1)),"▼",""))</f>
        <v/>
      </c>
      <c r="P98" s="31" t="str">
        <f aca="false">IF(OR($AG98=0,P$3=""),"",IF(AND(INDEX(工程マスタ!$I:$I,$AG98)="○",$E98&gt;=P$3,$E98&lt;EDATE(P$3,1)),"▼",""))</f>
        <v/>
      </c>
      <c r="Q98" s="31" t="str">
        <f aca="false">IF(OR($AG98=0,Q$3=""),"",IF(AND(INDEX(工程マスタ!$I:$I,$AG98)="○",$E98&gt;=Q$3,$E98&lt;EDATE(Q$3,1)),"▼",""))</f>
        <v/>
      </c>
      <c r="R98" s="31" t="str">
        <f aca="false">IF(OR($AG98=0,R$3=""),"",IF(AND(INDEX(工程マスタ!$I:$I,$AG98)="○",$E98&gt;=R$3,$E98&lt;EDATE(R$3,1)),"▼",""))</f>
        <v/>
      </c>
      <c r="S98" s="31" t="str">
        <f aca="false">IF(OR($AG98=0,S$3=""),"",IF(AND(INDEX(工程マスタ!$I:$I,$AG98)="○",$E98&gt;=S$3,$E98&lt;EDATE(S$3,1)),"▼",""))</f>
        <v/>
      </c>
      <c r="T98" s="31" t="str">
        <f aca="false">IF(OR($AG98=0,T$3=""),"",IF(AND(INDEX(工程マスタ!$I:$I,$AG98)="○",$E98&gt;=T$3,$E98&lt;EDATE(T$3,1)),"▼",""))</f>
        <v/>
      </c>
      <c r="U98" s="31" t="str">
        <f aca="false">IF(OR($AG98=0,U$3=""),"",IF(AND(INDEX(工程マスタ!$I:$I,$AG98)="○",$E98&gt;=U$3,$E98&lt;EDATE(U$3,1)),"▼",""))</f>
        <v/>
      </c>
      <c r="V98" s="31" t="str">
        <f aca="false">IF(OR($AG98=0,V$3=""),"",IF(AND(INDEX(工程マスタ!$I:$I,$AG98)="○",$E98&gt;=V$3,$E98&lt;EDATE(V$3,1)),"▼",""))</f>
        <v/>
      </c>
      <c r="W98" s="31" t="str">
        <f aca="false">IF(OR($AG98=0,W$3=""),"",IF(AND(INDEX(工程マスタ!$I:$I,$AG98)="○",$E98&gt;=W$3,$E98&lt;EDATE(W$3,1)),"▼",""))</f>
        <v/>
      </c>
      <c r="X98" s="31" t="str">
        <f aca="false">IF(OR($AG98=0,X$3=""),"",IF(AND(INDEX(工程マスタ!$I:$I,$AG98)="○",$E98&gt;=X$3,$E98&lt;EDATE(X$3,1)),"▼",""))</f>
        <v/>
      </c>
      <c r="Y98" s="31" t="str">
        <f aca="false">IF(OR($AG98=0,Y$3=""),"",IF(AND(INDEX(工程マスタ!$I:$I,$AG98)="○",$E98&gt;=Y$3,$E98&lt;EDATE(Y$3,1)),"▼",""))</f>
        <v/>
      </c>
      <c r="Z98" s="31" t="str">
        <f aca="false">IF(OR($AG98=0,Z$3=""),"",IF(AND(INDEX(工程マスタ!$I:$I,$AG98)="○",$E98&gt;=Z$3,$E98&lt;EDATE(Z$3,1)),"▼",""))</f>
        <v/>
      </c>
      <c r="AA98" s="31" t="str">
        <f aca="false">IF(OR($AG98=0,AA$3=""),"",IF(AND(INDEX(工程マスタ!$I:$I,$AG98)="○",$E98&gt;=AA$3,$E98&lt;EDATE(AA$3,1)),"▼",""))</f>
        <v/>
      </c>
      <c r="AB98" s="31" t="str">
        <f aca="false">IF(OR($AG98=0,AB$3=""),"",IF(AND(INDEX(工程マスタ!$I:$I,$AG98)="○",$E98&gt;=AB$3,$E98&lt;EDATE(AB$3,1)),"▼",""))</f>
        <v/>
      </c>
      <c r="AC98" s="31" t="str">
        <f aca="false">IF(OR($AG98=0,AC$3=""),"",IF(AND(INDEX(工程マスタ!$I:$I,$AG98)="○",$E98&gt;=AC$3,$E98&lt;EDATE(AC$3,1)),"▼",""))</f>
        <v/>
      </c>
      <c r="AD98" s="31" t="str">
        <f aca="false">IF(OR($AG98=0,AD$3=""),"",IF(AND(INDEX(工程マスタ!$I:$I,$AG98)="○",$E98&gt;=AD$3,$E98&lt;EDATE(AD$3,1)),"▼",""))</f>
        <v/>
      </c>
      <c r="AE98" s="31" t="str">
        <f aca="false">IF(OR($AG98=0,AE$3=""),"",IF(AND(INDEX(工程マスタ!$I:$I,$AG98)="○",$E98&gt;=AE$3,$E98&lt;EDATE(AE$3,1)),"▼",""))</f>
        <v/>
      </c>
      <c r="AG98" s="27" t="n">
        <f aca="false" t="array" ref="AG98:AG98">IFERROR(SMALL(IF(工程マスタ!$K$5:$K$154&gt;0,ROW(工程マスタ!$C$5:$C$154)),93),0)</f>
        <v>0</v>
      </c>
      <c r="AH98" s="27" t="n">
        <f aca="false">IF($AG98=0,0,INDEX(工程マスタ!$M:$M,$AG98))</f>
        <v>0</v>
      </c>
    </row>
    <row r="99" customFormat="false" ht="15" hidden="false" customHeight="false" outlineLevel="0" collapsed="false">
      <c r="A99" s="28" t="str">
        <f aca="false">IF($AG99=0,"",IF(INDEX(工程マスタ!$A:$A,$AG99)="","",INDEX(工程マスタ!$A:$A,$AG99)))</f>
        <v/>
      </c>
      <c r="B99" s="21" t="str">
        <f aca="false">IF($AG99=0,"",IF(INDEX(工程マスタ!$B:$B,$AG99)="","",INDEX(工程マスタ!$B:$B,$AG99)))</f>
        <v/>
      </c>
      <c r="C99" s="21" t="str">
        <f aca="false">IF($AG99=0,"",IF(INDEX(工程マスタ!$C:$C,$AG99)="","",INDEX(工程マスタ!$C:$C,$AG99)))</f>
        <v/>
      </c>
      <c r="D99" s="21" t="str">
        <f aca="false">IF($AG99=0,"",IF(INDEX(工程マスタ!$D:$D,$AG99)="","",INDEX(工程マスタ!$D:$D,$AG99)))</f>
        <v/>
      </c>
      <c r="E99" s="29" t="str">
        <f aca="false">IF($AG99=0,"",IF(INDEX(工程マスタ!$E:$E,$AG99)="","",INDEX(工程マスタ!$E:$E,$AG99)))</f>
        <v/>
      </c>
      <c r="F99" s="29" t="str">
        <f aca="false">IF($AG99=0,"",IF(INDEX(工程マスタ!$F:$F,$AG99)="","",INDEX(工程マスタ!$F:$F,$AG99)))</f>
        <v/>
      </c>
      <c r="G99" s="30" t="str">
        <f aca="false">IF($AG99=0,"",IF(INDEX(工程マスタ!$H:$H,$AG99)="","",INDEX(工程マスタ!$H:$H,$AG99)))</f>
        <v/>
      </c>
      <c r="H99" s="31" t="str">
        <f aca="false">IF(OR($AG99=0,H$3=""),"",IF(AND(INDEX(工程マスタ!$I:$I,$AG99)="○",$E99&gt;=H$3,$E99&lt;EDATE(H$3,1)),"▼",""))</f>
        <v/>
      </c>
      <c r="I99" s="31" t="str">
        <f aca="false">IF(OR($AG99=0,I$3=""),"",IF(AND(INDEX(工程マスタ!$I:$I,$AG99)="○",$E99&gt;=I$3,$E99&lt;EDATE(I$3,1)),"▼",""))</f>
        <v/>
      </c>
      <c r="J99" s="31" t="str">
        <f aca="false">IF(OR($AG99=0,J$3=""),"",IF(AND(INDEX(工程マスタ!$I:$I,$AG99)="○",$E99&gt;=J$3,$E99&lt;EDATE(J$3,1)),"▼",""))</f>
        <v/>
      </c>
      <c r="K99" s="31" t="str">
        <f aca="false">IF(OR($AG99=0,K$3=""),"",IF(AND(INDEX(工程マスタ!$I:$I,$AG99)="○",$E99&gt;=K$3,$E99&lt;EDATE(K$3,1)),"▼",""))</f>
        <v/>
      </c>
      <c r="L99" s="31" t="str">
        <f aca="false">IF(OR($AG99=0,L$3=""),"",IF(AND(INDEX(工程マスタ!$I:$I,$AG99)="○",$E99&gt;=L$3,$E99&lt;EDATE(L$3,1)),"▼",""))</f>
        <v/>
      </c>
      <c r="M99" s="31" t="str">
        <f aca="false">IF(OR($AG99=0,M$3=""),"",IF(AND(INDEX(工程マスタ!$I:$I,$AG99)="○",$E99&gt;=M$3,$E99&lt;EDATE(M$3,1)),"▼",""))</f>
        <v/>
      </c>
      <c r="N99" s="31" t="str">
        <f aca="false">IF(OR($AG99=0,N$3=""),"",IF(AND(INDEX(工程マスタ!$I:$I,$AG99)="○",$E99&gt;=N$3,$E99&lt;EDATE(N$3,1)),"▼",""))</f>
        <v/>
      </c>
      <c r="O99" s="31" t="str">
        <f aca="false">IF(OR($AG99=0,O$3=""),"",IF(AND(INDEX(工程マスタ!$I:$I,$AG99)="○",$E99&gt;=O$3,$E99&lt;EDATE(O$3,1)),"▼",""))</f>
        <v/>
      </c>
      <c r="P99" s="31" t="str">
        <f aca="false">IF(OR($AG99=0,P$3=""),"",IF(AND(INDEX(工程マスタ!$I:$I,$AG99)="○",$E99&gt;=P$3,$E99&lt;EDATE(P$3,1)),"▼",""))</f>
        <v/>
      </c>
      <c r="Q99" s="31" t="str">
        <f aca="false">IF(OR($AG99=0,Q$3=""),"",IF(AND(INDEX(工程マスタ!$I:$I,$AG99)="○",$E99&gt;=Q$3,$E99&lt;EDATE(Q$3,1)),"▼",""))</f>
        <v/>
      </c>
      <c r="R99" s="31" t="str">
        <f aca="false">IF(OR($AG99=0,R$3=""),"",IF(AND(INDEX(工程マスタ!$I:$I,$AG99)="○",$E99&gt;=R$3,$E99&lt;EDATE(R$3,1)),"▼",""))</f>
        <v/>
      </c>
      <c r="S99" s="31" t="str">
        <f aca="false">IF(OR($AG99=0,S$3=""),"",IF(AND(INDEX(工程マスタ!$I:$I,$AG99)="○",$E99&gt;=S$3,$E99&lt;EDATE(S$3,1)),"▼",""))</f>
        <v/>
      </c>
      <c r="T99" s="31" t="str">
        <f aca="false">IF(OR($AG99=0,T$3=""),"",IF(AND(INDEX(工程マスタ!$I:$I,$AG99)="○",$E99&gt;=T$3,$E99&lt;EDATE(T$3,1)),"▼",""))</f>
        <v/>
      </c>
      <c r="U99" s="31" t="str">
        <f aca="false">IF(OR($AG99=0,U$3=""),"",IF(AND(INDEX(工程マスタ!$I:$I,$AG99)="○",$E99&gt;=U$3,$E99&lt;EDATE(U$3,1)),"▼",""))</f>
        <v/>
      </c>
      <c r="V99" s="31" t="str">
        <f aca="false">IF(OR($AG99=0,V$3=""),"",IF(AND(INDEX(工程マスタ!$I:$I,$AG99)="○",$E99&gt;=V$3,$E99&lt;EDATE(V$3,1)),"▼",""))</f>
        <v/>
      </c>
      <c r="W99" s="31" t="str">
        <f aca="false">IF(OR($AG99=0,W$3=""),"",IF(AND(INDEX(工程マスタ!$I:$I,$AG99)="○",$E99&gt;=W$3,$E99&lt;EDATE(W$3,1)),"▼",""))</f>
        <v/>
      </c>
      <c r="X99" s="31" t="str">
        <f aca="false">IF(OR($AG99=0,X$3=""),"",IF(AND(INDEX(工程マスタ!$I:$I,$AG99)="○",$E99&gt;=X$3,$E99&lt;EDATE(X$3,1)),"▼",""))</f>
        <v/>
      </c>
      <c r="Y99" s="31" t="str">
        <f aca="false">IF(OR($AG99=0,Y$3=""),"",IF(AND(INDEX(工程マスタ!$I:$I,$AG99)="○",$E99&gt;=Y$3,$E99&lt;EDATE(Y$3,1)),"▼",""))</f>
        <v/>
      </c>
      <c r="Z99" s="31" t="str">
        <f aca="false">IF(OR($AG99=0,Z$3=""),"",IF(AND(INDEX(工程マスタ!$I:$I,$AG99)="○",$E99&gt;=Z$3,$E99&lt;EDATE(Z$3,1)),"▼",""))</f>
        <v/>
      </c>
      <c r="AA99" s="31" t="str">
        <f aca="false">IF(OR($AG99=0,AA$3=""),"",IF(AND(INDEX(工程マスタ!$I:$I,$AG99)="○",$E99&gt;=AA$3,$E99&lt;EDATE(AA$3,1)),"▼",""))</f>
        <v/>
      </c>
      <c r="AB99" s="31" t="str">
        <f aca="false">IF(OR($AG99=0,AB$3=""),"",IF(AND(INDEX(工程マスタ!$I:$I,$AG99)="○",$E99&gt;=AB$3,$E99&lt;EDATE(AB$3,1)),"▼",""))</f>
        <v/>
      </c>
      <c r="AC99" s="31" t="str">
        <f aca="false">IF(OR($AG99=0,AC$3=""),"",IF(AND(INDEX(工程マスタ!$I:$I,$AG99)="○",$E99&gt;=AC$3,$E99&lt;EDATE(AC$3,1)),"▼",""))</f>
        <v/>
      </c>
      <c r="AD99" s="31" t="str">
        <f aca="false">IF(OR($AG99=0,AD$3=""),"",IF(AND(INDEX(工程マスタ!$I:$I,$AG99)="○",$E99&gt;=AD$3,$E99&lt;EDATE(AD$3,1)),"▼",""))</f>
        <v/>
      </c>
      <c r="AE99" s="31" t="str">
        <f aca="false">IF(OR($AG99=0,AE$3=""),"",IF(AND(INDEX(工程マスタ!$I:$I,$AG99)="○",$E99&gt;=AE$3,$E99&lt;EDATE(AE$3,1)),"▼",""))</f>
        <v/>
      </c>
      <c r="AG99" s="27" t="n">
        <f aca="false" t="array" ref="AG99:AG99">IFERROR(SMALL(IF(工程マスタ!$K$5:$K$154&gt;0,ROW(工程マスタ!$C$5:$C$154)),94),0)</f>
        <v>0</v>
      </c>
      <c r="AH99" s="27" t="n">
        <f aca="false">IF($AG99=0,0,INDEX(工程マスタ!$M:$M,$AG99))</f>
        <v>0</v>
      </c>
    </row>
    <row r="100" customFormat="false" ht="15" hidden="false" customHeight="false" outlineLevel="0" collapsed="false">
      <c r="A100" s="28" t="str">
        <f aca="false">IF($AG100=0,"",IF(INDEX(工程マスタ!$A:$A,$AG100)="","",INDEX(工程マスタ!$A:$A,$AG100)))</f>
        <v/>
      </c>
      <c r="B100" s="21" t="str">
        <f aca="false">IF($AG100=0,"",IF(INDEX(工程マスタ!$B:$B,$AG100)="","",INDEX(工程マスタ!$B:$B,$AG100)))</f>
        <v/>
      </c>
      <c r="C100" s="21" t="str">
        <f aca="false">IF($AG100=0,"",IF(INDEX(工程マスタ!$C:$C,$AG100)="","",INDEX(工程マスタ!$C:$C,$AG100)))</f>
        <v/>
      </c>
      <c r="D100" s="21" t="str">
        <f aca="false">IF($AG100=0,"",IF(INDEX(工程マスタ!$D:$D,$AG100)="","",INDEX(工程マスタ!$D:$D,$AG100)))</f>
        <v/>
      </c>
      <c r="E100" s="29" t="str">
        <f aca="false">IF($AG100=0,"",IF(INDEX(工程マスタ!$E:$E,$AG100)="","",INDEX(工程マスタ!$E:$E,$AG100)))</f>
        <v/>
      </c>
      <c r="F100" s="29" t="str">
        <f aca="false">IF($AG100=0,"",IF(INDEX(工程マスタ!$F:$F,$AG100)="","",INDEX(工程マスタ!$F:$F,$AG100)))</f>
        <v/>
      </c>
      <c r="G100" s="30" t="str">
        <f aca="false">IF($AG100=0,"",IF(INDEX(工程マスタ!$H:$H,$AG100)="","",INDEX(工程マスタ!$H:$H,$AG100)))</f>
        <v/>
      </c>
      <c r="H100" s="31" t="str">
        <f aca="false">IF(OR($AG100=0,H$3=""),"",IF(AND(INDEX(工程マスタ!$I:$I,$AG100)="○",$E100&gt;=H$3,$E100&lt;EDATE(H$3,1)),"▼",""))</f>
        <v/>
      </c>
      <c r="I100" s="31" t="str">
        <f aca="false">IF(OR($AG100=0,I$3=""),"",IF(AND(INDEX(工程マスタ!$I:$I,$AG100)="○",$E100&gt;=I$3,$E100&lt;EDATE(I$3,1)),"▼",""))</f>
        <v/>
      </c>
      <c r="J100" s="31" t="str">
        <f aca="false">IF(OR($AG100=0,J$3=""),"",IF(AND(INDEX(工程マスタ!$I:$I,$AG100)="○",$E100&gt;=J$3,$E100&lt;EDATE(J$3,1)),"▼",""))</f>
        <v/>
      </c>
      <c r="K100" s="31" t="str">
        <f aca="false">IF(OR($AG100=0,K$3=""),"",IF(AND(INDEX(工程マスタ!$I:$I,$AG100)="○",$E100&gt;=K$3,$E100&lt;EDATE(K$3,1)),"▼",""))</f>
        <v/>
      </c>
      <c r="L100" s="31" t="str">
        <f aca="false">IF(OR($AG100=0,L$3=""),"",IF(AND(INDEX(工程マスタ!$I:$I,$AG100)="○",$E100&gt;=L$3,$E100&lt;EDATE(L$3,1)),"▼",""))</f>
        <v/>
      </c>
      <c r="M100" s="31" t="str">
        <f aca="false">IF(OR($AG100=0,M$3=""),"",IF(AND(INDEX(工程マスタ!$I:$I,$AG100)="○",$E100&gt;=M$3,$E100&lt;EDATE(M$3,1)),"▼",""))</f>
        <v/>
      </c>
      <c r="N100" s="31" t="str">
        <f aca="false">IF(OR($AG100=0,N$3=""),"",IF(AND(INDEX(工程マスタ!$I:$I,$AG100)="○",$E100&gt;=N$3,$E100&lt;EDATE(N$3,1)),"▼",""))</f>
        <v/>
      </c>
      <c r="O100" s="31" t="str">
        <f aca="false">IF(OR($AG100=0,O$3=""),"",IF(AND(INDEX(工程マスタ!$I:$I,$AG100)="○",$E100&gt;=O$3,$E100&lt;EDATE(O$3,1)),"▼",""))</f>
        <v/>
      </c>
      <c r="P100" s="31" t="str">
        <f aca="false">IF(OR($AG100=0,P$3=""),"",IF(AND(INDEX(工程マスタ!$I:$I,$AG100)="○",$E100&gt;=P$3,$E100&lt;EDATE(P$3,1)),"▼",""))</f>
        <v/>
      </c>
      <c r="Q100" s="31" t="str">
        <f aca="false">IF(OR($AG100=0,Q$3=""),"",IF(AND(INDEX(工程マスタ!$I:$I,$AG100)="○",$E100&gt;=Q$3,$E100&lt;EDATE(Q$3,1)),"▼",""))</f>
        <v/>
      </c>
      <c r="R100" s="31" t="str">
        <f aca="false">IF(OR($AG100=0,R$3=""),"",IF(AND(INDEX(工程マスタ!$I:$I,$AG100)="○",$E100&gt;=R$3,$E100&lt;EDATE(R$3,1)),"▼",""))</f>
        <v/>
      </c>
      <c r="S100" s="31" t="str">
        <f aca="false">IF(OR($AG100=0,S$3=""),"",IF(AND(INDEX(工程マスタ!$I:$I,$AG100)="○",$E100&gt;=S$3,$E100&lt;EDATE(S$3,1)),"▼",""))</f>
        <v/>
      </c>
      <c r="T100" s="31" t="str">
        <f aca="false">IF(OR($AG100=0,T$3=""),"",IF(AND(INDEX(工程マスタ!$I:$I,$AG100)="○",$E100&gt;=T$3,$E100&lt;EDATE(T$3,1)),"▼",""))</f>
        <v/>
      </c>
      <c r="U100" s="31" t="str">
        <f aca="false">IF(OR($AG100=0,U$3=""),"",IF(AND(INDEX(工程マスタ!$I:$I,$AG100)="○",$E100&gt;=U$3,$E100&lt;EDATE(U$3,1)),"▼",""))</f>
        <v/>
      </c>
      <c r="V100" s="31" t="str">
        <f aca="false">IF(OR($AG100=0,V$3=""),"",IF(AND(INDEX(工程マスタ!$I:$I,$AG100)="○",$E100&gt;=V$3,$E100&lt;EDATE(V$3,1)),"▼",""))</f>
        <v/>
      </c>
      <c r="W100" s="31" t="str">
        <f aca="false">IF(OR($AG100=0,W$3=""),"",IF(AND(INDEX(工程マスタ!$I:$I,$AG100)="○",$E100&gt;=W$3,$E100&lt;EDATE(W$3,1)),"▼",""))</f>
        <v/>
      </c>
      <c r="X100" s="31" t="str">
        <f aca="false">IF(OR($AG100=0,X$3=""),"",IF(AND(INDEX(工程マスタ!$I:$I,$AG100)="○",$E100&gt;=X$3,$E100&lt;EDATE(X$3,1)),"▼",""))</f>
        <v/>
      </c>
      <c r="Y100" s="31" t="str">
        <f aca="false">IF(OR($AG100=0,Y$3=""),"",IF(AND(INDEX(工程マスタ!$I:$I,$AG100)="○",$E100&gt;=Y$3,$E100&lt;EDATE(Y$3,1)),"▼",""))</f>
        <v/>
      </c>
      <c r="Z100" s="31" t="str">
        <f aca="false">IF(OR($AG100=0,Z$3=""),"",IF(AND(INDEX(工程マスタ!$I:$I,$AG100)="○",$E100&gt;=Z$3,$E100&lt;EDATE(Z$3,1)),"▼",""))</f>
        <v/>
      </c>
      <c r="AA100" s="31" t="str">
        <f aca="false">IF(OR($AG100=0,AA$3=""),"",IF(AND(INDEX(工程マスタ!$I:$I,$AG100)="○",$E100&gt;=AA$3,$E100&lt;EDATE(AA$3,1)),"▼",""))</f>
        <v/>
      </c>
      <c r="AB100" s="31" t="str">
        <f aca="false">IF(OR($AG100=0,AB$3=""),"",IF(AND(INDEX(工程マスタ!$I:$I,$AG100)="○",$E100&gt;=AB$3,$E100&lt;EDATE(AB$3,1)),"▼",""))</f>
        <v/>
      </c>
      <c r="AC100" s="31" t="str">
        <f aca="false">IF(OR($AG100=0,AC$3=""),"",IF(AND(INDEX(工程マスタ!$I:$I,$AG100)="○",$E100&gt;=AC$3,$E100&lt;EDATE(AC$3,1)),"▼",""))</f>
        <v/>
      </c>
      <c r="AD100" s="31" t="str">
        <f aca="false">IF(OR($AG100=0,AD$3=""),"",IF(AND(INDEX(工程マスタ!$I:$I,$AG100)="○",$E100&gt;=AD$3,$E100&lt;EDATE(AD$3,1)),"▼",""))</f>
        <v/>
      </c>
      <c r="AE100" s="31" t="str">
        <f aca="false">IF(OR($AG100=0,AE$3=""),"",IF(AND(INDEX(工程マスタ!$I:$I,$AG100)="○",$E100&gt;=AE$3,$E100&lt;EDATE(AE$3,1)),"▼",""))</f>
        <v/>
      </c>
      <c r="AG100" s="27" t="n">
        <f aca="false" t="array" ref="AG100:AG100">IFERROR(SMALL(IF(工程マスタ!$K$5:$K$154&gt;0,ROW(工程マスタ!$C$5:$C$154)),95),0)</f>
        <v>0</v>
      </c>
      <c r="AH100" s="27" t="n">
        <f aca="false">IF($AG100=0,0,INDEX(工程マスタ!$M:$M,$AG100))</f>
        <v>0</v>
      </c>
    </row>
    <row r="101" customFormat="false" ht="15" hidden="false" customHeight="false" outlineLevel="0" collapsed="false">
      <c r="A101" s="28" t="str">
        <f aca="false">IF($AG101=0,"",IF(INDEX(工程マスタ!$A:$A,$AG101)="","",INDEX(工程マスタ!$A:$A,$AG101)))</f>
        <v/>
      </c>
      <c r="B101" s="21" t="str">
        <f aca="false">IF($AG101=0,"",IF(INDEX(工程マスタ!$B:$B,$AG101)="","",INDEX(工程マスタ!$B:$B,$AG101)))</f>
        <v/>
      </c>
      <c r="C101" s="21" t="str">
        <f aca="false">IF($AG101=0,"",IF(INDEX(工程マスタ!$C:$C,$AG101)="","",INDEX(工程マスタ!$C:$C,$AG101)))</f>
        <v/>
      </c>
      <c r="D101" s="21" t="str">
        <f aca="false">IF($AG101=0,"",IF(INDEX(工程マスタ!$D:$D,$AG101)="","",INDEX(工程マスタ!$D:$D,$AG101)))</f>
        <v/>
      </c>
      <c r="E101" s="29" t="str">
        <f aca="false">IF($AG101=0,"",IF(INDEX(工程マスタ!$E:$E,$AG101)="","",INDEX(工程マスタ!$E:$E,$AG101)))</f>
        <v/>
      </c>
      <c r="F101" s="29" t="str">
        <f aca="false">IF($AG101=0,"",IF(INDEX(工程マスタ!$F:$F,$AG101)="","",INDEX(工程マスタ!$F:$F,$AG101)))</f>
        <v/>
      </c>
      <c r="G101" s="30" t="str">
        <f aca="false">IF($AG101=0,"",IF(INDEX(工程マスタ!$H:$H,$AG101)="","",INDEX(工程マスタ!$H:$H,$AG101)))</f>
        <v/>
      </c>
      <c r="H101" s="31" t="str">
        <f aca="false">IF(OR($AG101=0,H$3=""),"",IF(AND(INDEX(工程マスタ!$I:$I,$AG101)="○",$E101&gt;=H$3,$E101&lt;EDATE(H$3,1)),"▼",""))</f>
        <v/>
      </c>
      <c r="I101" s="31" t="str">
        <f aca="false">IF(OR($AG101=0,I$3=""),"",IF(AND(INDEX(工程マスタ!$I:$I,$AG101)="○",$E101&gt;=I$3,$E101&lt;EDATE(I$3,1)),"▼",""))</f>
        <v/>
      </c>
      <c r="J101" s="31" t="str">
        <f aca="false">IF(OR($AG101=0,J$3=""),"",IF(AND(INDEX(工程マスタ!$I:$I,$AG101)="○",$E101&gt;=J$3,$E101&lt;EDATE(J$3,1)),"▼",""))</f>
        <v/>
      </c>
      <c r="K101" s="31" t="str">
        <f aca="false">IF(OR($AG101=0,K$3=""),"",IF(AND(INDEX(工程マスタ!$I:$I,$AG101)="○",$E101&gt;=K$3,$E101&lt;EDATE(K$3,1)),"▼",""))</f>
        <v/>
      </c>
      <c r="L101" s="31" t="str">
        <f aca="false">IF(OR($AG101=0,L$3=""),"",IF(AND(INDEX(工程マスタ!$I:$I,$AG101)="○",$E101&gt;=L$3,$E101&lt;EDATE(L$3,1)),"▼",""))</f>
        <v/>
      </c>
      <c r="M101" s="31" t="str">
        <f aca="false">IF(OR($AG101=0,M$3=""),"",IF(AND(INDEX(工程マスタ!$I:$I,$AG101)="○",$E101&gt;=M$3,$E101&lt;EDATE(M$3,1)),"▼",""))</f>
        <v/>
      </c>
      <c r="N101" s="31" t="str">
        <f aca="false">IF(OR($AG101=0,N$3=""),"",IF(AND(INDEX(工程マスタ!$I:$I,$AG101)="○",$E101&gt;=N$3,$E101&lt;EDATE(N$3,1)),"▼",""))</f>
        <v/>
      </c>
      <c r="O101" s="31" t="str">
        <f aca="false">IF(OR($AG101=0,O$3=""),"",IF(AND(INDEX(工程マスタ!$I:$I,$AG101)="○",$E101&gt;=O$3,$E101&lt;EDATE(O$3,1)),"▼",""))</f>
        <v/>
      </c>
      <c r="P101" s="31" t="str">
        <f aca="false">IF(OR($AG101=0,P$3=""),"",IF(AND(INDEX(工程マスタ!$I:$I,$AG101)="○",$E101&gt;=P$3,$E101&lt;EDATE(P$3,1)),"▼",""))</f>
        <v/>
      </c>
      <c r="Q101" s="31" t="str">
        <f aca="false">IF(OR($AG101=0,Q$3=""),"",IF(AND(INDEX(工程マスタ!$I:$I,$AG101)="○",$E101&gt;=Q$3,$E101&lt;EDATE(Q$3,1)),"▼",""))</f>
        <v/>
      </c>
      <c r="R101" s="31" t="str">
        <f aca="false">IF(OR($AG101=0,R$3=""),"",IF(AND(INDEX(工程マスタ!$I:$I,$AG101)="○",$E101&gt;=R$3,$E101&lt;EDATE(R$3,1)),"▼",""))</f>
        <v/>
      </c>
      <c r="S101" s="31" t="str">
        <f aca="false">IF(OR($AG101=0,S$3=""),"",IF(AND(INDEX(工程マスタ!$I:$I,$AG101)="○",$E101&gt;=S$3,$E101&lt;EDATE(S$3,1)),"▼",""))</f>
        <v/>
      </c>
      <c r="T101" s="31" t="str">
        <f aca="false">IF(OR($AG101=0,T$3=""),"",IF(AND(INDEX(工程マスタ!$I:$I,$AG101)="○",$E101&gt;=T$3,$E101&lt;EDATE(T$3,1)),"▼",""))</f>
        <v/>
      </c>
      <c r="U101" s="31" t="str">
        <f aca="false">IF(OR($AG101=0,U$3=""),"",IF(AND(INDEX(工程マスタ!$I:$I,$AG101)="○",$E101&gt;=U$3,$E101&lt;EDATE(U$3,1)),"▼",""))</f>
        <v/>
      </c>
      <c r="V101" s="31" t="str">
        <f aca="false">IF(OR($AG101=0,V$3=""),"",IF(AND(INDEX(工程マスタ!$I:$I,$AG101)="○",$E101&gt;=V$3,$E101&lt;EDATE(V$3,1)),"▼",""))</f>
        <v/>
      </c>
      <c r="W101" s="31" t="str">
        <f aca="false">IF(OR($AG101=0,W$3=""),"",IF(AND(INDEX(工程マスタ!$I:$I,$AG101)="○",$E101&gt;=W$3,$E101&lt;EDATE(W$3,1)),"▼",""))</f>
        <v/>
      </c>
      <c r="X101" s="31" t="str">
        <f aca="false">IF(OR($AG101=0,X$3=""),"",IF(AND(INDEX(工程マスタ!$I:$I,$AG101)="○",$E101&gt;=X$3,$E101&lt;EDATE(X$3,1)),"▼",""))</f>
        <v/>
      </c>
      <c r="Y101" s="31" t="str">
        <f aca="false">IF(OR($AG101=0,Y$3=""),"",IF(AND(INDEX(工程マスタ!$I:$I,$AG101)="○",$E101&gt;=Y$3,$E101&lt;EDATE(Y$3,1)),"▼",""))</f>
        <v/>
      </c>
      <c r="Z101" s="31" t="str">
        <f aca="false">IF(OR($AG101=0,Z$3=""),"",IF(AND(INDEX(工程マスタ!$I:$I,$AG101)="○",$E101&gt;=Z$3,$E101&lt;EDATE(Z$3,1)),"▼",""))</f>
        <v/>
      </c>
      <c r="AA101" s="31" t="str">
        <f aca="false">IF(OR($AG101=0,AA$3=""),"",IF(AND(INDEX(工程マスタ!$I:$I,$AG101)="○",$E101&gt;=AA$3,$E101&lt;EDATE(AA$3,1)),"▼",""))</f>
        <v/>
      </c>
      <c r="AB101" s="31" t="str">
        <f aca="false">IF(OR($AG101=0,AB$3=""),"",IF(AND(INDEX(工程マスタ!$I:$I,$AG101)="○",$E101&gt;=AB$3,$E101&lt;EDATE(AB$3,1)),"▼",""))</f>
        <v/>
      </c>
      <c r="AC101" s="31" t="str">
        <f aca="false">IF(OR($AG101=0,AC$3=""),"",IF(AND(INDEX(工程マスタ!$I:$I,$AG101)="○",$E101&gt;=AC$3,$E101&lt;EDATE(AC$3,1)),"▼",""))</f>
        <v/>
      </c>
      <c r="AD101" s="31" t="str">
        <f aca="false">IF(OR($AG101=0,AD$3=""),"",IF(AND(INDEX(工程マスタ!$I:$I,$AG101)="○",$E101&gt;=AD$3,$E101&lt;EDATE(AD$3,1)),"▼",""))</f>
        <v/>
      </c>
      <c r="AE101" s="31" t="str">
        <f aca="false">IF(OR($AG101=0,AE$3=""),"",IF(AND(INDEX(工程マスタ!$I:$I,$AG101)="○",$E101&gt;=AE$3,$E101&lt;EDATE(AE$3,1)),"▼",""))</f>
        <v/>
      </c>
      <c r="AG101" s="27" t="n">
        <f aca="false" t="array" ref="AG101:AG101">IFERROR(SMALL(IF(工程マスタ!$K$5:$K$154&gt;0,ROW(工程マスタ!$C$5:$C$154)),96),0)</f>
        <v>0</v>
      </c>
      <c r="AH101" s="27" t="n">
        <f aca="false">IF($AG101=0,0,INDEX(工程マスタ!$M:$M,$AG101))</f>
        <v>0</v>
      </c>
    </row>
    <row r="102" customFormat="false" ht="15" hidden="false" customHeight="false" outlineLevel="0" collapsed="false">
      <c r="A102" s="28" t="str">
        <f aca="false">IF($AG102=0,"",IF(INDEX(工程マスタ!$A:$A,$AG102)="","",INDEX(工程マスタ!$A:$A,$AG102)))</f>
        <v/>
      </c>
      <c r="B102" s="21" t="str">
        <f aca="false">IF($AG102=0,"",IF(INDEX(工程マスタ!$B:$B,$AG102)="","",INDEX(工程マスタ!$B:$B,$AG102)))</f>
        <v/>
      </c>
      <c r="C102" s="21" t="str">
        <f aca="false">IF($AG102=0,"",IF(INDEX(工程マスタ!$C:$C,$AG102)="","",INDEX(工程マスタ!$C:$C,$AG102)))</f>
        <v/>
      </c>
      <c r="D102" s="21" t="str">
        <f aca="false">IF($AG102=0,"",IF(INDEX(工程マスタ!$D:$D,$AG102)="","",INDEX(工程マスタ!$D:$D,$AG102)))</f>
        <v/>
      </c>
      <c r="E102" s="29" t="str">
        <f aca="false">IF($AG102=0,"",IF(INDEX(工程マスタ!$E:$E,$AG102)="","",INDEX(工程マスタ!$E:$E,$AG102)))</f>
        <v/>
      </c>
      <c r="F102" s="29" t="str">
        <f aca="false">IF($AG102=0,"",IF(INDEX(工程マスタ!$F:$F,$AG102)="","",INDEX(工程マスタ!$F:$F,$AG102)))</f>
        <v/>
      </c>
      <c r="G102" s="30" t="str">
        <f aca="false">IF($AG102=0,"",IF(INDEX(工程マスタ!$H:$H,$AG102)="","",INDEX(工程マスタ!$H:$H,$AG102)))</f>
        <v/>
      </c>
      <c r="H102" s="31" t="str">
        <f aca="false">IF(OR($AG102=0,H$3=""),"",IF(AND(INDEX(工程マスタ!$I:$I,$AG102)="○",$E102&gt;=H$3,$E102&lt;EDATE(H$3,1)),"▼",""))</f>
        <v/>
      </c>
      <c r="I102" s="31" t="str">
        <f aca="false">IF(OR($AG102=0,I$3=""),"",IF(AND(INDEX(工程マスタ!$I:$I,$AG102)="○",$E102&gt;=I$3,$E102&lt;EDATE(I$3,1)),"▼",""))</f>
        <v/>
      </c>
      <c r="J102" s="31" t="str">
        <f aca="false">IF(OR($AG102=0,J$3=""),"",IF(AND(INDEX(工程マスタ!$I:$I,$AG102)="○",$E102&gt;=J$3,$E102&lt;EDATE(J$3,1)),"▼",""))</f>
        <v/>
      </c>
      <c r="K102" s="31" t="str">
        <f aca="false">IF(OR($AG102=0,K$3=""),"",IF(AND(INDEX(工程マスタ!$I:$I,$AG102)="○",$E102&gt;=K$3,$E102&lt;EDATE(K$3,1)),"▼",""))</f>
        <v/>
      </c>
      <c r="L102" s="31" t="str">
        <f aca="false">IF(OR($AG102=0,L$3=""),"",IF(AND(INDEX(工程マスタ!$I:$I,$AG102)="○",$E102&gt;=L$3,$E102&lt;EDATE(L$3,1)),"▼",""))</f>
        <v/>
      </c>
      <c r="M102" s="31" t="str">
        <f aca="false">IF(OR($AG102=0,M$3=""),"",IF(AND(INDEX(工程マスタ!$I:$I,$AG102)="○",$E102&gt;=M$3,$E102&lt;EDATE(M$3,1)),"▼",""))</f>
        <v/>
      </c>
      <c r="N102" s="31" t="str">
        <f aca="false">IF(OR($AG102=0,N$3=""),"",IF(AND(INDEX(工程マスタ!$I:$I,$AG102)="○",$E102&gt;=N$3,$E102&lt;EDATE(N$3,1)),"▼",""))</f>
        <v/>
      </c>
      <c r="O102" s="31" t="str">
        <f aca="false">IF(OR($AG102=0,O$3=""),"",IF(AND(INDEX(工程マスタ!$I:$I,$AG102)="○",$E102&gt;=O$3,$E102&lt;EDATE(O$3,1)),"▼",""))</f>
        <v/>
      </c>
      <c r="P102" s="31" t="str">
        <f aca="false">IF(OR($AG102=0,P$3=""),"",IF(AND(INDEX(工程マスタ!$I:$I,$AG102)="○",$E102&gt;=P$3,$E102&lt;EDATE(P$3,1)),"▼",""))</f>
        <v/>
      </c>
      <c r="Q102" s="31" t="str">
        <f aca="false">IF(OR($AG102=0,Q$3=""),"",IF(AND(INDEX(工程マスタ!$I:$I,$AG102)="○",$E102&gt;=Q$3,$E102&lt;EDATE(Q$3,1)),"▼",""))</f>
        <v/>
      </c>
      <c r="R102" s="31" t="str">
        <f aca="false">IF(OR($AG102=0,R$3=""),"",IF(AND(INDEX(工程マスタ!$I:$I,$AG102)="○",$E102&gt;=R$3,$E102&lt;EDATE(R$3,1)),"▼",""))</f>
        <v/>
      </c>
      <c r="S102" s="31" t="str">
        <f aca="false">IF(OR($AG102=0,S$3=""),"",IF(AND(INDEX(工程マスタ!$I:$I,$AG102)="○",$E102&gt;=S$3,$E102&lt;EDATE(S$3,1)),"▼",""))</f>
        <v/>
      </c>
      <c r="T102" s="31" t="str">
        <f aca="false">IF(OR($AG102=0,T$3=""),"",IF(AND(INDEX(工程マスタ!$I:$I,$AG102)="○",$E102&gt;=T$3,$E102&lt;EDATE(T$3,1)),"▼",""))</f>
        <v/>
      </c>
      <c r="U102" s="31" t="str">
        <f aca="false">IF(OR($AG102=0,U$3=""),"",IF(AND(INDEX(工程マスタ!$I:$I,$AG102)="○",$E102&gt;=U$3,$E102&lt;EDATE(U$3,1)),"▼",""))</f>
        <v/>
      </c>
      <c r="V102" s="31" t="str">
        <f aca="false">IF(OR($AG102=0,V$3=""),"",IF(AND(INDEX(工程マスタ!$I:$I,$AG102)="○",$E102&gt;=V$3,$E102&lt;EDATE(V$3,1)),"▼",""))</f>
        <v/>
      </c>
      <c r="W102" s="31" t="str">
        <f aca="false">IF(OR($AG102=0,W$3=""),"",IF(AND(INDEX(工程マスタ!$I:$I,$AG102)="○",$E102&gt;=W$3,$E102&lt;EDATE(W$3,1)),"▼",""))</f>
        <v/>
      </c>
      <c r="X102" s="31" t="str">
        <f aca="false">IF(OR($AG102=0,X$3=""),"",IF(AND(INDEX(工程マスタ!$I:$I,$AG102)="○",$E102&gt;=X$3,$E102&lt;EDATE(X$3,1)),"▼",""))</f>
        <v/>
      </c>
      <c r="Y102" s="31" t="str">
        <f aca="false">IF(OR($AG102=0,Y$3=""),"",IF(AND(INDEX(工程マスタ!$I:$I,$AG102)="○",$E102&gt;=Y$3,$E102&lt;EDATE(Y$3,1)),"▼",""))</f>
        <v/>
      </c>
      <c r="Z102" s="31" t="str">
        <f aca="false">IF(OR($AG102=0,Z$3=""),"",IF(AND(INDEX(工程マスタ!$I:$I,$AG102)="○",$E102&gt;=Z$3,$E102&lt;EDATE(Z$3,1)),"▼",""))</f>
        <v/>
      </c>
      <c r="AA102" s="31" t="str">
        <f aca="false">IF(OR($AG102=0,AA$3=""),"",IF(AND(INDEX(工程マスタ!$I:$I,$AG102)="○",$E102&gt;=AA$3,$E102&lt;EDATE(AA$3,1)),"▼",""))</f>
        <v/>
      </c>
      <c r="AB102" s="31" t="str">
        <f aca="false">IF(OR($AG102=0,AB$3=""),"",IF(AND(INDEX(工程マスタ!$I:$I,$AG102)="○",$E102&gt;=AB$3,$E102&lt;EDATE(AB$3,1)),"▼",""))</f>
        <v/>
      </c>
      <c r="AC102" s="31" t="str">
        <f aca="false">IF(OR($AG102=0,AC$3=""),"",IF(AND(INDEX(工程マスタ!$I:$I,$AG102)="○",$E102&gt;=AC$3,$E102&lt;EDATE(AC$3,1)),"▼",""))</f>
        <v/>
      </c>
      <c r="AD102" s="31" t="str">
        <f aca="false">IF(OR($AG102=0,AD$3=""),"",IF(AND(INDEX(工程マスタ!$I:$I,$AG102)="○",$E102&gt;=AD$3,$E102&lt;EDATE(AD$3,1)),"▼",""))</f>
        <v/>
      </c>
      <c r="AE102" s="31" t="str">
        <f aca="false">IF(OR($AG102=0,AE$3=""),"",IF(AND(INDEX(工程マスタ!$I:$I,$AG102)="○",$E102&gt;=AE$3,$E102&lt;EDATE(AE$3,1)),"▼",""))</f>
        <v/>
      </c>
      <c r="AG102" s="27" t="n">
        <f aca="false" t="array" ref="AG102:AG102">IFERROR(SMALL(IF(工程マスタ!$K$5:$K$154&gt;0,ROW(工程マスタ!$C$5:$C$154)),97),0)</f>
        <v>0</v>
      </c>
      <c r="AH102" s="27" t="n">
        <f aca="false">IF($AG102=0,0,INDEX(工程マスタ!$M:$M,$AG102))</f>
        <v>0</v>
      </c>
    </row>
    <row r="103" customFormat="false" ht="15" hidden="false" customHeight="false" outlineLevel="0" collapsed="false">
      <c r="A103" s="28" t="str">
        <f aca="false">IF($AG103=0,"",IF(INDEX(工程マスタ!$A:$A,$AG103)="","",INDEX(工程マスタ!$A:$A,$AG103)))</f>
        <v/>
      </c>
      <c r="B103" s="21" t="str">
        <f aca="false">IF($AG103=0,"",IF(INDEX(工程マスタ!$B:$B,$AG103)="","",INDEX(工程マスタ!$B:$B,$AG103)))</f>
        <v/>
      </c>
      <c r="C103" s="21" t="str">
        <f aca="false">IF($AG103=0,"",IF(INDEX(工程マスタ!$C:$C,$AG103)="","",INDEX(工程マスタ!$C:$C,$AG103)))</f>
        <v/>
      </c>
      <c r="D103" s="21" t="str">
        <f aca="false">IF($AG103=0,"",IF(INDEX(工程マスタ!$D:$D,$AG103)="","",INDEX(工程マスタ!$D:$D,$AG103)))</f>
        <v/>
      </c>
      <c r="E103" s="29" t="str">
        <f aca="false">IF($AG103=0,"",IF(INDEX(工程マスタ!$E:$E,$AG103)="","",INDEX(工程マスタ!$E:$E,$AG103)))</f>
        <v/>
      </c>
      <c r="F103" s="29" t="str">
        <f aca="false">IF($AG103=0,"",IF(INDEX(工程マスタ!$F:$F,$AG103)="","",INDEX(工程マスタ!$F:$F,$AG103)))</f>
        <v/>
      </c>
      <c r="G103" s="30" t="str">
        <f aca="false">IF($AG103=0,"",IF(INDEX(工程マスタ!$H:$H,$AG103)="","",INDEX(工程マスタ!$H:$H,$AG103)))</f>
        <v/>
      </c>
      <c r="H103" s="31" t="str">
        <f aca="false">IF(OR($AG103=0,H$3=""),"",IF(AND(INDEX(工程マスタ!$I:$I,$AG103)="○",$E103&gt;=H$3,$E103&lt;EDATE(H$3,1)),"▼",""))</f>
        <v/>
      </c>
      <c r="I103" s="31" t="str">
        <f aca="false">IF(OR($AG103=0,I$3=""),"",IF(AND(INDEX(工程マスタ!$I:$I,$AG103)="○",$E103&gt;=I$3,$E103&lt;EDATE(I$3,1)),"▼",""))</f>
        <v/>
      </c>
      <c r="J103" s="31" t="str">
        <f aca="false">IF(OR($AG103=0,J$3=""),"",IF(AND(INDEX(工程マスタ!$I:$I,$AG103)="○",$E103&gt;=J$3,$E103&lt;EDATE(J$3,1)),"▼",""))</f>
        <v/>
      </c>
      <c r="K103" s="31" t="str">
        <f aca="false">IF(OR($AG103=0,K$3=""),"",IF(AND(INDEX(工程マスタ!$I:$I,$AG103)="○",$E103&gt;=K$3,$E103&lt;EDATE(K$3,1)),"▼",""))</f>
        <v/>
      </c>
      <c r="L103" s="31" t="str">
        <f aca="false">IF(OR($AG103=0,L$3=""),"",IF(AND(INDEX(工程マスタ!$I:$I,$AG103)="○",$E103&gt;=L$3,$E103&lt;EDATE(L$3,1)),"▼",""))</f>
        <v/>
      </c>
      <c r="M103" s="31" t="str">
        <f aca="false">IF(OR($AG103=0,M$3=""),"",IF(AND(INDEX(工程マスタ!$I:$I,$AG103)="○",$E103&gt;=M$3,$E103&lt;EDATE(M$3,1)),"▼",""))</f>
        <v/>
      </c>
      <c r="N103" s="31" t="str">
        <f aca="false">IF(OR($AG103=0,N$3=""),"",IF(AND(INDEX(工程マスタ!$I:$I,$AG103)="○",$E103&gt;=N$3,$E103&lt;EDATE(N$3,1)),"▼",""))</f>
        <v/>
      </c>
      <c r="O103" s="31" t="str">
        <f aca="false">IF(OR($AG103=0,O$3=""),"",IF(AND(INDEX(工程マスタ!$I:$I,$AG103)="○",$E103&gt;=O$3,$E103&lt;EDATE(O$3,1)),"▼",""))</f>
        <v/>
      </c>
      <c r="P103" s="31" t="str">
        <f aca="false">IF(OR($AG103=0,P$3=""),"",IF(AND(INDEX(工程マスタ!$I:$I,$AG103)="○",$E103&gt;=P$3,$E103&lt;EDATE(P$3,1)),"▼",""))</f>
        <v/>
      </c>
      <c r="Q103" s="31" t="str">
        <f aca="false">IF(OR($AG103=0,Q$3=""),"",IF(AND(INDEX(工程マスタ!$I:$I,$AG103)="○",$E103&gt;=Q$3,$E103&lt;EDATE(Q$3,1)),"▼",""))</f>
        <v/>
      </c>
      <c r="R103" s="31" t="str">
        <f aca="false">IF(OR($AG103=0,R$3=""),"",IF(AND(INDEX(工程マスタ!$I:$I,$AG103)="○",$E103&gt;=R$3,$E103&lt;EDATE(R$3,1)),"▼",""))</f>
        <v/>
      </c>
      <c r="S103" s="31" t="str">
        <f aca="false">IF(OR($AG103=0,S$3=""),"",IF(AND(INDEX(工程マスタ!$I:$I,$AG103)="○",$E103&gt;=S$3,$E103&lt;EDATE(S$3,1)),"▼",""))</f>
        <v/>
      </c>
      <c r="T103" s="31" t="str">
        <f aca="false">IF(OR($AG103=0,T$3=""),"",IF(AND(INDEX(工程マスタ!$I:$I,$AG103)="○",$E103&gt;=T$3,$E103&lt;EDATE(T$3,1)),"▼",""))</f>
        <v/>
      </c>
      <c r="U103" s="31" t="str">
        <f aca="false">IF(OR($AG103=0,U$3=""),"",IF(AND(INDEX(工程マスタ!$I:$I,$AG103)="○",$E103&gt;=U$3,$E103&lt;EDATE(U$3,1)),"▼",""))</f>
        <v/>
      </c>
      <c r="V103" s="31" t="str">
        <f aca="false">IF(OR($AG103=0,V$3=""),"",IF(AND(INDEX(工程マスタ!$I:$I,$AG103)="○",$E103&gt;=V$3,$E103&lt;EDATE(V$3,1)),"▼",""))</f>
        <v/>
      </c>
      <c r="W103" s="31" t="str">
        <f aca="false">IF(OR($AG103=0,W$3=""),"",IF(AND(INDEX(工程マスタ!$I:$I,$AG103)="○",$E103&gt;=W$3,$E103&lt;EDATE(W$3,1)),"▼",""))</f>
        <v/>
      </c>
      <c r="X103" s="31" t="str">
        <f aca="false">IF(OR($AG103=0,X$3=""),"",IF(AND(INDEX(工程マスタ!$I:$I,$AG103)="○",$E103&gt;=X$3,$E103&lt;EDATE(X$3,1)),"▼",""))</f>
        <v/>
      </c>
      <c r="Y103" s="31" t="str">
        <f aca="false">IF(OR($AG103=0,Y$3=""),"",IF(AND(INDEX(工程マスタ!$I:$I,$AG103)="○",$E103&gt;=Y$3,$E103&lt;EDATE(Y$3,1)),"▼",""))</f>
        <v/>
      </c>
      <c r="Z103" s="31" t="str">
        <f aca="false">IF(OR($AG103=0,Z$3=""),"",IF(AND(INDEX(工程マスタ!$I:$I,$AG103)="○",$E103&gt;=Z$3,$E103&lt;EDATE(Z$3,1)),"▼",""))</f>
        <v/>
      </c>
      <c r="AA103" s="31" t="str">
        <f aca="false">IF(OR($AG103=0,AA$3=""),"",IF(AND(INDEX(工程マスタ!$I:$I,$AG103)="○",$E103&gt;=AA$3,$E103&lt;EDATE(AA$3,1)),"▼",""))</f>
        <v/>
      </c>
      <c r="AB103" s="31" t="str">
        <f aca="false">IF(OR($AG103=0,AB$3=""),"",IF(AND(INDEX(工程マスタ!$I:$I,$AG103)="○",$E103&gt;=AB$3,$E103&lt;EDATE(AB$3,1)),"▼",""))</f>
        <v/>
      </c>
      <c r="AC103" s="31" t="str">
        <f aca="false">IF(OR($AG103=0,AC$3=""),"",IF(AND(INDEX(工程マスタ!$I:$I,$AG103)="○",$E103&gt;=AC$3,$E103&lt;EDATE(AC$3,1)),"▼",""))</f>
        <v/>
      </c>
      <c r="AD103" s="31" t="str">
        <f aca="false">IF(OR($AG103=0,AD$3=""),"",IF(AND(INDEX(工程マスタ!$I:$I,$AG103)="○",$E103&gt;=AD$3,$E103&lt;EDATE(AD$3,1)),"▼",""))</f>
        <v/>
      </c>
      <c r="AE103" s="31" t="str">
        <f aca="false">IF(OR($AG103=0,AE$3=""),"",IF(AND(INDEX(工程マスタ!$I:$I,$AG103)="○",$E103&gt;=AE$3,$E103&lt;EDATE(AE$3,1)),"▼",""))</f>
        <v/>
      </c>
      <c r="AG103" s="27" t="n">
        <f aca="false" t="array" ref="AG103:AG103">IFERROR(SMALL(IF(工程マスタ!$K$5:$K$154&gt;0,ROW(工程マスタ!$C$5:$C$154)),98),0)</f>
        <v>0</v>
      </c>
      <c r="AH103" s="27" t="n">
        <f aca="false">IF($AG103=0,0,INDEX(工程マスタ!$M:$M,$AG103))</f>
        <v>0</v>
      </c>
    </row>
    <row r="104" customFormat="false" ht="15" hidden="false" customHeight="false" outlineLevel="0" collapsed="false">
      <c r="A104" s="28" t="str">
        <f aca="false">IF($AG104=0,"",IF(INDEX(工程マスタ!$A:$A,$AG104)="","",INDEX(工程マスタ!$A:$A,$AG104)))</f>
        <v/>
      </c>
      <c r="B104" s="21" t="str">
        <f aca="false">IF($AG104=0,"",IF(INDEX(工程マスタ!$B:$B,$AG104)="","",INDEX(工程マスタ!$B:$B,$AG104)))</f>
        <v/>
      </c>
      <c r="C104" s="21" t="str">
        <f aca="false">IF($AG104=0,"",IF(INDEX(工程マスタ!$C:$C,$AG104)="","",INDEX(工程マスタ!$C:$C,$AG104)))</f>
        <v/>
      </c>
      <c r="D104" s="21" t="str">
        <f aca="false">IF($AG104=0,"",IF(INDEX(工程マスタ!$D:$D,$AG104)="","",INDEX(工程マスタ!$D:$D,$AG104)))</f>
        <v/>
      </c>
      <c r="E104" s="29" t="str">
        <f aca="false">IF($AG104=0,"",IF(INDEX(工程マスタ!$E:$E,$AG104)="","",INDEX(工程マスタ!$E:$E,$AG104)))</f>
        <v/>
      </c>
      <c r="F104" s="29" t="str">
        <f aca="false">IF($AG104=0,"",IF(INDEX(工程マスタ!$F:$F,$AG104)="","",INDEX(工程マスタ!$F:$F,$AG104)))</f>
        <v/>
      </c>
      <c r="G104" s="30" t="str">
        <f aca="false">IF($AG104=0,"",IF(INDEX(工程マスタ!$H:$H,$AG104)="","",INDEX(工程マスタ!$H:$H,$AG104)))</f>
        <v/>
      </c>
      <c r="H104" s="31" t="str">
        <f aca="false">IF(OR($AG104=0,H$3=""),"",IF(AND(INDEX(工程マスタ!$I:$I,$AG104)="○",$E104&gt;=H$3,$E104&lt;EDATE(H$3,1)),"▼",""))</f>
        <v/>
      </c>
      <c r="I104" s="31" t="str">
        <f aca="false">IF(OR($AG104=0,I$3=""),"",IF(AND(INDEX(工程マスタ!$I:$I,$AG104)="○",$E104&gt;=I$3,$E104&lt;EDATE(I$3,1)),"▼",""))</f>
        <v/>
      </c>
      <c r="J104" s="31" t="str">
        <f aca="false">IF(OR($AG104=0,J$3=""),"",IF(AND(INDEX(工程マスタ!$I:$I,$AG104)="○",$E104&gt;=J$3,$E104&lt;EDATE(J$3,1)),"▼",""))</f>
        <v/>
      </c>
      <c r="K104" s="31" t="str">
        <f aca="false">IF(OR($AG104=0,K$3=""),"",IF(AND(INDEX(工程マスタ!$I:$I,$AG104)="○",$E104&gt;=K$3,$E104&lt;EDATE(K$3,1)),"▼",""))</f>
        <v/>
      </c>
      <c r="L104" s="31" t="str">
        <f aca="false">IF(OR($AG104=0,L$3=""),"",IF(AND(INDEX(工程マスタ!$I:$I,$AG104)="○",$E104&gt;=L$3,$E104&lt;EDATE(L$3,1)),"▼",""))</f>
        <v/>
      </c>
      <c r="M104" s="31" t="str">
        <f aca="false">IF(OR($AG104=0,M$3=""),"",IF(AND(INDEX(工程マスタ!$I:$I,$AG104)="○",$E104&gt;=M$3,$E104&lt;EDATE(M$3,1)),"▼",""))</f>
        <v/>
      </c>
      <c r="N104" s="31" t="str">
        <f aca="false">IF(OR($AG104=0,N$3=""),"",IF(AND(INDEX(工程マスタ!$I:$I,$AG104)="○",$E104&gt;=N$3,$E104&lt;EDATE(N$3,1)),"▼",""))</f>
        <v/>
      </c>
      <c r="O104" s="31" t="str">
        <f aca="false">IF(OR($AG104=0,O$3=""),"",IF(AND(INDEX(工程マスタ!$I:$I,$AG104)="○",$E104&gt;=O$3,$E104&lt;EDATE(O$3,1)),"▼",""))</f>
        <v/>
      </c>
      <c r="P104" s="31" t="str">
        <f aca="false">IF(OR($AG104=0,P$3=""),"",IF(AND(INDEX(工程マスタ!$I:$I,$AG104)="○",$E104&gt;=P$3,$E104&lt;EDATE(P$3,1)),"▼",""))</f>
        <v/>
      </c>
      <c r="Q104" s="31" t="str">
        <f aca="false">IF(OR($AG104=0,Q$3=""),"",IF(AND(INDEX(工程マスタ!$I:$I,$AG104)="○",$E104&gt;=Q$3,$E104&lt;EDATE(Q$3,1)),"▼",""))</f>
        <v/>
      </c>
      <c r="R104" s="31" t="str">
        <f aca="false">IF(OR($AG104=0,R$3=""),"",IF(AND(INDEX(工程マスタ!$I:$I,$AG104)="○",$E104&gt;=R$3,$E104&lt;EDATE(R$3,1)),"▼",""))</f>
        <v/>
      </c>
      <c r="S104" s="31" t="str">
        <f aca="false">IF(OR($AG104=0,S$3=""),"",IF(AND(INDEX(工程マスタ!$I:$I,$AG104)="○",$E104&gt;=S$3,$E104&lt;EDATE(S$3,1)),"▼",""))</f>
        <v/>
      </c>
      <c r="T104" s="31" t="str">
        <f aca="false">IF(OR($AG104=0,T$3=""),"",IF(AND(INDEX(工程マスタ!$I:$I,$AG104)="○",$E104&gt;=T$3,$E104&lt;EDATE(T$3,1)),"▼",""))</f>
        <v/>
      </c>
      <c r="U104" s="31" t="str">
        <f aca="false">IF(OR($AG104=0,U$3=""),"",IF(AND(INDEX(工程マスタ!$I:$I,$AG104)="○",$E104&gt;=U$3,$E104&lt;EDATE(U$3,1)),"▼",""))</f>
        <v/>
      </c>
      <c r="V104" s="31" t="str">
        <f aca="false">IF(OR($AG104=0,V$3=""),"",IF(AND(INDEX(工程マスタ!$I:$I,$AG104)="○",$E104&gt;=V$3,$E104&lt;EDATE(V$3,1)),"▼",""))</f>
        <v/>
      </c>
      <c r="W104" s="31" t="str">
        <f aca="false">IF(OR($AG104=0,W$3=""),"",IF(AND(INDEX(工程マスタ!$I:$I,$AG104)="○",$E104&gt;=W$3,$E104&lt;EDATE(W$3,1)),"▼",""))</f>
        <v/>
      </c>
      <c r="X104" s="31" t="str">
        <f aca="false">IF(OR($AG104=0,X$3=""),"",IF(AND(INDEX(工程マスタ!$I:$I,$AG104)="○",$E104&gt;=X$3,$E104&lt;EDATE(X$3,1)),"▼",""))</f>
        <v/>
      </c>
      <c r="Y104" s="31" t="str">
        <f aca="false">IF(OR($AG104=0,Y$3=""),"",IF(AND(INDEX(工程マスタ!$I:$I,$AG104)="○",$E104&gt;=Y$3,$E104&lt;EDATE(Y$3,1)),"▼",""))</f>
        <v/>
      </c>
      <c r="Z104" s="31" t="str">
        <f aca="false">IF(OR($AG104=0,Z$3=""),"",IF(AND(INDEX(工程マスタ!$I:$I,$AG104)="○",$E104&gt;=Z$3,$E104&lt;EDATE(Z$3,1)),"▼",""))</f>
        <v/>
      </c>
      <c r="AA104" s="31" t="str">
        <f aca="false">IF(OR($AG104=0,AA$3=""),"",IF(AND(INDEX(工程マスタ!$I:$I,$AG104)="○",$E104&gt;=AA$3,$E104&lt;EDATE(AA$3,1)),"▼",""))</f>
        <v/>
      </c>
      <c r="AB104" s="31" t="str">
        <f aca="false">IF(OR($AG104=0,AB$3=""),"",IF(AND(INDEX(工程マスタ!$I:$I,$AG104)="○",$E104&gt;=AB$3,$E104&lt;EDATE(AB$3,1)),"▼",""))</f>
        <v/>
      </c>
      <c r="AC104" s="31" t="str">
        <f aca="false">IF(OR($AG104=0,AC$3=""),"",IF(AND(INDEX(工程マスタ!$I:$I,$AG104)="○",$E104&gt;=AC$3,$E104&lt;EDATE(AC$3,1)),"▼",""))</f>
        <v/>
      </c>
      <c r="AD104" s="31" t="str">
        <f aca="false">IF(OR($AG104=0,AD$3=""),"",IF(AND(INDEX(工程マスタ!$I:$I,$AG104)="○",$E104&gt;=AD$3,$E104&lt;EDATE(AD$3,1)),"▼",""))</f>
        <v/>
      </c>
      <c r="AE104" s="31" t="str">
        <f aca="false">IF(OR($AG104=0,AE$3=""),"",IF(AND(INDEX(工程マスタ!$I:$I,$AG104)="○",$E104&gt;=AE$3,$E104&lt;EDATE(AE$3,1)),"▼",""))</f>
        <v/>
      </c>
      <c r="AG104" s="27" t="n">
        <f aca="false" t="array" ref="AG104:AG104">IFERROR(SMALL(IF(工程マスタ!$K$5:$K$154&gt;0,ROW(工程マスタ!$C$5:$C$154)),99),0)</f>
        <v>0</v>
      </c>
      <c r="AH104" s="27" t="n">
        <f aca="false">IF($AG104=0,0,INDEX(工程マスタ!$M:$M,$AG104))</f>
        <v>0</v>
      </c>
    </row>
    <row r="105" customFormat="false" ht="15" hidden="false" customHeight="false" outlineLevel="0" collapsed="false">
      <c r="A105" s="28" t="str">
        <f aca="false">IF($AG105=0,"",IF(INDEX(工程マスタ!$A:$A,$AG105)="","",INDEX(工程マスタ!$A:$A,$AG105)))</f>
        <v/>
      </c>
      <c r="B105" s="21" t="str">
        <f aca="false">IF($AG105=0,"",IF(INDEX(工程マスタ!$B:$B,$AG105)="","",INDEX(工程マスタ!$B:$B,$AG105)))</f>
        <v/>
      </c>
      <c r="C105" s="21" t="str">
        <f aca="false">IF($AG105=0,"",IF(INDEX(工程マスタ!$C:$C,$AG105)="","",INDEX(工程マスタ!$C:$C,$AG105)))</f>
        <v/>
      </c>
      <c r="D105" s="21" t="str">
        <f aca="false">IF($AG105=0,"",IF(INDEX(工程マスタ!$D:$D,$AG105)="","",INDEX(工程マスタ!$D:$D,$AG105)))</f>
        <v/>
      </c>
      <c r="E105" s="29" t="str">
        <f aca="false">IF($AG105=0,"",IF(INDEX(工程マスタ!$E:$E,$AG105)="","",INDEX(工程マスタ!$E:$E,$AG105)))</f>
        <v/>
      </c>
      <c r="F105" s="29" t="str">
        <f aca="false">IF($AG105=0,"",IF(INDEX(工程マスタ!$F:$F,$AG105)="","",INDEX(工程マスタ!$F:$F,$AG105)))</f>
        <v/>
      </c>
      <c r="G105" s="30" t="str">
        <f aca="false">IF($AG105=0,"",IF(INDEX(工程マスタ!$H:$H,$AG105)="","",INDEX(工程マスタ!$H:$H,$AG105)))</f>
        <v/>
      </c>
      <c r="H105" s="31" t="str">
        <f aca="false">IF(OR($AG105=0,H$3=""),"",IF(AND(INDEX(工程マスタ!$I:$I,$AG105)="○",$E105&gt;=H$3,$E105&lt;EDATE(H$3,1)),"▼",""))</f>
        <v/>
      </c>
      <c r="I105" s="31" t="str">
        <f aca="false">IF(OR($AG105=0,I$3=""),"",IF(AND(INDEX(工程マスタ!$I:$I,$AG105)="○",$E105&gt;=I$3,$E105&lt;EDATE(I$3,1)),"▼",""))</f>
        <v/>
      </c>
      <c r="J105" s="31" t="str">
        <f aca="false">IF(OR($AG105=0,J$3=""),"",IF(AND(INDEX(工程マスタ!$I:$I,$AG105)="○",$E105&gt;=J$3,$E105&lt;EDATE(J$3,1)),"▼",""))</f>
        <v/>
      </c>
      <c r="K105" s="31" t="str">
        <f aca="false">IF(OR($AG105=0,K$3=""),"",IF(AND(INDEX(工程マスタ!$I:$I,$AG105)="○",$E105&gt;=K$3,$E105&lt;EDATE(K$3,1)),"▼",""))</f>
        <v/>
      </c>
      <c r="L105" s="31" t="str">
        <f aca="false">IF(OR($AG105=0,L$3=""),"",IF(AND(INDEX(工程マスタ!$I:$I,$AG105)="○",$E105&gt;=L$3,$E105&lt;EDATE(L$3,1)),"▼",""))</f>
        <v/>
      </c>
      <c r="M105" s="31" t="str">
        <f aca="false">IF(OR($AG105=0,M$3=""),"",IF(AND(INDEX(工程マスタ!$I:$I,$AG105)="○",$E105&gt;=M$3,$E105&lt;EDATE(M$3,1)),"▼",""))</f>
        <v/>
      </c>
      <c r="N105" s="31" t="str">
        <f aca="false">IF(OR($AG105=0,N$3=""),"",IF(AND(INDEX(工程マスタ!$I:$I,$AG105)="○",$E105&gt;=N$3,$E105&lt;EDATE(N$3,1)),"▼",""))</f>
        <v/>
      </c>
      <c r="O105" s="31" t="str">
        <f aca="false">IF(OR($AG105=0,O$3=""),"",IF(AND(INDEX(工程マスタ!$I:$I,$AG105)="○",$E105&gt;=O$3,$E105&lt;EDATE(O$3,1)),"▼",""))</f>
        <v/>
      </c>
      <c r="P105" s="31" t="str">
        <f aca="false">IF(OR($AG105=0,P$3=""),"",IF(AND(INDEX(工程マスタ!$I:$I,$AG105)="○",$E105&gt;=P$3,$E105&lt;EDATE(P$3,1)),"▼",""))</f>
        <v/>
      </c>
      <c r="Q105" s="31" t="str">
        <f aca="false">IF(OR($AG105=0,Q$3=""),"",IF(AND(INDEX(工程マスタ!$I:$I,$AG105)="○",$E105&gt;=Q$3,$E105&lt;EDATE(Q$3,1)),"▼",""))</f>
        <v/>
      </c>
      <c r="R105" s="31" t="str">
        <f aca="false">IF(OR($AG105=0,R$3=""),"",IF(AND(INDEX(工程マスタ!$I:$I,$AG105)="○",$E105&gt;=R$3,$E105&lt;EDATE(R$3,1)),"▼",""))</f>
        <v/>
      </c>
      <c r="S105" s="31" t="str">
        <f aca="false">IF(OR($AG105=0,S$3=""),"",IF(AND(INDEX(工程マスタ!$I:$I,$AG105)="○",$E105&gt;=S$3,$E105&lt;EDATE(S$3,1)),"▼",""))</f>
        <v/>
      </c>
      <c r="T105" s="31" t="str">
        <f aca="false">IF(OR($AG105=0,T$3=""),"",IF(AND(INDEX(工程マスタ!$I:$I,$AG105)="○",$E105&gt;=T$3,$E105&lt;EDATE(T$3,1)),"▼",""))</f>
        <v/>
      </c>
      <c r="U105" s="31" t="str">
        <f aca="false">IF(OR($AG105=0,U$3=""),"",IF(AND(INDEX(工程マスタ!$I:$I,$AG105)="○",$E105&gt;=U$3,$E105&lt;EDATE(U$3,1)),"▼",""))</f>
        <v/>
      </c>
      <c r="V105" s="31" t="str">
        <f aca="false">IF(OR($AG105=0,V$3=""),"",IF(AND(INDEX(工程マスタ!$I:$I,$AG105)="○",$E105&gt;=V$3,$E105&lt;EDATE(V$3,1)),"▼",""))</f>
        <v/>
      </c>
      <c r="W105" s="31" t="str">
        <f aca="false">IF(OR($AG105=0,W$3=""),"",IF(AND(INDEX(工程マスタ!$I:$I,$AG105)="○",$E105&gt;=W$3,$E105&lt;EDATE(W$3,1)),"▼",""))</f>
        <v/>
      </c>
      <c r="X105" s="31" t="str">
        <f aca="false">IF(OR($AG105=0,X$3=""),"",IF(AND(INDEX(工程マスタ!$I:$I,$AG105)="○",$E105&gt;=X$3,$E105&lt;EDATE(X$3,1)),"▼",""))</f>
        <v/>
      </c>
      <c r="Y105" s="31" t="str">
        <f aca="false">IF(OR($AG105=0,Y$3=""),"",IF(AND(INDEX(工程マスタ!$I:$I,$AG105)="○",$E105&gt;=Y$3,$E105&lt;EDATE(Y$3,1)),"▼",""))</f>
        <v/>
      </c>
      <c r="Z105" s="31" t="str">
        <f aca="false">IF(OR($AG105=0,Z$3=""),"",IF(AND(INDEX(工程マスタ!$I:$I,$AG105)="○",$E105&gt;=Z$3,$E105&lt;EDATE(Z$3,1)),"▼",""))</f>
        <v/>
      </c>
      <c r="AA105" s="31" t="str">
        <f aca="false">IF(OR($AG105=0,AA$3=""),"",IF(AND(INDEX(工程マスタ!$I:$I,$AG105)="○",$E105&gt;=AA$3,$E105&lt;EDATE(AA$3,1)),"▼",""))</f>
        <v/>
      </c>
      <c r="AB105" s="31" t="str">
        <f aca="false">IF(OR($AG105=0,AB$3=""),"",IF(AND(INDEX(工程マスタ!$I:$I,$AG105)="○",$E105&gt;=AB$3,$E105&lt;EDATE(AB$3,1)),"▼",""))</f>
        <v/>
      </c>
      <c r="AC105" s="31" t="str">
        <f aca="false">IF(OR($AG105=0,AC$3=""),"",IF(AND(INDEX(工程マスタ!$I:$I,$AG105)="○",$E105&gt;=AC$3,$E105&lt;EDATE(AC$3,1)),"▼",""))</f>
        <v/>
      </c>
      <c r="AD105" s="31" t="str">
        <f aca="false">IF(OR($AG105=0,AD$3=""),"",IF(AND(INDEX(工程マスタ!$I:$I,$AG105)="○",$E105&gt;=AD$3,$E105&lt;EDATE(AD$3,1)),"▼",""))</f>
        <v/>
      </c>
      <c r="AE105" s="31" t="str">
        <f aca="false">IF(OR($AG105=0,AE$3=""),"",IF(AND(INDEX(工程マスタ!$I:$I,$AG105)="○",$E105&gt;=AE$3,$E105&lt;EDATE(AE$3,1)),"▼",""))</f>
        <v/>
      </c>
      <c r="AG105" s="27" t="n">
        <f aca="false" t="array" ref="AG105:AG105">IFERROR(SMALL(IF(工程マスタ!$K$5:$K$154&gt;0,ROW(工程マスタ!$C$5:$C$154)),100),0)</f>
        <v>0</v>
      </c>
      <c r="AH105" s="27" t="n">
        <f aca="false">IF($AG105=0,0,INDEX(工程マスタ!$M:$M,$AG105))</f>
        <v>0</v>
      </c>
    </row>
    <row r="107" customFormat="false" ht="15" hidden="false" customHeight="false" outlineLevel="0" collapsed="false">
      <c r="C107" s="2" t="s">
        <v>161</v>
      </c>
      <c r="H107" s="33" t="n">
        <f aca="false">IF(SUMPRODUCT((工程マスタ!$K$5:$K$154&gt;0)*(工程マスタ!$I$5:$I$154&lt;&gt;"○")*工程マスタ!$G$5:$G$154)=0,0,SUMPRODUCT((工程マスタ!$K$5:$K$154&gt;0)*(工程マスタ!$I$5:$I$154&lt;&gt;"○")*(工程マスタ!$K$5:$K$154&lt;=(EDATE(H$3,1)-1))*((工程マスタ!$L$5:$L$154&lt;=(EDATE(H$3,1)-1))*工程マスタ!$G$5:$G$154+(工程マスタ!$L$5:$L$154&gt;(EDATE(H$3,1)-1))*((EDATE(H$3,1)-1)-工程マスタ!$K$5:$K$154+1)))/SUMPRODUCT((工程マスタ!$K$5:$K$154&gt;0)*(工程マスタ!$I$5:$I$154&lt;&gt;"○")*工程マスタ!$G$5:$G$154))</f>
        <v>0.0741758241758242</v>
      </c>
      <c r="I107" s="33" t="n">
        <f aca="false">IF(SUMPRODUCT((工程マスタ!$K$5:$K$154&gt;0)*(工程マスタ!$I$5:$I$154&lt;&gt;"○")*工程マスタ!$G$5:$G$154)=0,0,SUMPRODUCT((工程マスタ!$K$5:$K$154&gt;0)*(工程マスタ!$I$5:$I$154&lt;&gt;"○")*(工程マスタ!$K$5:$K$154&lt;=(EDATE(I$3,1)-1))*((工程マスタ!$L$5:$L$154&lt;=(EDATE(I$3,1)-1))*工程マスタ!$G$5:$G$154+(工程マスタ!$L$5:$L$154&gt;(EDATE(I$3,1)-1))*((EDATE(I$3,1)-1)-工程マスタ!$K$5:$K$154+1)))/SUMPRODUCT((工程マスタ!$K$5:$K$154&gt;0)*(工程マスタ!$I$5:$I$154&lt;&gt;"○")*工程マスタ!$G$5:$G$154))</f>
        <v>0.166208791208791</v>
      </c>
      <c r="J107" s="33" t="n">
        <f aca="false">IF(SUMPRODUCT((工程マスタ!$K$5:$K$154&gt;0)*(工程マスタ!$I$5:$I$154&lt;&gt;"○")*工程マスタ!$G$5:$G$154)=0,0,SUMPRODUCT((工程マスタ!$K$5:$K$154&gt;0)*(工程マスタ!$I$5:$I$154&lt;&gt;"○")*(工程マスタ!$K$5:$K$154&lt;=(EDATE(J$3,1)-1))*((工程マスタ!$L$5:$L$154&lt;=(EDATE(J$3,1)-1))*工程マスタ!$G$5:$G$154+(工程マスタ!$L$5:$L$154&gt;(EDATE(J$3,1)-1))*((EDATE(J$3,1)-1)-工程マスタ!$K$5:$K$154+1)))/SUMPRODUCT((工程マスタ!$K$5:$K$154&gt;0)*(工程マスタ!$I$5:$I$154&lt;&gt;"○")*工程マスタ!$G$5:$G$154))</f>
        <v>0.248626373626374</v>
      </c>
      <c r="K107" s="33" t="n">
        <f aca="false">IF(SUMPRODUCT((工程マスタ!$K$5:$K$154&gt;0)*(工程マスタ!$I$5:$I$154&lt;&gt;"○")*工程マスタ!$G$5:$G$154)=0,0,SUMPRODUCT((工程マスタ!$K$5:$K$154&gt;0)*(工程マスタ!$I$5:$I$154&lt;&gt;"○")*(工程マスタ!$K$5:$K$154&lt;=(EDATE(K$3,1)-1))*((工程マスタ!$L$5:$L$154&lt;=(EDATE(K$3,1)-1))*工程マスタ!$G$5:$G$154+(工程マスタ!$L$5:$L$154&gt;(EDATE(K$3,1)-1))*((EDATE(K$3,1)-1)-工程マスタ!$K$5:$K$154+1)))/SUMPRODUCT((工程マスタ!$K$5:$K$154&gt;0)*(工程マスタ!$I$5:$I$154&lt;&gt;"○")*工程マスタ!$G$5:$G$154))</f>
        <v>0.31456043956044</v>
      </c>
      <c r="L107" s="33" t="n">
        <f aca="false">IF(SUMPRODUCT((工程マスタ!$K$5:$K$154&gt;0)*(工程マスタ!$I$5:$I$154&lt;&gt;"○")*工程マスタ!$G$5:$G$154)=0,0,SUMPRODUCT((工程マスタ!$K$5:$K$154&gt;0)*(工程マスタ!$I$5:$I$154&lt;&gt;"○")*(工程マスタ!$K$5:$K$154&lt;=(EDATE(L$3,1)-1))*((工程マスタ!$L$5:$L$154&lt;=(EDATE(L$3,1)-1))*工程マスタ!$G$5:$G$154+(工程マスタ!$L$5:$L$154&gt;(EDATE(L$3,1)-1))*((EDATE(L$3,1)-1)-工程マスタ!$K$5:$K$154+1)))/SUMPRODUCT((工程マスタ!$K$5:$K$154&gt;0)*(工程マスタ!$I$5:$I$154&lt;&gt;"○")*工程マスタ!$G$5:$G$154))</f>
        <v>0.418956043956044</v>
      </c>
      <c r="M107" s="33" t="n">
        <f aca="false">IF(SUMPRODUCT((工程マスタ!$K$5:$K$154&gt;0)*(工程マスタ!$I$5:$I$154&lt;&gt;"○")*工程マスタ!$G$5:$G$154)=0,0,SUMPRODUCT((工程マスタ!$K$5:$K$154&gt;0)*(工程マスタ!$I$5:$I$154&lt;&gt;"○")*(工程マスタ!$K$5:$K$154&lt;=(EDATE(M$3,1)-1))*((工程マスタ!$L$5:$L$154&lt;=(EDATE(M$3,1)-1))*工程マスタ!$G$5:$G$154+(工程マスタ!$L$5:$L$154&gt;(EDATE(M$3,1)-1))*((EDATE(M$3,1)-1)-工程マスタ!$K$5:$K$154+1)))/SUMPRODUCT((工程マスタ!$K$5:$K$154&gt;0)*(工程マスタ!$I$5:$I$154&lt;&gt;"○")*工程マスタ!$G$5:$G$154))</f>
        <v>0.565934065934066</v>
      </c>
      <c r="N107" s="33" t="n">
        <f aca="false">IF(SUMPRODUCT((工程マスタ!$K$5:$K$154&gt;0)*(工程マスタ!$I$5:$I$154&lt;&gt;"○")*工程マスタ!$G$5:$G$154)=0,0,SUMPRODUCT((工程マスタ!$K$5:$K$154&gt;0)*(工程マスタ!$I$5:$I$154&lt;&gt;"○")*(工程マスタ!$K$5:$K$154&lt;=(EDATE(N$3,1)-1))*((工程マスタ!$L$5:$L$154&lt;=(EDATE(N$3,1)-1))*工程マスタ!$G$5:$G$154+(工程マスタ!$L$5:$L$154&gt;(EDATE(N$3,1)-1))*((EDATE(N$3,1)-1)-工程マスタ!$K$5:$K$154+1)))/SUMPRODUCT((工程マスタ!$K$5:$K$154&gt;0)*(工程マスタ!$I$5:$I$154&lt;&gt;"○")*工程マスタ!$G$5:$G$154))</f>
        <v>0.718406593406593</v>
      </c>
      <c r="O107" s="33" t="n">
        <f aca="false">IF(SUMPRODUCT((工程マスタ!$K$5:$K$154&gt;0)*(工程マスタ!$I$5:$I$154&lt;&gt;"○")*工程マスタ!$G$5:$G$154)=0,0,SUMPRODUCT((工程マスタ!$K$5:$K$154&gt;0)*(工程マスタ!$I$5:$I$154&lt;&gt;"○")*(工程マスタ!$K$5:$K$154&lt;=(EDATE(O$3,1)-1))*((工程マスタ!$L$5:$L$154&lt;=(EDATE(O$3,1)-1))*工程マスタ!$G$5:$G$154+(工程マスタ!$L$5:$L$154&gt;(EDATE(O$3,1)-1))*((EDATE(O$3,1)-1)-工程マスタ!$K$5:$K$154+1)))/SUMPRODUCT((工程マスタ!$K$5:$K$154&gt;0)*(工程マスタ!$I$5:$I$154&lt;&gt;"○")*工程マスタ!$G$5:$G$154))</f>
        <v>0.864010989010989</v>
      </c>
      <c r="P107" s="33" t="n">
        <f aca="false">IF(SUMPRODUCT((工程マスタ!$K$5:$K$154&gt;0)*(工程マスタ!$I$5:$I$154&lt;&gt;"○")*工程マスタ!$G$5:$G$154)=0,0,SUMPRODUCT((工程マスタ!$K$5:$K$154&gt;0)*(工程マスタ!$I$5:$I$154&lt;&gt;"○")*(工程マスタ!$K$5:$K$154&lt;=(EDATE(P$3,1)-1))*((工程マスタ!$L$5:$L$154&lt;=(EDATE(P$3,1)-1))*工程マスタ!$G$5:$G$154+(工程マスタ!$L$5:$L$154&gt;(EDATE(P$3,1)-1))*((EDATE(P$3,1)-1)-工程マスタ!$K$5:$K$154+1)))/SUMPRODUCT((工程マスタ!$K$5:$K$154&gt;0)*(工程マスタ!$I$5:$I$154&lt;&gt;"○")*工程マスタ!$G$5:$G$154))</f>
        <v>1</v>
      </c>
      <c r="Q107" s="33" t="n">
        <f aca="false">IF(SUMPRODUCT((工程マスタ!$K$5:$K$154&gt;0)*(工程マスタ!$I$5:$I$154&lt;&gt;"○")*工程マスタ!$G$5:$G$154)=0,0,SUMPRODUCT((工程マスタ!$K$5:$K$154&gt;0)*(工程マスタ!$I$5:$I$154&lt;&gt;"○")*(工程マスタ!$K$5:$K$154&lt;=(EDATE(Q$3,1)-1))*((工程マスタ!$L$5:$L$154&lt;=(EDATE(Q$3,1)-1))*工程マスタ!$G$5:$G$154+(工程マスタ!$L$5:$L$154&gt;(EDATE(Q$3,1)-1))*((EDATE(Q$3,1)-1)-工程マスタ!$K$5:$K$154+1)))/SUMPRODUCT((工程マスタ!$K$5:$K$154&gt;0)*(工程マスタ!$I$5:$I$154&lt;&gt;"○")*工程マスタ!$G$5:$G$154))</f>
        <v>1</v>
      </c>
      <c r="R107" s="33" t="n">
        <f aca="false">IF(SUMPRODUCT((工程マスタ!$K$5:$K$154&gt;0)*(工程マスタ!$I$5:$I$154&lt;&gt;"○")*工程マスタ!$G$5:$G$154)=0,0,SUMPRODUCT((工程マスタ!$K$5:$K$154&gt;0)*(工程マスタ!$I$5:$I$154&lt;&gt;"○")*(工程マスタ!$K$5:$K$154&lt;=(EDATE(R$3,1)-1))*((工程マスタ!$L$5:$L$154&lt;=(EDATE(R$3,1)-1))*工程マスタ!$G$5:$G$154+(工程マスタ!$L$5:$L$154&gt;(EDATE(R$3,1)-1))*((EDATE(R$3,1)-1)-工程マスタ!$K$5:$K$154+1)))/SUMPRODUCT((工程マスタ!$K$5:$K$154&gt;0)*(工程マスタ!$I$5:$I$154&lt;&gt;"○")*工程マスタ!$G$5:$G$154))</f>
        <v>1</v>
      </c>
      <c r="S107" s="33" t="n">
        <f aca="false">IF(SUMPRODUCT((工程マスタ!$K$5:$K$154&gt;0)*(工程マスタ!$I$5:$I$154&lt;&gt;"○")*工程マスタ!$G$5:$G$154)=0,0,SUMPRODUCT((工程マスタ!$K$5:$K$154&gt;0)*(工程マスタ!$I$5:$I$154&lt;&gt;"○")*(工程マスタ!$K$5:$K$154&lt;=(EDATE(S$3,1)-1))*((工程マスタ!$L$5:$L$154&lt;=(EDATE(S$3,1)-1))*工程マスタ!$G$5:$G$154+(工程マスタ!$L$5:$L$154&gt;(EDATE(S$3,1)-1))*((EDATE(S$3,1)-1)-工程マスタ!$K$5:$K$154+1)))/SUMPRODUCT((工程マスタ!$K$5:$K$154&gt;0)*(工程マスタ!$I$5:$I$154&lt;&gt;"○")*工程マスタ!$G$5:$G$154))</f>
        <v>1</v>
      </c>
      <c r="T107" s="33" t="n">
        <f aca="false">IF(SUMPRODUCT((工程マスタ!$K$5:$K$154&gt;0)*(工程マスタ!$I$5:$I$154&lt;&gt;"○")*工程マスタ!$G$5:$G$154)=0,0,SUMPRODUCT((工程マスタ!$K$5:$K$154&gt;0)*(工程マスタ!$I$5:$I$154&lt;&gt;"○")*(工程マスタ!$K$5:$K$154&lt;=(EDATE(T$3,1)-1))*((工程マスタ!$L$5:$L$154&lt;=(EDATE(T$3,1)-1))*工程マスタ!$G$5:$G$154+(工程マスタ!$L$5:$L$154&gt;(EDATE(T$3,1)-1))*((EDATE(T$3,1)-1)-工程マスタ!$K$5:$K$154+1)))/SUMPRODUCT((工程マスタ!$K$5:$K$154&gt;0)*(工程マスタ!$I$5:$I$154&lt;&gt;"○")*工程マスタ!$G$5:$G$154))</f>
        <v>1</v>
      </c>
      <c r="U107" s="33" t="n">
        <f aca="false">IF(SUMPRODUCT((工程マスタ!$K$5:$K$154&gt;0)*(工程マスタ!$I$5:$I$154&lt;&gt;"○")*工程マスタ!$G$5:$G$154)=0,0,SUMPRODUCT((工程マスタ!$K$5:$K$154&gt;0)*(工程マスタ!$I$5:$I$154&lt;&gt;"○")*(工程マスタ!$K$5:$K$154&lt;=(EDATE(U$3,1)-1))*((工程マスタ!$L$5:$L$154&lt;=(EDATE(U$3,1)-1))*工程マスタ!$G$5:$G$154+(工程マスタ!$L$5:$L$154&gt;(EDATE(U$3,1)-1))*((EDATE(U$3,1)-1)-工程マスタ!$K$5:$K$154+1)))/SUMPRODUCT((工程マスタ!$K$5:$K$154&gt;0)*(工程マスタ!$I$5:$I$154&lt;&gt;"○")*工程マスタ!$G$5:$G$154))</f>
        <v>1</v>
      </c>
      <c r="V107" s="33" t="n">
        <f aca="false">IF(SUMPRODUCT((工程マスタ!$K$5:$K$154&gt;0)*(工程マスタ!$I$5:$I$154&lt;&gt;"○")*工程マスタ!$G$5:$G$154)=0,0,SUMPRODUCT((工程マスタ!$K$5:$K$154&gt;0)*(工程マスタ!$I$5:$I$154&lt;&gt;"○")*(工程マスタ!$K$5:$K$154&lt;=(EDATE(V$3,1)-1))*((工程マスタ!$L$5:$L$154&lt;=(EDATE(V$3,1)-1))*工程マスタ!$G$5:$G$154+(工程マスタ!$L$5:$L$154&gt;(EDATE(V$3,1)-1))*((EDATE(V$3,1)-1)-工程マスタ!$K$5:$K$154+1)))/SUMPRODUCT((工程マスタ!$K$5:$K$154&gt;0)*(工程マスタ!$I$5:$I$154&lt;&gt;"○")*工程マスタ!$G$5:$G$154))</f>
        <v>1</v>
      </c>
      <c r="W107" s="33" t="n">
        <f aca="false">IF(SUMPRODUCT((工程マスタ!$K$5:$K$154&gt;0)*(工程マスタ!$I$5:$I$154&lt;&gt;"○")*工程マスタ!$G$5:$G$154)=0,0,SUMPRODUCT((工程マスタ!$K$5:$K$154&gt;0)*(工程マスタ!$I$5:$I$154&lt;&gt;"○")*(工程マスタ!$K$5:$K$154&lt;=(EDATE(W$3,1)-1))*((工程マスタ!$L$5:$L$154&lt;=(EDATE(W$3,1)-1))*工程マスタ!$G$5:$G$154+(工程マスタ!$L$5:$L$154&gt;(EDATE(W$3,1)-1))*((EDATE(W$3,1)-1)-工程マスタ!$K$5:$K$154+1)))/SUMPRODUCT((工程マスタ!$K$5:$K$154&gt;0)*(工程マスタ!$I$5:$I$154&lt;&gt;"○")*工程マスタ!$G$5:$G$154))</f>
        <v>1</v>
      </c>
      <c r="X107" s="33" t="n">
        <f aca="false">IF(SUMPRODUCT((工程マスタ!$K$5:$K$154&gt;0)*(工程マスタ!$I$5:$I$154&lt;&gt;"○")*工程マスタ!$G$5:$G$154)=0,0,SUMPRODUCT((工程マスタ!$K$5:$K$154&gt;0)*(工程マスタ!$I$5:$I$154&lt;&gt;"○")*(工程マスタ!$K$5:$K$154&lt;=(EDATE(X$3,1)-1))*((工程マスタ!$L$5:$L$154&lt;=(EDATE(X$3,1)-1))*工程マスタ!$G$5:$G$154+(工程マスタ!$L$5:$L$154&gt;(EDATE(X$3,1)-1))*((EDATE(X$3,1)-1)-工程マスタ!$K$5:$K$154+1)))/SUMPRODUCT((工程マスタ!$K$5:$K$154&gt;0)*(工程マスタ!$I$5:$I$154&lt;&gt;"○")*工程マスタ!$G$5:$G$154))</f>
        <v>1</v>
      </c>
      <c r="Y107" s="33" t="n">
        <f aca="false">IF(SUMPRODUCT((工程マスタ!$K$5:$K$154&gt;0)*(工程マスタ!$I$5:$I$154&lt;&gt;"○")*工程マスタ!$G$5:$G$154)=0,0,SUMPRODUCT((工程マスタ!$K$5:$K$154&gt;0)*(工程マスタ!$I$5:$I$154&lt;&gt;"○")*(工程マスタ!$K$5:$K$154&lt;=(EDATE(Y$3,1)-1))*((工程マスタ!$L$5:$L$154&lt;=(EDATE(Y$3,1)-1))*工程マスタ!$G$5:$G$154+(工程マスタ!$L$5:$L$154&gt;(EDATE(Y$3,1)-1))*((EDATE(Y$3,1)-1)-工程マスタ!$K$5:$K$154+1)))/SUMPRODUCT((工程マスタ!$K$5:$K$154&gt;0)*(工程マスタ!$I$5:$I$154&lt;&gt;"○")*工程マスタ!$G$5:$G$154))</f>
        <v>1</v>
      </c>
      <c r="Z107" s="33" t="n">
        <f aca="false">IF(SUMPRODUCT((工程マスタ!$K$5:$K$154&gt;0)*(工程マスタ!$I$5:$I$154&lt;&gt;"○")*工程マスタ!$G$5:$G$154)=0,0,SUMPRODUCT((工程マスタ!$K$5:$K$154&gt;0)*(工程マスタ!$I$5:$I$154&lt;&gt;"○")*(工程マスタ!$K$5:$K$154&lt;=(EDATE(Z$3,1)-1))*((工程マスタ!$L$5:$L$154&lt;=(EDATE(Z$3,1)-1))*工程マスタ!$G$5:$G$154+(工程マスタ!$L$5:$L$154&gt;(EDATE(Z$3,1)-1))*((EDATE(Z$3,1)-1)-工程マスタ!$K$5:$K$154+1)))/SUMPRODUCT((工程マスタ!$K$5:$K$154&gt;0)*(工程マスタ!$I$5:$I$154&lt;&gt;"○")*工程マスタ!$G$5:$G$154))</f>
        <v>1</v>
      </c>
      <c r="AA107" s="33" t="n">
        <f aca="false">IF(SUMPRODUCT((工程マスタ!$K$5:$K$154&gt;0)*(工程マスタ!$I$5:$I$154&lt;&gt;"○")*工程マスタ!$G$5:$G$154)=0,0,SUMPRODUCT((工程マスタ!$K$5:$K$154&gt;0)*(工程マスタ!$I$5:$I$154&lt;&gt;"○")*(工程マスタ!$K$5:$K$154&lt;=(EDATE(AA$3,1)-1))*((工程マスタ!$L$5:$L$154&lt;=(EDATE(AA$3,1)-1))*工程マスタ!$G$5:$G$154+(工程マスタ!$L$5:$L$154&gt;(EDATE(AA$3,1)-1))*((EDATE(AA$3,1)-1)-工程マスタ!$K$5:$K$154+1)))/SUMPRODUCT((工程マスタ!$K$5:$K$154&gt;0)*(工程マスタ!$I$5:$I$154&lt;&gt;"○")*工程マスタ!$G$5:$G$154))</f>
        <v>1</v>
      </c>
      <c r="AB107" s="33" t="n">
        <f aca="false">IF(SUMPRODUCT((工程マスタ!$K$5:$K$154&gt;0)*(工程マスタ!$I$5:$I$154&lt;&gt;"○")*工程マスタ!$G$5:$G$154)=0,0,SUMPRODUCT((工程マスタ!$K$5:$K$154&gt;0)*(工程マスタ!$I$5:$I$154&lt;&gt;"○")*(工程マスタ!$K$5:$K$154&lt;=(EDATE(AB$3,1)-1))*((工程マスタ!$L$5:$L$154&lt;=(EDATE(AB$3,1)-1))*工程マスタ!$G$5:$G$154+(工程マスタ!$L$5:$L$154&gt;(EDATE(AB$3,1)-1))*((EDATE(AB$3,1)-1)-工程マスタ!$K$5:$K$154+1)))/SUMPRODUCT((工程マスタ!$K$5:$K$154&gt;0)*(工程マスタ!$I$5:$I$154&lt;&gt;"○")*工程マスタ!$G$5:$G$154))</f>
        <v>1</v>
      </c>
      <c r="AC107" s="33" t="n">
        <f aca="false">IF(SUMPRODUCT((工程マスタ!$K$5:$K$154&gt;0)*(工程マスタ!$I$5:$I$154&lt;&gt;"○")*工程マスタ!$G$5:$G$154)=0,0,SUMPRODUCT((工程マスタ!$K$5:$K$154&gt;0)*(工程マスタ!$I$5:$I$154&lt;&gt;"○")*(工程マスタ!$K$5:$K$154&lt;=(EDATE(AC$3,1)-1))*((工程マスタ!$L$5:$L$154&lt;=(EDATE(AC$3,1)-1))*工程マスタ!$G$5:$G$154+(工程マスタ!$L$5:$L$154&gt;(EDATE(AC$3,1)-1))*((EDATE(AC$3,1)-1)-工程マスタ!$K$5:$K$154+1)))/SUMPRODUCT((工程マスタ!$K$5:$K$154&gt;0)*(工程マスタ!$I$5:$I$154&lt;&gt;"○")*工程マスタ!$G$5:$G$154))</f>
        <v>1</v>
      </c>
      <c r="AD107" s="33" t="n">
        <f aca="false">IF(SUMPRODUCT((工程マスタ!$K$5:$K$154&gt;0)*(工程マスタ!$I$5:$I$154&lt;&gt;"○")*工程マスタ!$G$5:$G$154)=0,0,SUMPRODUCT((工程マスタ!$K$5:$K$154&gt;0)*(工程マスタ!$I$5:$I$154&lt;&gt;"○")*(工程マスタ!$K$5:$K$154&lt;=(EDATE(AD$3,1)-1))*((工程マスタ!$L$5:$L$154&lt;=(EDATE(AD$3,1)-1))*工程マスタ!$G$5:$G$154+(工程マスタ!$L$5:$L$154&gt;(EDATE(AD$3,1)-1))*((EDATE(AD$3,1)-1)-工程マスタ!$K$5:$K$154+1)))/SUMPRODUCT((工程マスタ!$K$5:$K$154&gt;0)*(工程マスタ!$I$5:$I$154&lt;&gt;"○")*工程マスタ!$G$5:$G$154))</f>
        <v>1</v>
      </c>
      <c r="AE107" s="33" t="n">
        <f aca="false">IF(SUMPRODUCT((工程マスタ!$K$5:$K$154&gt;0)*(工程マスタ!$I$5:$I$154&lt;&gt;"○")*工程マスタ!$G$5:$G$154)=0,0,SUMPRODUCT((工程マスタ!$K$5:$K$154&gt;0)*(工程マスタ!$I$5:$I$154&lt;&gt;"○")*(工程マスタ!$K$5:$K$154&lt;=(EDATE(AE$3,1)-1))*((工程マスタ!$L$5:$L$154&lt;=(EDATE(AE$3,1)-1))*工程マスタ!$G$5:$G$154+(工程マスタ!$L$5:$L$154&gt;(EDATE(AE$3,1)-1))*((EDATE(AE$3,1)-1)-工程マスタ!$K$5:$K$154+1)))/SUMPRODUCT((工程マスタ!$K$5:$K$154&gt;0)*(工程マスタ!$I$5:$I$154&lt;&gt;"○")*工程マスタ!$G$5:$G$154))</f>
        <v>1</v>
      </c>
    </row>
    <row r="108" customFormat="false" ht="15" hidden="false" customHeight="false" outlineLevel="0" collapsed="false">
      <c r="C108" s="2" t="s">
        <v>162</v>
      </c>
      <c r="H108" s="34" t="n">
        <v>0.06</v>
      </c>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sheetData>
  <conditionalFormatting sqref="H6:AE105">
    <cfRule type="expression" priority="2" aboveAverage="0" equalAverage="0" bottom="0" percent="0" rank="0" text="" dxfId="1">
      <formula>AND($AG6&gt;0,H$3&lt;&gt;"",$E6&lt;EDATE(H$3,1),H$3&lt;$AH6,INDEX(工程マスタ!$I:$I,$AG6)&lt;&gt;"○")</formula>
    </cfRule>
    <cfRule type="expression" priority="3" aboveAverage="0" equalAverage="0" bottom="0" percent="0" rank="0" text="" dxfId="2">
      <formula>AND($AG6&gt;0,H$3&lt;&gt;"",$E6&lt;EDATE(H$3,1),$F6&gt;=H$3,INDEX(工程マスタ!$I:$I,$AG6)&lt;&gt;"○")</formula>
    </cfRule>
    <cfRule type="expression" priority="4" aboveAverage="0" equalAverage="0" bottom="0" percent="0" rank="0" text="" dxfId="3">
      <formula>AND(H$3&lt;&gt;"",YEAR(H$3)=YEAR(TODAY()),MONTH(H$3)=MONTH(TODAY()))</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AO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6" topLeftCell="H7" activePane="bottomRight" state="frozen"/>
      <selection pane="topLeft" activeCell="A1" activeCellId="0" sqref="A1"/>
      <selection pane="topRight" activeCell="H1" activeCellId="0" sqref="H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26"/>
    <col collapsed="false" customWidth="true" hidden="false" outlineLevel="0" max="4" min="4" style="0" width="13"/>
    <col collapsed="false" customWidth="true" hidden="false" outlineLevel="0" max="6" min="5" style="0" width="8"/>
    <col collapsed="false" customWidth="true" hidden="false" outlineLevel="0" max="7" min="7" style="0" width="6"/>
    <col collapsed="false" customWidth="true" hidden="false" outlineLevel="0" max="38" min="8" style="0" width="3.4"/>
    <col collapsed="false" customWidth="true" hidden="true" outlineLevel="0" max="41" min="40" style="0" width="13"/>
  </cols>
  <sheetData>
    <row r="1" customFormat="false" ht="19.4" hidden="false" customHeight="false" outlineLevel="0" collapsed="false">
      <c r="A1" s="1" t="str">
        <f aca="false">設定!$B$3&amp;"　月間工程表（"&amp;$B$2&amp;"年"&amp;$D$2&amp;"月）"</f>
        <v>(仮称)○○ビル新築工事　月間工程表（2026年7月）</v>
      </c>
      <c r="AN1" s="35" t="n">
        <f aca="false">DATE($B$2,$D$2,1)</f>
        <v>46204</v>
      </c>
    </row>
    <row r="2" customFormat="false" ht="15" hidden="false" customHeight="false" outlineLevel="0" collapsed="false">
      <c r="A2" s="2" t="s">
        <v>163</v>
      </c>
      <c r="B2" s="19" t="n">
        <v>2026</v>
      </c>
      <c r="C2" s="2" t="s">
        <v>164</v>
      </c>
      <c r="D2" s="19" t="n">
        <v>7</v>
      </c>
      <c r="E2" s="13" t="s">
        <v>165</v>
      </c>
      <c r="N2" s="2" t="s">
        <v>23</v>
      </c>
      <c r="O2" s="24" t="s">
        <v>155</v>
      </c>
      <c r="P2" s="25" t="s">
        <v>156</v>
      </c>
      <c r="Q2" s="23" t="s">
        <v>166</v>
      </c>
      <c r="R2" s="36" t="s">
        <v>167</v>
      </c>
      <c r="AN2" s="0" t="n">
        <f aca="false">EOMONTH($AN$1,0)</f>
        <v>46234</v>
      </c>
    </row>
    <row r="3" customFormat="false" ht="15" hidden="true" customHeight="false" outlineLevel="0" collapsed="false">
      <c r="H3" s="35" t="n">
        <f aca="false">IF(1&lt;=DAY($AN$2),$AN$1+0,"")</f>
        <v>46204</v>
      </c>
      <c r="I3" s="35" t="n">
        <f aca="false">IF(2&lt;=DAY($AN$2),$AN$1+1,"")</f>
        <v>46205</v>
      </c>
      <c r="J3" s="35" t="n">
        <f aca="false">IF(3&lt;=DAY($AN$2),$AN$1+2,"")</f>
        <v>46206</v>
      </c>
      <c r="K3" s="35" t="n">
        <f aca="false">IF(4&lt;=DAY($AN$2),$AN$1+3,"")</f>
        <v>46207</v>
      </c>
      <c r="L3" s="35" t="n">
        <f aca="false">IF(5&lt;=DAY($AN$2),$AN$1+4,"")</f>
        <v>46208</v>
      </c>
      <c r="M3" s="35" t="n">
        <f aca="false">IF(6&lt;=DAY($AN$2),$AN$1+5,"")</f>
        <v>46209</v>
      </c>
      <c r="N3" s="35" t="n">
        <f aca="false">IF(7&lt;=DAY($AN$2),$AN$1+6,"")</f>
        <v>46210</v>
      </c>
      <c r="O3" s="35" t="n">
        <f aca="false">IF(8&lt;=DAY($AN$2),$AN$1+7,"")</f>
        <v>46211</v>
      </c>
      <c r="P3" s="35" t="n">
        <f aca="false">IF(9&lt;=DAY($AN$2),$AN$1+8,"")</f>
        <v>46212</v>
      </c>
      <c r="Q3" s="35" t="n">
        <f aca="false">IF(10&lt;=DAY($AN$2),$AN$1+9,"")</f>
        <v>46213</v>
      </c>
      <c r="R3" s="35" t="n">
        <f aca="false">IF(11&lt;=DAY($AN$2),$AN$1+10,"")</f>
        <v>46214</v>
      </c>
      <c r="S3" s="35" t="n">
        <f aca="false">IF(12&lt;=DAY($AN$2),$AN$1+11,"")</f>
        <v>46215</v>
      </c>
      <c r="T3" s="35" t="n">
        <f aca="false">IF(13&lt;=DAY($AN$2),$AN$1+12,"")</f>
        <v>46216</v>
      </c>
      <c r="U3" s="35" t="n">
        <f aca="false">IF(14&lt;=DAY($AN$2),$AN$1+13,"")</f>
        <v>46217</v>
      </c>
      <c r="V3" s="35" t="n">
        <f aca="false">IF(15&lt;=DAY($AN$2),$AN$1+14,"")</f>
        <v>46218</v>
      </c>
      <c r="W3" s="35" t="n">
        <f aca="false">IF(16&lt;=DAY($AN$2),$AN$1+15,"")</f>
        <v>46219</v>
      </c>
      <c r="X3" s="35" t="n">
        <f aca="false">IF(17&lt;=DAY($AN$2),$AN$1+16,"")</f>
        <v>46220</v>
      </c>
      <c r="Y3" s="35" t="n">
        <f aca="false">IF(18&lt;=DAY($AN$2),$AN$1+17,"")</f>
        <v>46221</v>
      </c>
      <c r="Z3" s="35" t="n">
        <f aca="false">IF(19&lt;=DAY($AN$2),$AN$1+18,"")</f>
        <v>46222</v>
      </c>
      <c r="AA3" s="35" t="n">
        <f aca="false">IF(20&lt;=DAY($AN$2),$AN$1+19,"")</f>
        <v>46223</v>
      </c>
      <c r="AB3" s="35" t="n">
        <f aca="false">IF(21&lt;=DAY($AN$2),$AN$1+20,"")</f>
        <v>46224</v>
      </c>
      <c r="AC3" s="35" t="n">
        <f aca="false">IF(22&lt;=DAY($AN$2),$AN$1+21,"")</f>
        <v>46225</v>
      </c>
      <c r="AD3" s="35" t="n">
        <f aca="false">IF(23&lt;=DAY($AN$2),$AN$1+22,"")</f>
        <v>46226</v>
      </c>
      <c r="AE3" s="35" t="n">
        <f aca="false">IF(24&lt;=DAY($AN$2),$AN$1+23,"")</f>
        <v>46227</v>
      </c>
      <c r="AF3" s="35" t="n">
        <f aca="false">IF(25&lt;=DAY($AN$2),$AN$1+24,"")</f>
        <v>46228</v>
      </c>
      <c r="AG3" s="35" t="n">
        <f aca="false">IF(26&lt;=DAY($AN$2),$AN$1+25,"")</f>
        <v>46229</v>
      </c>
      <c r="AH3" s="35" t="n">
        <f aca="false">IF(27&lt;=DAY($AN$2),$AN$1+26,"")</f>
        <v>46230</v>
      </c>
      <c r="AI3" s="35" t="n">
        <f aca="false">IF(28&lt;=DAY($AN$2),$AN$1+27,"")</f>
        <v>46231</v>
      </c>
      <c r="AJ3" s="35" t="n">
        <f aca="false">IF(29&lt;=DAY($AN$2),$AN$1+28,"")</f>
        <v>46232</v>
      </c>
      <c r="AK3" s="35" t="n">
        <f aca="false">IF(30&lt;=DAY($AN$2),$AN$1+29,"")</f>
        <v>46233</v>
      </c>
      <c r="AL3" s="35" t="n">
        <f aca="false">IF(31&lt;=DAY($AN$2),$AN$1+30,"")</f>
        <v>46234</v>
      </c>
    </row>
    <row r="4" customFormat="false" ht="15" hidden="false" customHeight="false" outlineLevel="0" collapsed="false">
      <c r="A4" s="8"/>
      <c r="B4" s="8"/>
      <c r="C4" s="8"/>
      <c r="D4" s="8"/>
      <c r="E4" s="8"/>
      <c r="F4" s="8"/>
      <c r="G4" s="8"/>
      <c r="H4" s="37" t="n">
        <f aca="false">IF(H$3="","",DAY(H$3))</f>
        <v>1</v>
      </c>
      <c r="I4" s="37" t="n">
        <f aca="false">IF(I$3="","",DAY(I$3))</f>
        <v>2</v>
      </c>
      <c r="J4" s="37" t="n">
        <f aca="false">IF(J$3="","",DAY(J$3))</f>
        <v>3</v>
      </c>
      <c r="K4" s="37" t="n">
        <f aca="false">IF(K$3="","",DAY(K$3))</f>
        <v>4</v>
      </c>
      <c r="L4" s="37" t="n">
        <f aca="false">IF(L$3="","",DAY(L$3))</f>
        <v>5</v>
      </c>
      <c r="M4" s="37" t="n">
        <f aca="false">IF(M$3="","",DAY(M$3))</f>
        <v>6</v>
      </c>
      <c r="N4" s="37" t="n">
        <f aca="false">IF(N$3="","",DAY(N$3))</f>
        <v>7</v>
      </c>
      <c r="O4" s="37" t="n">
        <f aca="false">IF(O$3="","",DAY(O$3))</f>
        <v>8</v>
      </c>
      <c r="P4" s="37" t="n">
        <f aca="false">IF(P$3="","",DAY(P$3))</f>
        <v>9</v>
      </c>
      <c r="Q4" s="37" t="n">
        <f aca="false">IF(Q$3="","",DAY(Q$3))</f>
        <v>10</v>
      </c>
      <c r="R4" s="37" t="n">
        <f aca="false">IF(R$3="","",DAY(R$3))</f>
        <v>11</v>
      </c>
      <c r="S4" s="37" t="n">
        <f aca="false">IF(S$3="","",DAY(S$3))</f>
        <v>12</v>
      </c>
      <c r="T4" s="37" t="n">
        <f aca="false">IF(T$3="","",DAY(T$3))</f>
        <v>13</v>
      </c>
      <c r="U4" s="37" t="n">
        <f aca="false">IF(U$3="","",DAY(U$3))</f>
        <v>14</v>
      </c>
      <c r="V4" s="37" t="n">
        <f aca="false">IF(V$3="","",DAY(V$3))</f>
        <v>15</v>
      </c>
      <c r="W4" s="37" t="n">
        <f aca="false">IF(W$3="","",DAY(W$3))</f>
        <v>16</v>
      </c>
      <c r="X4" s="37" t="n">
        <f aca="false">IF(X$3="","",DAY(X$3))</f>
        <v>17</v>
      </c>
      <c r="Y4" s="37" t="n">
        <f aca="false">IF(Y$3="","",DAY(Y$3))</f>
        <v>18</v>
      </c>
      <c r="Z4" s="37" t="n">
        <f aca="false">IF(Z$3="","",DAY(Z$3))</f>
        <v>19</v>
      </c>
      <c r="AA4" s="37" t="n">
        <f aca="false">IF(AA$3="","",DAY(AA$3))</f>
        <v>20</v>
      </c>
      <c r="AB4" s="37" t="n">
        <f aca="false">IF(AB$3="","",DAY(AB$3))</f>
        <v>21</v>
      </c>
      <c r="AC4" s="37" t="n">
        <f aca="false">IF(AC$3="","",DAY(AC$3))</f>
        <v>22</v>
      </c>
      <c r="AD4" s="37" t="n">
        <f aca="false">IF(AD$3="","",DAY(AD$3))</f>
        <v>23</v>
      </c>
      <c r="AE4" s="37" t="n">
        <f aca="false">IF(AE$3="","",DAY(AE$3))</f>
        <v>24</v>
      </c>
      <c r="AF4" s="37" t="n">
        <f aca="false">IF(AF$3="","",DAY(AF$3))</f>
        <v>25</v>
      </c>
      <c r="AG4" s="37" t="n">
        <f aca="false">IF(AG$3="","",DAY(AG$3))</f>
        <v>26</v>
      </c>
      <c r="AH4" s="37" t="n">
        <f aca="false">IF(AH$3="","",DAY(AH$3))</f>
        <v>27</v>
      </c>
      <c r="AI4" s="37" t="n">
        <f aca="false">IF(AI$3="","",DAY(AI$3))</f>
        <v>28</v>
      </c>
      <c r="AJ4" s="37" t="n">
        <f aca="false">IF(AJ$3="","",DAY(AJ$3))</f>
        <v>29</v>
      </c>
      <c r="AK4" s="37" t="n">
        <f aca="false">IF(AK$3="","",DAY(AK$3))</f>
        <v>30</v>
      </c>
      <c r="AL4" s="37" t="n">
        <f aca="false">IF(AL$3="","",DAY(AL$3))</f>
        <v>31</v>
      </c>
    </row>
    <row r="5" customFormat="false" ht="15" hidden="false" customHeight="false" outlineLevel="0" collapsed="false">
      <c r="A5" s="14" t="s">
        <v>76</v>
      </c>
      <c r="B5" s="8" t="s">
        <v>77</v>
      </c>
      <c r="C5" s="8" t="s">
        <v>78</v>
      </c>
      <c r="D5" s="8" t="s">
        <v>79</v>
      </c>
      <c r="E5" s="8" t="s">
        <v>158</v>
      </c>
      <c r="F5" s="8" t="s">
        <v>159</v>
      </c>
      <c r="G5" s="8" t="s">
        <v>160</v>
      </c>
      <c r="H5" s="37" t="str">
        <f aca="false">IF(H$3="","",MID("日月火水木金土",WEEKDAY(H$3),1))</f>
        <v>水</v>
      </c>
      <c r="I5" s="37" t="str">
        <f aca="false">IF(I$3="","",MID("日月火水木金土",WEEKDAY(I$3),1))</f>
        <v>木</v>
      </c>
      <c r="J5" s="37" t="str">
        <f aca="false">IF(J$3="","",MID("日月火水木金土",WEEKDAY(J$3),1))</f>
        <v>金</v>
      </c>
      <c r="K5" s="37" t="str">
        <f aca="false">IF(K$3="","",MID("日月火水木金土",WEEKDAY(K$3),1))</f>
        <v>土</v>
      </c>
      <c r="L5" s="37" t="str">
        <f aca="false">IF(L$3="","",MID("日月火水木金土",WEEKDAY(L$3),1))</f>
        <v>日</v>
      </c>
      <c r="M5" s="37" t="str">
        <f aca="false">IF(M$3="","",MID("日月火水木金土",WEEKDAY(M$3),1))</f>
        <v>月</v>
      </c>
      <c r="N5" s="37" t="str">
        <f aca="false">IF(N$3="","",MID("日月火水木金土",WEEKDAY(N$3),1))</f>
        <v>火</v>
      </c>
      <c r="O5" s="37" t="str">
        <f aca="false">IF(O$3="","",MID("日月火水木金土",WEEKDAY(O$3),1))</f>
        <v>水</v>
      </c>
      <c r="P5" s="37" t="str">
        <f aca="false">IF(P$3="","",MID("日月火水木金土",WEEKDAY(P$3),1))</f>
        <v>木</v>
      </c>
      <c r="Q5" s="37" t="str">
        <f aca="false">IF(Q$3="","",MID("日月火水木金土",WEEKDAY(Q$3),1))</f>
        <v>金</v>
      </c>
      <c r="R5" s="37" t="str">
        <f aca="false">IF(R$3="","",MID("日月火水木金土",WEEKDAY(R$3),1))</f>
        <v>土</v>
      </c>
      <c r="S5" s="37" t="str">
        <f aca="false">IF(S$3="","",MID("日月火水木金土",WEEKDAY(S$3),1))</f>
        <v>日</v>
      </c>
      <c r="T5" s="37" t="str">
        <f aca="false">IF(T$3="","",MID("日月火水木金土",WEEKDAY(T$3),1))</f>
        <v>月</v>
      </c>
      <c r="U5" s="37" t="str">
        <f aca="false">IF(U$3="","",MID("日月火水木金土",WEEKDAY(U$3),1))</f>
        <v>火</v>
      </c>
      <c r="V5" s="37" t="str">
        <f aca="false">IF(V$3="","",MID("日月火水木金土",WEEKDAY(V$3),1))</f>
        <v>水</v>
      </c>
      <c r="W5" s="37" t="str">
        <f aca="false">IF(W$3="","",MID("日月火水木金土",WEEKDAY(W$3),1))</f>
        <v>木</v>
      </c>
      <c r="X5" s="37" t="str">
        <f aca="false">IF(X$3="","",MID("日月火水木金土",WEEKDAY(X$3),1))</f>
        <v>金</v>
      </c>
      <c r="Y5" s="37" t="str">
        <f aca="false">IF(Y$3="","",MID("日月火水木金土",WEEKDAY(Y$3),1))</f>
        <v>土</v>
      </c>
      <c r="Z5" s="37" t="str">
        <f aca="false">IF(Z$3="","",MID("日月火水木金土",WEEKDAY(Z$3),1))</f>
        <v>日</v>
      </c>
      <c r="AA5" s="37" t="str">
        <f aca="false">IF(AA$3="","",MID("日月火水木金土",WEEKDAY(AA$3),1))</f>
        <v>月</v>
      </c>
      <c r="AB5" s="37" t="str">
        <f aca="false">IF(AB$3="","",MID("日月火水木金土",WEEKDAY(AB$3),1))</f>
        <v>火</v>
      </c>
      <c r="AC5" s="37" t="str">
        <f aca="false">IF(AC$3="","",MID("日月火水木金土",WEEKDAY(AC$3),1))</f>
        <v>水</v>
      </c>
      <c r="AD5" s="37" t="str">
        <f aca="false">IF(AD$3="","",MID("日月火水木金土",WEEKDAY(AD$3),1))</f>
        <v>木</v>
      </c>
      <c r="AE5" s="37" t="str">
        <f aca="false">IF(AE$3="","",MID("日月火水木金土",WEEKDAY(AE$3),1))</f>
        <v>金</v>
      </c>
      <c r="AF5" s="37" t="str">
        <f aca="false">IF(AF$3="","",MID("日月火水木金土",WEEKDAY(AF$3),1))</f>
        <v>土</v>
      </c>
      <c r="AG5" s="37" t="str">
        <f aca="false">IF(AG$3="","",MID("日月火水木金土",WEEKDAY(AG$3),1))</f>
        <v>日</v>
      </c>
      <c r="AH5" s="37" t="str">
        <f aca="false">IF(AH$3="","",MID("日月火水木金土",WEEKDAY(AH$3),1))</f>
        <v>月</v>
      </c>
      <c r="AI5" s="37" t="str">
        <f aca="false">IF(AI$3="","",MID("日月火水木金土",WEEKDAY(AI$3),1))</f>
        <v>火</v>
      </c>
      <c r="AJ5" s="37" t="str">
        <f aca="false">IF(AJ$3="","",MID("日月火水木金土",WEEKDAY(AJ$3),1))</f>
        <v>水</v>
      </c>
      <c r="AK5" s="37" t="str">
        <f aca="false">IF(AK$3="","",MID("日月火水木金土",WEEKDAY(AK$3),1))</f>
        <v>木</v>
      </c>
      <c r="AL5" s="37" t="str">
        <f aca="false">IF(AL$3="","",MID("日月火水木金土",WEEKDAY(AL$3),1))</f>
        <v>金</v>
      </c>
    </row>
    <row r="7" customFormat="false" ht="15" hidden="false" customHeight="false" outlineLevel="0" collapsed="false">
      <c r="A7" s="28" t="n">
        <f aca="false">IF($AN7=0,"",IF(INDEX(工程マスタ!$A:$A,$AN7)="","",INDEX(工程マスタ!$A:$A,$AN7)))</f>
        <v>1</v>
      </c>
      <c r="B7" s="21" t="str">
        <f aca="false">IF($AN7=0,"",IF(INDEX(工程マスタ!$B:$B,$AN7)="","",INDEX(工程マスタ!$B:$B,$AN7)))</f>
        <v>マイルストーン</v>
      </c>
      <c r="C7" s="21" t="str">
        <f aca="false">IF($AN7=0,"",IF(INDEX(工程マスタ!$C:$C,$AN7)="","",INDEX(工程マスタ!$C:$C,$AN7)))</f>
        <v>着工</v>
      </c>
      <c r="D7" s="21" t="str">
        <f aca="false">IF($AN7=0,"",IF(INDEX(工程マスタ!$D:$D,$AN7)="","",INDEX(工程マスタ!$D:$D,$AN7)))</f>
        <v/>
      </c>
      <c r="E7" s="29" t="n">
        <f aca="false">IF($AN7=0,"",IF(INDEX(工程マスタ!$E:$E,$AN7)="","",INDEX(工程マスタ!$E:$E,$AN7)))</f>
        <v>46204</v>
      </c>
      <c r="F7" s="29" t="n">
        <f aca="false">IF($AN7=0,"",IF(INDEX(工程マスタ!$F:$F,$AN7)="","",INDEX(工程マスタ!$F:$F,$AN7)))</f>
        <v>46204</v>
      </c>
      <c r="G7" s="30" t="str">
        <f aca="false">IF($AN7=0,"",IF(INDEX(工程マスタ!$H:$H,$AN7)="","",INDEX(工程マスタ!$H:$H,$AN7)))</f>
        <v/>
      </c>
      <c r="H7" s="31" t="str">
        <f aca="false">IF(OR($AN7=0,H$3=""),"",IF(AND(INDEX(工程マスタ!$I:$I,$AN7)="○",$E7=H$3),"▼",""))</f>
        <v>▼</v>
      </c>
      <c r="I7" s="31" t="str">
        <f aca="false">IF(OR($AN7=0,I$3=""),"",IF(AND(INDEX(工程マスタ!$I:$I,$AN7)="○",$E7=I$3),"▼",""))</f>
        <v/>
      </c>
      <c r="J7" s="31" t="str">
        <f aca="false">IF(OR($AN7=0,J$3=""),"",IF(AND(INDEX(工程マスタ!$I:$I,$AN7)="○",$E7=J$3),"▼",""))</f>
        <v/>
      </c>
      <c r="K7" s="31" t="str">
        <f aca="false">IF(OR($AN7=0,K$3=""),"",IF(AND(INDEX(工程マスタ!$I:$I,$AN7)="○",$E7=K$3),"▼",""))</f>
        <v/>
      </c>
      <c r="L7" s="31" t="str">
        <f aca="false">IF(OR($AN7=0,L$3=""),"",IF(AND(INDEX(工程マスタ!$I:$I,$AN7)="○",$E7=L$3),"▼",""))</f>
        <v/>
      </c>
      <c r="M7" s="31" t="str">
        <f aca="false">IF(OR($AN7=0,M$3=""),"",IF(AND(INDEX(工程マスタ!$I:$I,$AN7)="○",$E7=M$3),"▼",""))</f>
        <v/>
      </c>
      <c r="N7" s="31" t="str">
        <f aca="false">IF(OR($AN7=0,N$3=""),"",IF(AND(INDEX(工程マスタ!$I:$I,$AN7)="○",$E7=N$3),"▼",""))</f>
        <v/>
      </c>
      <c r="O7" s="31" t="str">
        <f aca="false">IF(OR($AN7=0,O$3=""),"",IF(AND(INDEX(工程マスタ!$I:$I,$AN7)="○",$E7=O$3),"▼",""))</f>
        <v/>
      </c>
      <c r="P7" s="31" t="str">
        <f aca="false">IF(OR($AN7=0,P$3=""),"",IF(AND(INDEX(工程マスタ!$I:$I,$AN7)="○",$E7=P$3),"▼",""))</f>
        <v/>
      </c>
      <c r="Q7" s="31" t="str">
        <f aca="false">IF(OR($AN7=0,Q$3=""),"",IF(AND(INDEX(工程マスタ!$I:$I,$AN7)="○",$E7=Q$3),"▼",""))</f>
        <v/>
      </c>
      <c r="R7" s="31" t="str">
        <f aca="false">IF(OR($AN7=0,R$3=""),"",IF(AND(INDEX(工程マスタ!$I:$I,$AN7)="○",$E7=R$3),"▼",""))</f>
        <v/>
      </c>
      <c r="S7" s="31" t="str">
        <f aca="false">IF(OR($AN7=0,S$3=""),"",IF(AND(INDEX(工程マスタ!$I:$I,$AN7)="○",$E7=S$3),"▼",""))</f>
        <v/>
      </c>
      <c r="T7" s="31" t="str">
        <f aca="false">IF(OR($AN7=0,T$3=""),"",IF(AND(INDEX(工程マスタ!$I:$I,$AN7)="○",$E7=T$3),"▼",""))</f>
        <v/>
      </c>
      <c r="U7" s="31" t="str">
        <f aca="false">IF(OR($AN7=0,U$3=""),"",IF(AND(INDEX(工程マスタ!$I:$I,$AN7)="○",$E7=U$3),"▼",""))</f>
        <v/>
      </c>
      <c r="V7" s="31" t="str">
        <f aca="false">IF(OR($AN7=0,V$3=""),"",IF(AND(INDEX(工程マスタ!$I:$I,$AN7)="○",$E7=V$3),"▼",""))</f>
        <v/>
      </c>
      <c r="W7" s="31" t="str">
        <f aca="false">IF(OR($AN7=0,W$3=""),"",IF(AND(INDEX(工程マスタ!$I:$I,$AN7)="○",$E7=W$3),"▼",""))</f>
        <v/>
      </c>
      <c r="X7" s="31" t="str">
        <f aca="false">IF(OR($AN7=0,X$3=""),"",IF(AND(INDEX(工程マスタ!$I:$I,$AN7)="○",$E7=X$3),"▼",""))</f>
        <v/>
      </c>
      <c r="Y7" s="31" t="str">
        <f aca="false">IF(OR($AN7=0,Y$3=""),"",IF(AND(INDEX(工程マスタ!$I:$I,$AN7)="○",$E7=Y$3),"▼",""))</f>
        <v/>
      </c>
      <c r="Z7" s="31" t="str">
        <f aca="false">IF(OR($AN7=0,Z$3=""),"",IF(AND(INDEX(工程マスタ!$I:$I,$AN7)="○",$E7=Z$3),"▼",""))</f>
        <v/>
      </c>
      <c r="AA7" s="31" t="str">
        <f aca="false">IF(OR($AN7=0,AA$3=""),"",IF(AND(INDEX(工程マスタ!$I:$I,$AN7)="○",$E7=AA$3),"▼",""))</f>
        <v/>
      </c>
      <c r="AB7" s="31" t="str">
        <f aca="false">IF(OR($AN7=0,AB$3=""),"",IF(AND(INDEX(工程マスタ!$I:$I,$AN7)="○",$E7=AB$3),"▼",""))</f>
        <v/>
      </c>
      <c r="AC7" s="31" t="str">
        <f aca="false">IF(OR($AN7=0,AC$3=""),"",IF(AND(INDEX(工程マスタ!$I:$I,$AN7)="○",$E7=AC$3),"▼",""))</f>
        <v/>
      </c>
      <c r="AD7" s="31" t="str">
        <f aca="false">IF(OR($AN7=0,AD$3=""),"",IF(AND(INDEX(工程マスタ!$I:$I,$AN7)="○",$E7=AD$3),"▼",""))</f>
        <v/>
      </c>
      <c r="AE7" s="31" t="str">
        <f aca="false">IF(OR($AN7=0,AE$3=""),"",IF(AND(INDEX(工程マスタ!$I:$I,$AN7)="○",$E7=AE$3),"▼",""))</f>
        <v/>
      </c>
      <c r="AF7" s="31" t="str">
        <f aca="false">IF(OR($AN7=0,AF$3=""),"",IF(AND(INDEX(工程マスタ!$I:$I,$AN7)="○",$E7=AF$3),"▼",""))</f>
        <v/>
      </c>
      <c r="AG7" s="31" t="str">
        <f aca="false">IF(OR($AN7=0,AG$3=""),"",IF(AND(INDEX(工程マスタ!$I:$I,$AN7)="○",$E7=AG$3),"▼",""))</f>
        <v/>
      </c>
      <c r="AH7" s="31" t="str">
        <f aca="false">IF(OR($AN7=0,AH$3=""),"",IF(AND(INDEX(工程マスタ!$I:$I,$AN7)="○",$E7=AH$3),"▼",""))</f>
        <v/>
      </c>
      <c r="AI7" s="31" t="str">
        <f aca="false">IF(OR($AN7=0,AI$3=""),"",IF(AND(INDEX(工程マスタ!$I:$I,$AN7)="○",$E7=AI$3),"▼",""))</f>
        <v/>
      </c>
      <c r="AJ7" s="31" t="str">
        <f aca="false">IF(OR($AN7=0,AJ$3=""),"",IF(AND(INDEX(工程マスタ!$I:$I,$AN7)="○",$E7=AJ$3),"▼",""))</f>
        <v/>
      </c>
      <c r="AK7" s="31" t="str">
        <f aca="false">IF(OR($AN7=0,AK$3=""),"",IF(AND(INDEX(工程マスタ!$I:$I,$AN7)="○",$E7=AK$3),"▼",""))</f>
        <v/>
      </c>
      <c r="AL7" s="31" t="str">
        <f aca="false">IF(OR($AN7=0,AL$3=""),"",IF(AND(INDEX(工程マスタ!$I:$I,$AN7)="○",$E7=AL$3),"▼",""))</f>
        <v/>
      </c>
      <c r="AN7" s="27" t="n">
        <f aca="false" t="array" ref="AN7:AN7">IFERROR(SMALL(IF((工程マスタ!$K$5:$K$154&gt;0)*(工程マスタ!$K$5:$K$154&lt;=$AN$2)*(工程マスタ!$L$5:$L$154&gt;=$AN$1),ROW(工程マスタ!$C$5:$C$154)),1),0)</f>
        <v>5</v>
      </c>
      <c r="AO7" s="32" t="n">
        <f aca="false">IF($AN7=0,0,INDEX(工程マスタ!$M:$M,$AN7))</f>
        <v>46204</v>
      </c>
    </row>
    <row r="8" customFormat="false" ht="15" hidden="false" customHeight="false" outlineLevel="0" collapsed="false">
      <c r="A8" s="28" t="n">
        <f aca="false">IF($AN8=0,"",IF(INDEX(工程マスタ!$A:$A,$AN8)="","",INDEX(工程マスタ!$A:$A,$AN8)))</f>
        <v>2</v>
      </c>
      <c r="B8" s="21" t="str">
        <f aca="false">IF($AN8=0,"",IF(INDEX(工程マスタ!$B:$B,$AN8)="","",INDEX(工程マスタ!$B:$B,$AN8)))</f>
        <v>マイルストーン</v>
      </c>
      <c r="C8" s="21" t="str">
        <f aca="false">IF($AN8=0,"",IF(INDEX(工程マスタ!$C:$C,$AN8)="","",INDEX(工程マスタ!$C:$C,$AN8)))</f>
        <v>地鎮祭・安全祈願祭</v>
      </c>
      <c r="D8" s="21" t="str">
        <f aca="false">IF($AN8=0,"",IF(INDEX(工程マスタ!$D:$D,$AN8)="","",INDEX(工程マスタ!$D:$D,$AN8)))</f>
        <v/>
      </c>
      <c r="E8" s="29" t="n">
        <f aca="false">IF($AN8=0,"",IF(INDEX(工程マスタ!$E:$E,$AN8)="","",INDEX(工程マスタ!$E:$E,$AN8)))</f>
        <v>46207</v>
      </c>
      <c r="F8" s="29" t="n">
        <f aca="false">IF($AN8=0,"",IF(INDEX(工程マスタ!$F:$F,$AN8)="","",INDEX(工程マスタ!$F:$F,$AN8)))</f>
        <v>46207</v>
      </c>
      <c r="G8" s="30" t="str">
        <f aca="false">IF($AN8=0,"",IF(INDEX(工程マスタ!$H:$H,$AN8)="","",INDEX(工程マスタ!$H:$H,$AN8)))</f>
        <v/>
      </c>
      <c r="H8" s="31" t="str">
        <f aca="false">IF(OR($AN8=0,H$3=""),"",IF(AND(INDEX(工程マスタ!$I:$I,$AN8)="○",$E8=H$3),"▼",""))</f>
        <v/>
      </c>
      <c r="I8" s="31" t="str">
        <f aca="false">IF(OR($AN8=0,I$3=""),"",IF(AND(INDEX(工程マスタ!$I:$I,$AN8)="○",$E8=I$3),"▼",""))</f>
        <v/>
      </c>
      <c r="J8" s="31" t="str">
        <f aca="false">IF(OR($AN8=0,J$3=""),"",IF(AND(INDEX(工程マスタ!$I:$I,$AN8)="○",$E8=J$3),"▼",""))</f>
        <v/>
      </c>
      <c r="K8" s="31" t="str">
        <f aca="false">IF(OR($AN8=0,K$3=""),"",IF(AND(INDEX(工程マスタ!$I:$I,$AN8)="○",$E8=K$3),"▼",""))</f>
        <v>▼</v>
      </c>
      <c r="L8" s="31" t="str">
        <f aca="false">IF(OR($AN8=0,L$3=""),"",IF(AND(INDEX(工程マスタ!$I:$I,$AN8)="○",$E8=L$3),"▼",""))</f>
        <v/>
      </c>
      <c r="M8" s="31" t="str">
        <f aca="false">IF(OR($AN8=0,M$3=""),"",IF(AND(INDEX(工程マスタ!$I:$I,$AN8)="○",$E8=M$3),"▼",""))</f>
        <v/>
      </c>
      <c r="N8" s="31" t="str">
        <f aca="false">IF(OR($AN8=0,N$3=""),"",IF(AND(INDEX(工程マスタ!$I:$I,$AN8)="○",$E8=N$3),"▼",""))</f>
        <v/>
      </c>
      <c r="O8" s="31" t="str">
        <f aca="false">IF(OR($AN8=0,O$3=""),"",IF(AND(INDEX(工程マスタ!$I:$I,$AN8)="○",$E8=O$3),"▼",""))</f>
        <v/>
      </c>
      <c r="P8" s="31" t="str">
        <f aca="false">IF(OR($AN8=0,P$3=""),"",IF(AND(INDEX(工程マスタ!$I:$I,$AN8)="○",$E8=P$3),"▼",""))</f>
        <v/>
      </c>
      <c r="Q8" s="31" t="str">
        <f aca="false">IF(OR($AN8=0,Q$3=""),"",IF(AND(INDEX(工程マスタ!$I:$I,$AN8)="○",$E8=Q$3),"▼",""))</f>
        <v/>
      </c>
      <c r="R8" s="31" t="str">
        <f aca="false">IF(OR($AN8=0,R$3=""),"",IF(AND(INDEX(工程マスタ!$I:$I,$AN8)="○",$E8=R$3),"▼",""))</f>
        <v/>
      </c>
      <c r="S8" s="31" t="str">
        <f aca="false">IF(OR($AN8=0,S$3=""),"",IF(AND(INDEX(工程マスタ!$I:$I,$AN8)="○",$E8=S$3),"▼",""))</f>
        <v/>
      </c>
      <c r="T8" s="31" t="str">
        <f aca="false">IF(OR($AN8=0,T$3=""),"",IF(AND(INDEX(工程マスタ!$I:$I,$AN8)="○",$E8=T$3),"▼",""))</f>
        <v/>
      </c>
      <c r="U8" s="31" t="str">
        <f aca="false">IF(OR($AN8=0,U$3=""),"",IF(AND(INDEX(工程マスタ!$I:$I,$AN8)="○",$E8=U$3),"▼",""))</f>
        <v/>
      </c>
      <c r="V8" s="31" t="str">
        <f aca="false">IF(OR($AN8=0,V$3=""),"",IF(AND(INDEX(工程マスタ!$I:$I,$AN8)="○",$E8=V$3),"▼",""))</f>
        <v/>
      </c>
      <c r="W8" s="31" t="str">
        <f aca="false">IF(OR($AN8=0,W$3=""),"",IF(AND(INDEX(工程マスタ!$I:$I,$AN8)="○",$E8=W$3),"▼",""))</f>
        <v/>
      </c>
      <c r="X8" s="31" t="str">
        <f aca="false">IF(OR($AN8=0,X$3=""),"",IF(AND(INDEX(工程マスタ!$I:$I,$AN8)="○",$E8=X$3),"▼",""))</f>
        <v/>
      </c>
      <c r="Y8" s="31" t="str">
        <f aca="false">IF(OR($AN8=0,Y$3=""),"",IF(AND(INDEX(工程マスタ!$I:$I,$AN8)="○",$E8=Y$3),"▼",""))</f>
        <v/>
      </c>
      <c r="Z8" s="31" t="str">
        <f aca="false">IF(OR($AN8=0,Z$3=""),"",IF(AND(INDEX(工程マスタ!$I:$I,$AN8)="○",$E8=Z$3),"▼",""))</f>
        <v/>
      </c>
      <c r="AA8" s="31" t="str">
        <f aca="false">IF(OR($AN8=0,AA$3=""),"",IF(AND(INDEX(工程マスタ!$I:$I,$AN8)="○",$E8=AA$3),"▼",""))</f>
        <v/>
      </c>
      <c r="AB8" s="31" t="str">
        <f aca="false">IF(OR($AN8=0,AB$3=""),"",IF(AND(INDEX(工程マスタ!$I:$I,$AN8)="○",$E8=AB$3),"▼",""))</f>
        <v/>
      </c>
      <c r="AC8" s="31" t="str">
        <f aca="false">IF(OR($AN8=0,AC$3=""),"",IF(AND(INDEX(工程マスタ!$I:$I,$AN8)="○",$E8=AC$3),"▼",""))</f>
        <v/>
      </c>
      <c r="AD8" s="31" t="str">
        <f aca="false">IF(OR($AN8=0,AD$3=""),"",IF(AND(INDEX(工程マスタ!$I:$I,$AN8)="○",$E8=AD$3),"▼",""))</f>
        <v/>
      </c>
      <c r="AE8" s="31" t="str">
        <f aca="false">IF(OR($AN8=0,AE$3=""),"",IF(AND(INDEX(工程マスタ!$I:$I,$AN8)="○",$E8=AE$3),"▼",""))</f>
        <v/>
      </c>
      <c r="AF8" s="31" t="str">
        <f aca="false">IF(OR($AN8=0,AF$3=""),"",IF(AND(INDEX(工程マスタ!$I:$I,$AN8)="○",$E8=AF$3),"▼",""))</f>
        <v/>
      </c>
      <c r="AG8" s="31" t="str">
        <f aca="false">IF(OR($AN8=0,AG$3=""),"",IF(AND(INDEX(工程マスタ!$I:$I,$AN8)="○",$E8=AG$3),"▼",""))</f>
        <v/>
      </c>
      <c r="AH8" s="31" t="str">
        <f aca="false">IF(OR($AN8=0,AH$3=""),"",IF(AND(INDEX(工程マスタ!$I:$I,$AN8)="○",$E8=AH$3),"▼",""))</f>
        <v/>
      </c>
      <c r="AI8" s="31" t="str">
        <f aca="false">IF(OR($AN8=0,AI$3=""),"",IF(AND(INDEX(工程マスタ!$I:$I,$AN8)="○",$E8=AI$3),"▼",""))</f>
        <v/>
      </c>
      <c r="AJ8" s="31" t="str">
        <f aca="false">IF(OR($AN8=0,AJ$3=""),"",IF(AND(INDEX(工程マスタ!$I:$I,$AN8)="○",$E8=AJ$3),"▼",""))</f>
        <v/>
      </c>
      <c r="AK8" s="31" t="str">
        <f aca="false">IF(OR($AN8=0,AK$3=""),"",IF(AND(INDEX(工程マスタ!$I:$I,$AN8)="○",$E8=AK$3),"▼",""))</f>
        <v/>
      </c>
      <c r="AL8" s="31" t="str">
        <f aca="false">IF(OR($AN8=0,AL$3=""),"",IF(AND(INDEX(工程マスタ!$I:$I,$AN8)="○",$E8=AL$3),"▼",""))</f>
        <v/>
      </c>
      <c r="AN8" s="27" t="n">
        <f aca="false" t="array" ref="AN8:AN8">IFERROR(SMALL(IF((工程マスタ!$K$5:$K$154&gt;0)*(工程マスタ!$K$5:$K$154&lt;=$AN$2)*(工程マスタ!$L$5:$L$154&gt;=$AN$1),ROW(工程マスタ!$C$5:$C$154)),2),0)</f>
        <v>6</v>
      </c>
      <c r="AO8" s="32" t="n">
        <f aca="false">IF($AN8=0,0,INDEX(工程マスタ!$M:$M,$AN8))</f>
        <v>46207</v>
      </c>
    </row>
    <row r="9" customFormat="false" ht="15" hidden="false" customHeight="false" outlineLevel="0" collapsed="false">
      <c r="A9" s="28" t="n">
        <f aca="false">IF($AN9=0,"",IF(INDEX(工程マスタ!$A:$A,$AN9)="","",INDEX(工程マスタ!$A:$A,$AN9)))</f>
        <v>3</v>
      </c>
      <c r="B9" s="21" t="str">
        <f aca="false">IF($AN9=0,"",IF(INDEX(工程マスタ!$B:$B,$AN9)="","",INDEX(工程マスタ!$B:$B,$AN9)))</f>
        <v>仮設工事</v>
      </c>
      <c r="C9" s="21" t="str">
        <f aca="false">IF($AN9=0,"",IF(INDEX(工程マスタ!$C:$C,$AN9)="","",INDEX(工程マスタ!$C:$C,$AN9)))</f>
        <v>仮囲い・ゲート設置</v>
      </c>
      <c r="D9" s="21" t="str">
        <f aca="false">IF($AN9=0,"",IF(INDEX(工程マスタ!$D:$D,$AN9)="","",INDEX(工程マスタ!$D:$D,$AN9)))</f>
        <v>○○仮設工業</v>
      </c>
      <c r="E9" s="29" t="n">
        <f aca="false">IF($AN9=0,"",IF(INDEX(工程マスタ!$E:$E,$AN9)="","",INDEX(工程マスタ!$E:$E,$AN9)))</f>
        <v>46204</v>
      </c>
      <c r="F9" s="29" t="n">
        <f aca="false">IF($AN9=0,"",IF(INDEX(工程マスタ!$F:$F,$AN9)="","",INDEX(工程マスタ!$F:$F,$AN9)))</f>
        <v>46213</v>
      </c>
      <c r="G9" s="30" t="n">
        <f aca="false">IF($AN9=0,"",IF(INDEX(工程マスタ!$H:$H,$AN9)="","",INDEX(工程マスタ!$H:$H,$AN9)))</f>
        <v>1</v>
      </c>
      <c r="H9" s="31" t="str">
        <f aca="false">IF(OR($AN9=0,H$3=""),"",IF(AND(INDEX(工程マスタ!$I:$I,$AN9)="○",$E9=H$3),"▼",""))</f>
        <v/>
      </c>
      <c r="I9" s="31" t="str">
        <f aca="false">IF(OR($AN9=0,I$3=""),"",IF(AND(INDEX(工程マスタ!$I:$I,$AN9)="○",$E9=I$3),"▼",""))</f>
        <v/>
      </c>
      <c r="J9" s="31" t="str">
        <f aca="false">IF(OR($AN9=0,J$3=""),"",IF(AND(INDEX(工程マスタ!$I:$I,$AN9)="○",$E9=J$3),"▼",""))</f>
        <v/>
      </c>
      <c r="K9" s="31" t="str">
        <f aca="false">IF(OR($AN9=0,K$3=""),"",IF(AND(INDEX(工程マスタ!$I:$I,$AN9)="○",$E9=K$3),"▼",""))</f>
        <v/>
      </c>
      <c r="L9" s="31" t="str">
        <f aca="false">IF(OR($AN9=0,L$3=""),"",IF(AND(INDEX(工程マスタ!$I:$I,$AN9)="○",$E9=L$3),"▼",""))</f>
        <v/>
      </c>
      <c r="M9" s="31" t="str">
        <f aca="false">IF(OR($AN9=0,M$3=""),"",IF(AND(INDEX(工程マスタ!$I:$I,$AN9)="○",$E9=M$3),"▼",""))</f>
        <v/>
      </c>
      <c r="N9" s="31" t="str">
        <f aca="false">IF(OR($AN9=0,N$3=""),"",IF(AND(INDEX(工程マスタ!$I:$I,$AN9)="○",$E9=N$3),"▼",""))</f>
        <v/>
      </c>
      <c r="O9" s="31" t="str">
        <f aca="false">IF(OR($AN9=0,O$3=""),"",IF(AND(INDEX(工程マスタ!$I:$I,$AN9)="○",$E9=O$3),"▼",""))</f>
        <v/>
      </c>
      <c r="P9" s="31" t="str">
        <f aca="false">IF(OR($AN9=0,P$3=""),"",IF(AND(INDEX(工程マスタ!$I:$I,$AN9)="○",$E9=P$3),"▼",""))</f>
        <v/>
      </c>
      <c r="Q9" s="31" t="str">
        <f aca="false">IF(OR($AN9=0,Q$3=""),"",IF(AND(INDEX(工程マスタ!$I:$I,$AN9)="○",$E9=Q$3),"▼",""))</f>
        <v/>
      </c>
      <c r="R9" s="31" t="str">
        <f aca="false">IF(OR($AN9=0,R$3=""),"",IF(AND(INDEX(工程マスタ!$I:$I,$AN9)="○",$E9=R$3),"▼",""))</f>
        <v/>
      </c>
      <c r="S9" s="31" t="str">
        <f aca="false">IF(OR($AN9=0,S$3=""),"",IF(AND(INDEX(工程マスタ!$I:$I,$AN9)="○",$E9=S$3),"▼",""))</f>
        <v/>
      </c>
      <c r="T9" s="31" t="str">
        <f aca="false">IF(OR($AN9=0,T$3=""),"",IF(AND(INDEX(工程マスタ!$I:$I,$AN9)="○",$E9=T$3),"▼",""))</f>
        <v/>
      </c>
      <c r="U9" s="31" t="str">
        <f aca="false">IF(OR($AN9=0,U$3=""),"",IF(AND(INDEX(工程マスタ!$I:$I,$AN9)="○",$E9=U$3),"▼",""))</f>
        <v/>
      </c>
      <c r="V9" s="31" t="str">
        <f aca="false">IF(OR($AN9=0,V$3=""),"",IF(AND(INDEX(工程マスタ!$I:$I,$AN9)="○",$E9=V$3),"▼",""))</f>
        <v/>
      </c>
      <c r="W9" s="31" t="str">
        <f aca="false">IF(OR($AN9=0,W$3=""),"",IF(AND(INDEX(工程マスタ!$I:$I,$AN9)="○",$E9=W$3),"▼",""))</f>
        <v/>
      </c>
      <c r="X9" s="31" t="str">
        <f aca="false">IF(OR($AN9=0,X$3=""),"",IF(AND(INDEX(工程マスタ!$I:$I,$AN9)="○",$E9=X$3),"▼",""))</f>
        <v/>
      </c>
      <c r="Y9" s="31" t="str">
        <f aca="false">IF(OR($AN9=0,Y$3=""),"",IF(AND(INDEX(工程マスタ!$I:$I,$AN9)="○",$E9=Y$3),"▼",""))</f>
        <v/>
      </c>
      <c r="Z9" s="31" t="str">
        <f aca="false">IF(OR($AN9=0,Z$3=""),"",IF(AND(INDEX(工程マスタ!$I:$I,$AN9)="○",$E9=Z$3),"▼",""))</f>
        <v/>
      </c>
      <c r="AA9" s="31" t="str">
        <f aca="false">IF(OR($AN9=0,AA$3=""),"",IF(AND(INDEX(工程マスタ!$I:$I,$AN9)="○",$E9=AA$3),"▼",""))</f>
        <v/>
      </c>
      <c r="AB9" s="31" t="str">
        <f aca="false">IF(OR($AN9=0,AB$3=""),"",IF(AND(INDEX(工程マスタ!$I:$I,$AN9)="○",$E9=AB$3),"▼",""))</f>
        <v/>
      </c>
      <c r="AC9" s="31" t="str">
        <f aca="false">IF(OR($AN9=0,AC$3=""),"",IF(AND(INDEX(工程マスタ!$I:$I,$AN9)="○",$E9=AC$3),"▼",""))</f>
        <v/>
      </c>
      <c r="AD9" s="31" t="str">
        <f aca="false">IF(OR($AN9=0,AD$3=""),"",IF(AND(INDEX(工程マスタ!$I:$I,$AN9)="○",$E9=AD$3),"▼",""))</f>
        <v/>
      </c>
      <c r="AE9" s="31" t="str">
        <f aca="false">IF(OR($AN9=0,AE$3=""),"",IF(AND(INDEX(工程マスタ!$I:$I,$AN9)="○",$E9=AE$3),"▼",""))</f>
        <v/>
      </c>
      <c r="AF9" s="31" t="str">
        <f aca="false">IF(OR($AN9=0,AF$3=""),"",IF(AND(INDEX(工程マスタ!$I:$I,$AN9)="○",$E9=AF$3),"▼",""))</f>
        <v/>
      </c>
      <c r="AG9" s="31" t="str">
        <f aca="false">IF(OR($AN9=0,AG$3=""),"",IF(AND(INDEX(工程マスタ!$I:$I,$AN9)="○",$E9=AG$3),"▼",""))</f>
        <v/>
      </c>
      <c r="AH9" s="31" t="str">
        <f aca="false">IF(OR($AN9=0,AH$3=""),"",IF(AND(INDEX(工程マスタ!$I:$I,$AN9)="○",$E9=AH$3),"▼",""))</f>
        <v/>
      </c>
      <c r="AI9" s="31" t="str">
        <f aca="false">IF(OR($AN9=0,AI$3=""),"",IF(AND(INDEX(工程マスタ!$I:$I,$AN9)="○",$E9=AI$3),"▼",""))</f>
        <v/>
      </c>
      <c r="AJ9" s="31" t="str">
        <f aca="false">IF(OR($AN9=0,AJ$3=""),"",IF(AND(INDEX(工程マスタ!$I:$I,$AN9)="○",$E9=AJ$3),"▼",""))</f>
        <v/>
      </c>
      <c r="AK9" s="31" t="str">
        <f aca="false">IF(OR($AN9=0,AK$3=""),"",IF(AND(INDEX(工程マスタ!$I:$I,$AN9)="○",$E9=AK$3),"▼",""))</f>
        <v/>
      </c>
      <c r="AL9" s="31" t="str">
        <f aca="false">IF(OR($AN9=0,AL$3=""),"",IF(AND(INDEX(工程マスタ!$I:$I,$AN9)="○",$E9=AL$3),"▼",""))</f>
        <v/>
      </c>
      <c r="AN9" s="27" t="n">
        <f aca="false" t="array" ref="AN9:AN9">IFERROR(SMALL(IF((工程マスタ!$K$5:$K$154&gt;0)*(工程マスタ!$K$5:$K$154&lt;=$AN$2)*(工程マスタ!$L$5:$L$154&gt;=$AN$1),ROW(工程マスタ!$C$5:$C$154)),3),0)</f>
        <v>7</v>
      </c>
      <c r="AO9" s="27" t="n">
        <f aca="false">IF($AN9=0,0,INDEX(工程マスタ!$M:$M,$AN9))</f>
        <v>46214</v>
      </c>
    </row>
    <row r="10" customFormat="false" ht="15" hidden="false" customHeight="false" outlineLevel="0" collapsed="false">
      <c r="A10" s="28" t="n">
        <f aca="false">IF($AN10=0,"",IF(INDEX(工程マスタ!$A:$A,$AN10)="","",INDEX(工程マスタ!$A:$A,$AN10)))</f>
        <v>4</v>
      </c>
      <c r="B10" s="21" t="str">
        <f aca="false">IF($AN10=0,"",IF(INDEX(工程マスタ!$B:$B,$AN10)="","",INDEX(工程マスタ!$B:$B,$AN10)))</f>
        <v>仮設工事</v>
      </c>
      <c r="C10" s="21" t="str">
        <f aca="false">IF($AN10=0,"",IF(INDEX(工程マスタ!$C:$C,$AN10)="","",INDEX(工程マスタ!$C:$C,$AN10)))</f>
        <v>現場事務所・休憩所設置</v>
      </c>
      <c r="D10" s="21" t="str">
        <f aca="false">IF($AN10=0,"",IF(INDEX(工程マスタ!$D:$D,$AN10)="","",INDEX(工程マスタ!$D:$D,$AN10)))</f>
        <v>○○仮設工業</v>
      </c>
      <c r="E10" s="29" t="n">
        <f aca="false">IF($AN10=0,"",IF(INDEX(工程マスタ!$E:$E,$AN10)="","",INDEX(工程マスタ!$E:$E,$AN10)))</f>
        <v>46209</v>
      </c>
      <c r="F10" s="29" t="n">
        <f aca="false">IF($AN10=0,"",IF(INDEX(工程マスタ!$F:$F,$AN10)="","",INDEX(工程マスタ!$F:$F,$AN10)))</f>
        <v>46218</v>
      </c>
      <c r="G10" s="30" t="n">
        <f aca="false">IF($AN10=0,"",IF(INDEX(工程マスタ!$H:$H,$AN10)="","",INDEX(工程マスタ!$H:$H,$AN10)))</f>
        <v>1</v>
      </c>
      <c r="H10" s="31" t="str">
        <f aca="false">IF(OR($AN10=0,H$3=""),"",IF(AND(INDEX(工程マスタ!$I:$I,$AN10)="○",$E10=H$3),"▼",""))</f>
        <v/>
      </c>
      <c r="I10" s="31" t="str">
        <f aca="false">IF(OR($AN10=0,I$3=""),"",IF(AND(INDEX(工程マスタ!$I:$I,$AN10)="○",$E10=I$3),"▼",""))</f>
        <v/>
      </c>
      <c r="J10" s="31" t="str">
        <f aca="false">IF(OR($AN10=0,J$3=""),"",IF(AND(INDEX(工程マスタ!$I:$I,$AN10)="○",$E10=J$3),"▼",""))</f>
        <v/>
      </c>
      <c r="K10" s="31" t="str">
        <f aca="false">IF(OR($AN10=0,K$3=""),"",IF(AND(INDEX(工程マスタ!$I:$I,$AN10)="○",$E10=K$3),"▼",""))</f>
        <v/>
      </c>
      <c r="L10" s="31" t="str">
        <f aca="false">IF(OR($AN10=0,L$3=""),"",IF(AND(INDEX(工程マスタ!$I:$I,$AN10)="○",$E10=L$3),"▼",""))</f>
        <v/>
      </c>
      <c r="M10" s="31" t="str">
        <f aca="false">IF(OR($AN10=0,M$3=""),"",IF(AND(INDEX(工程マスタ!$I:$I,$AN10)="○",$E10=M$3),"▼",""))</f>
        <v/>
      </c>
      <c r="N10" s="31" t="str">
        <f aca="false">IF(OR($AN10=0,N$3=""),"",IF(AND(INDEX(工程マスタ!$I:$I,$AN10)="○",$E10=N$3),"▼",""))</f>
        <v/>
      </c>
      <c r="O10" s="31" t="str">
        <f aca="false">IF(OR($AN10=0,O$3=""),"",IF(AND(INDEX(工程マスタ!$I:$I,$AN10)="○",$E10=O$3),"▼",""))</f>
        <v/>
      </c>
      <c r="P10" s="31" t="str">
        <f aca="false">IF(OR($AN10=0,P$3=""),"",IF(AND(INDEX(工程マスタ!$I:$I,$AN10)="○",$E10=P$3),"▼",""))</f>
        <v/>
      </c>
      <c r="Q10" s="31" t="str">
        <f aca="false">IF(OR($AN10=0,Q$3=""),"",IF(AND(INDEX(工程マスタ!$I:$I,$AN10)="○",$E10=Q$3),"▼",""))</f>
        <v/>
      </c>
      <c r="R10" s="31" t="str">
        <f aca="false">IF(OR($AN10=0,R$3=""),"",IF(AND(INDEX(工程マスタ!$I:$I,$AN10)="○",$E10=R$3),"▼",""))</f>
        <v/>
      </c>
      <c r="S10" s="31" t="str">
        <f aca="false">IF(OR($AN10=0,S$3=""),"",IF(AND(INDEX(工程マスタ!$I:$I,$AN10)="○",$E10=S$3),"▼",""))</f>
        <v/>
      </c>
      <c r="T10" s="31" t="str">
        <f aca="false">IF(OR($AN10=0,T$3=""),"",IF(AND(INDEX(工程マスタ!$I:$I,$AN10)="○",$E10=T$3),"▼",""))</f>
        <v/>
      </c>
      <c r="U10" s="31" t="str">
        <f aca="false">IF(OR($AN10=0,U$3=""),"",IF(AND(INDEX(工程マスタ!$I:$I,$AN10)="○",$E10=U$3),"▼",""))</f>
        <v/>
      </c>
      <c r="V10" s="31" t="str">
        <f aca="false">IF(OR($AN10=0,V$3=""),"",IF(AND(INDEX(工程マスタ!$I:$I,$AN10)="○",$E10=V$3),"▼",""))</f>
        <v/>
      </c>
      <c r="W10" s="31" t="str">
        <f aca="false">IF(OR($AN10=0,W$3=""),"",IF(AND(INDEX(工程マスタ!$I:$I,$AN10)="○",$E10=W$3),"▼",""))</f>
        <v/>
      </c>
      <c r="X10" s="31" t="str">
        <f aca="false">IF(OR($AN10=0,X$3=""),"",IF(AND(INDEX(工程マスタ!$I:$I,$AN10)="○",$E10=X$3),"▼",""))</f>
        <v/>
      </c>
      <c r="Y10" s="31" t="str">
        <f aca="false">IF(OR($AN10=0,Y$3=""),"",IF(AND(INDEX(工程マスタ!$I:$I,$AN10)="○",$E10=Y$3),"▼",""))</f>
        <v/>
      </c>
      <c r="Z10" s="31" t="str">
        <f aca="false">IF(OR($AN10=0,Z$3=""),"",IF(AND(INDEX(工程マスタ!$I:$I,$AN10)="○",$E10=Z$3),"▼",""))</f>
        <v/>
      </c>
      <c r="AA10" s="31" t="str">
        <f aca="false">IF(OR($AN10=0,AA$3=""),"",IF(AND(INDEX(工程マスタ!$I:$I,$AN10)="○",$E10=AA$3),"▼",""))</f>
        <v/>
      </c>
      <c r="AB10" s="31" t="str">
        <f aca="false">IF(OR($AN10=0,AB$3=""),"",IF(AND(INDEX(工程マスタ!$I:$I,$AN10)="○",$E10=AB$3),"▼",""))</f>
        <v/>
      </c>
      <c r="AC10" s="31" t="str">
        <f aca="false">IF(OR($AN10=0,AC$3=""),"",IF(AND(INDEX(工程マスタ!$I:$I,$AN10)="○",$E10=AC$3),"▼",""))</f>
        <v/>
      </c>
      <c r="AD10" s="31" t="str">
        <f aca="false">IF(OR($AN10=0,AD$3=""),"",IF(AND(INDEX(工程マスタ!$I:$I,$AN10)="○",$E10=AD$3),"▼",""))</f>
        <v/>
      </c>
      <c r="AE10" s="31" t="str">
        <f aca="false">IF(OR($AN10=0,AE$3=""),"",IF(AND(INDEX(工程マスタ!$I:$I,$AN10)="○",$E10=AE$3),"▼",""))</f>
        <v/>
      </c>
      <c r="AF10" s="31" t="str">
        <f aca="false">IF(OR($AN10=0,AF$3=""),"",IF(AND(INDEX(工程マスタ!$I:$I,$AN10)="○",$E10=AF$3),"▼",""))</f>
        <v/>
      </c>
      <c r="AG10" s="31" t="str">
        <f aca="false">IF(OR($AN10=0,AG$3=""),"",IF(AND(INDEX(工程マスタ!$I:$I,$AN10)="○",$E10=AG$3),"▼",""))</f>
        <v/>
      </c>
      <c r="AH10" s="31" t="str">
        <f aca="false">IF(OR($AN10=0,AH$3=""),"",IF(AND(INDEX(工程マスタ!$I:$I,$AN10)="○",$E10=AH$3),"▼",""))</f>
        <v/>
      </c>
      <c r="AI10" s="31" t="str">
        <f aca="false">IF(OR($AN10=0,AI$3=""),"",IF(AND(INDEX(工程マスタ!$I:$I,$AN10)="○",$E10=AI$3),"▼",""))</f>
        <v/>
      </c>
      <c r="AJ10" s="31" t="str">
        <f aca="false">IF(OR($AN10=0,AJ$3=""),"",IF(AND(INDEX(工程マスタ!$I:$I,$AN10)="○",$E10=AJ$3),"▼",""))</f>
        <v/>
      </c>
      <c r="AK10" s="31" t="str">
        <f aca="false">IF(OR($AN10=0,AK$3=""),"",IF(AND(INDEX(工程マスタ!$I:$I,$AN10)="○",$E10=AK$3),"▼",""))</f>
        <v/>
      </c>
      <c r="AL10" s="31" t="str">
        <f aca="false">IF(OR($AN10=0,AL$3=""),"",IF(AND(INDEX(工程マスタ!$I:$I,$AN10)="○",$E10=AL$3),"▼",""))</f>
        <v/>
      </c>
      <c r="AN10" s="27" t="n">
        <f aca="false" t="array" ref="AN10:AN10">IFERROR(SMALL(IF((工程マスタ!$K$5:$K$154&gt;0)*(工程マスタ!$K$5:$K$154&lt;=$AN$2)*(工程マスタ!$L$5:$L$154&gt;=$AN$1),ROW(工程マスタ!$C$5:$C$154)),4),0)</f>
        <v>8</v>
      </c>
      <c r="AO10" s="27" t="n">
        <f aca="false">IF($AN10=0,0,INDEX(工程マスタ!$M:$M,$AN10))</f>
        <v>46219</v>
      </c>
    </row>
    <row r="11" customFormat="false" ht="15" hidden="false" customHeight="false" outlineLevel="0" collapsed="false">
      <c r="A11" s="28" t="n">
        <f aca="false">IF($AN11=0,"",IF(INDEX(工程マスタ!$A:$A,$AN11)="","",INDEX(工程マスタ!$A:$A,$AN11)))</f>
        <v>5</v>
      </c>
      <c r="B11" s="21" t="str">
        <f aca="false">IF($AN11=0,"",IF(INDEX(工程マスタ!$B:$B,$AN11)="","",INDEX(工程マスタ!$B:$B,$AN11)))</f>
        <v>仮設工事</v>
      </c>
      <c r="C11" s="21" t="str">
        <f aca="false">IF($AN11=0,"",IF(INDEX(工程マスタ!$C:$C,$AN11)="","",INDEX(工程マスタ!$C:$C,$AN11)))</f>
        <v>仮設電気・給排水引込み</v>
      </c>
      <c r="D11" s="21" t="str">
        <f aca="false">IF($AN11=0,"",IF(INDEX(工程マスタ!$D:$D,$AN11)="","",INDEX(工程マスタ!$D:$D,$AN11)))</f>
        <v>△△電設</v>
      </c>
      <c r="E11" s="29" t="n">
        <f aca="false">IF($AN11=0,"",IF(INDEX(工程マスタ!$E:$E,$AN11)="","",INDEX(工程マスタ!$E:$E,$AN11)))</f>
        <v>46216</v>
      </c>
      <c r="F11" s="29" t="n">
        <f aca="false">IF($AN11=0,"",IF(INDEX(工程マスタ!$F:$F,$AN11)="","",INDEX(工程マスタ!$F:$F,$AN11)))</f>
        <v>46225</v>
      </c>
      <c r="G11" s="30" t="n">
        <f aca="false">IF($AN11=0,"",IF(INDEX(工程マスタ!$H:$H,$AN11)="","",INDEX(工程マスタ!$H:$H,$AN11)))</f>
        <v>0.6</v>
      </c>
      <c r="H11" s="31" t="str">
        <f aca="false">IF(OR($AN11=0,H$3=""),"",IF(AND(INDEX(工程マスタ!$I:$I,$AN11)="○",$E11=H$3),"▼",""))</f>
        <v/>
      </c>
      <c r="I11" s="31" t="str">
        <f aca="false">IF(OR($AN11=0,I$3=""),"",IF(AND(INDEX(工程マスタ!$I:$I,$AN11)="○",$E11=I$3),"▼",""))</f>
        <v/>
      </c>
      <c r="J11" s="31" t="str">
        <f aca="false">IF(OR($AN11=0,J$3=""),"",IF(AND(INDEX(工程マスタ!$I:$I,$AN11)="○",$E11=J$3),"▼",""))</f>
        <v/>
      </c>
      <c r="K11" s="31" t="str">
        <f aca="false">IF(OR($AN11=0,K$3=""),"",IF(AND(INDEX(工程マスタ!$I:$I,$AN11)="○",$E11=K$3),"▼",""))</f>
        <v/>
      </c>
      <c r="L11" s="31" t="str">
        <f aca="false">IF(OR($AN11=0,L$3=""),"",IF(AND(INDEX(工程マスタ!$I:$I,$AN11)="○",$E11=L$3),"▼",""))</f>
        <v/>
      </c>
      <c r="M11" s="31" t="str">
        <f aca="false">IF(OR($AN11=0,M$3=""),"",IF(AND(INDEX(工程マスタ!$I:$I,$AN11)="○",$E11=M$3),"▼",""))</f>
        <v/>
      </c>
      <c r="N11" s="31" t="str">
        <f aca="false">IF(OR($AN11=0,N$3=""),"",IF(AND(INDEX(工程マスタ!$I:$I,$AN11)="○",$E11=N$3),"▼",""))</f>
        <v/>
      </c>
      <c r="O11" s="31" t="str">
        <f aca="false">IF(OR($AN11=0,O$3=""),"",IF(AND(INDEX(工程マスタ!$I:$I,$AN11)="○",$E11=O$3),"▼",""))</f>
        <v/>
      </c>
      <c r="P11" s="31" t="str">
        <f aca="false">IF(OR($AN11=0,P$3=""),"",IF(AND(INDEX(工程マスタ!$I:$I,$AN11)="○",$E11=P$3),"▼",""))</f>
        <v/>
      </c>
      <c r="Q11" s="31" t="str">
        <f aca="false">IF(OR($AN11=0,Q$3=""),"",IF(AND(INDEX(工程マスタ!$I:$I,$AN11)="○",$E11=Q$3),"▼",""))</f>
        <v/>
      </c>
      <c r="R11" s="31" t="str">
        <f aca="false">IF(OR($AN11=0,R$3=""),"",IF(AND(INDEX(工程マスタ!$I:$I,$AN11)="○",$E11=R$3),"▼",""))</f>
        <v/>
      </c>
      <c r="S11" s="31" t="str">
        <f aca="false">IF(OR($AN11=0,S$3=""),"",IF(AND(INDEX(工程マスタ!$I:$I,$AN11)="○",$E11=S$3),"▼",""))</f>
        <v/>
      </c>
      <c r="T11" s="31" t="str">
        <f aca="false">IF(OR($AN11=0,T$3=""),"",IF(AND(INDEX(工程マスタ!$I:$I,$AN11)="○",$E11=T$3),"▼",""))</f>
        <v/>
      </c>
      <c r="U11" s="31" t="str">
        <f aca="false">IF(OR($AN11=0,U$3=""),"",IF(AND(INDEX(工程マスタ!$I:$I,$AN11)="○",$E11=U$3),"▼",""))</f>
        <v/>
      </c>
      <c r="V11" s="31" t="str">
        <f aca="false">IF(OR($AN11=0,V$3=""),"",IF(AND(INDEX(工程マスタ!$I:$I,$AN11)="○",$E11=V$3),"▼",""))</f>
        <v/>
      </c>
      <c r="W11" s="31" t="str">
        <f aca="false">IF(OR($AN11=0,W$3=""),"",IF(AND(INDEX(工程マスタ!$I:$I,$AN11)="○",$E11=W$3),"▼",""))</f>
        <v/>
      </c>
      <c r="X11" s="31" t="str">
        <f aca="false">IF(OR($AN11=0,X$3=""),"",IF(AND(INDEX(工程マスタ!$I:$I,$AN11)="○",$E11=X$3),"▼",""))</f>
        <v/>
      </c>
      <c r="Y11" s="31" t="str">
        <f aca="false">IF(OR($AN11=0,Y$3=""),"",IF(AND(INDEX(工程マスタ!$I:$I,$AN11)="○",$E11=Y$3),"▼",""))</f>
        <v/>
      </c>
      <c r="Z11" s="31" t="str">
        <f aca="false">IF(OR($AN11=0,Z$3=""),"",IF(AND(INDEX(工程マスタ!$I:$I,$AN11)="○",$E11=Z$3),"▼",""))</f>
        <v/>
      </c>
      <c r="AA11" s="31" t="str">
        <f aca="false">IF(OR($AN11=0,AA$3=""),"",IF(AND(INDEX(工程マスタ!$I:$I,$AN11)="○",$E11=AA$3),"▼",""))</f>
        <v/>
      </c>
      <c r="AB11" s="31" t="str">
        <f aca="false">IF(OR($AN11=0,AB$3=""),"",IF(AND(INDEX(工程マスタ!$I:$I,$AN11)="○",$E11=AB$3),"▼",""))</f>
        <v/>
      </c>
      <c r="AC11" s="31" t="str">
        <f aca="false">IF(OR($AN11=0,AC$3=""),"",IF(AND(INDEX(工程マスタ!$I:$I,$AN11)="○",$E11=AC$3),"▼",""))</f>
        <v/>
      </c>
      <c r="AD11" s="31" t="str">
        <f aca="false">IF(OR($AN11=0,AD$3=""),"",IF(AND(INDEX(工程マスタ!$I:$I,$AN11)="○",$E11=AD$3),"▼",""))</f>
        <v/>
      </c>
      <c r="AE11" s="31" t="str">
        <f aca="false">IF(OR($AN11=0,AE$3=""),"",IF(AND(INDEX(工程マスタ!$I:$I,$AN11)="○",$E11=AE$3),"▼",""))</f>
        <v/>
      </c>
      <c r="AF11" s="31" t="str">
        <f aca="false">IF(OR($AN11=0,AF$3=""),"",IF(AND(INDEX(工程マスタ!$I:$I,$AN11)="○",$E11=AF$3),"▼",""))</f>
        <v/>
      </c>
      <c r="AG11" s="31" t="str">
        <f aca="false">IF(OR($AN11=0,AG$3=""),"",IF(AND(INDEX(工程マスタ!$I:$I,$AN11)="○",$E11=AG$3),"▼",""))</f>
        <v/>
      </c>
      <c r="AH11" s="31" t="str">
        <f aca="false">IF(OR($AN11=0,AH$3=""),"",IF(AND(INDEX(工程マスタ!$I:$I,$AN11)="○",$E11=AH$3),"▼",""))</f>
        <v/>
      </c>
      <c r="AI11" s="31" t="str">
        <f aca="false">IF(OR($AN11=0,AI$3=""),"",IF(AND(INDEX(工程マスタ!$I:$I,$AN11)="○",$E11=AI$3),"▼",""))</f>
        <v/>
      </c>
      <c r="AJ11" s="31" t="str">
        <f aca="false">IF(OR($AN11=0,AJ$3=""),"",IF(AND(INDEX(工程マスタ!$I:$I,$AN11)="○",$E11=AJ$3),"▼",""))</f>
        <v/>
      </c>
      <c r="AK11" s="31" t="str">
        <f aca="false">IF(OR($AN11=0,AK$3=""),"",IF(AND(INDEX(工程マスタ!$I:$I,$AN11)="○",$E11=AK$3),"▼",""))</f>
        <v/>
      </c>
      <c r="AL11" s="31" t="str">
        <f aca="false">IF(OR($AN11=0,AL$3=""),"",IF(AND(INDEX(工程マスタ!$I:$I,$AN11)="○",$E11=AL$3),"▼",""))</f>
        <v/>
      </c>
      <c r="AN11" s="27" t="n">
        <f aca="false" t="array" ref="AN11:AN11">IFERROR(SMALL(IF((工程マスタ!$K$5:$K$154&gt;0)*(工程マスタ!$K$5:$K$154&lt;=$AN$2)*(工程マスタ!$L$5:$L$154&gt;=$AN$1),ROW(工程マスタ!$C$5:$C$154)),5),0)</f>
        <v>9</v>
      </c>
      <c r="AO11" s="27" t="n">
        <f aca="false">IF($AN11=0,0,INDEX(工程マスタ!$M:$M,$AN11))</f>
        <v>46222</v>
      </c>
    </row>
    <row r="12" customFormat="false" ht="15" hidden="false" customHeight="false" outlineLevel="0" collapsed="false">
      <c r="A12" s="28" t="n">
        <f aca="false">IF($AN12=0,"",IF(INDEX(工程マスタ!$A:$A,$AN12)="","",INDEX(工程マスタ!$A:$A,$AN12)))</f>
        <v>6</v>
      </c>
      <c r="B12" s="21" t="str">
        <f aca="false">IF($AN12=0,"",IF(INDEX(工程マスタ!$B:$B,$AN12)="","",INDEX(工程マスタ!$B:$B,$AN12)))</f>
        <v>地業基礎工事</v>
      </c>
      <c r="C12" s="21" t="str">
        <f aca="false">IF($AN12=0,"",IF(INDEX(工程マスタ!$C:$C,$AN12)="","",INDEX(工程マスタ!$C:$C,$AN12)))</f>
        <v>杭工事</v>
      </c>
      <c r="D12" s="21" t="str">
        <f aca="false">IF($AN12=0,"",IF(INDEX(工程マスタ!$D:$D,$AN12)="","",INDEX(工程マスタ!$D:$D,$AN12)))</f>
        <v>□□基礎工業</v>
      </c>
      <c r="E12" s="29" t="n">
        <f aca="false">IF($AN12=0,"",IF(INDEX(工程マスタ!$E:$E,$AN12)="","",INDEX(工程マスタ!$E:$E,$AN12)))</f>
        <v>46216</v>
      </c>
      <c r="F12" s="29" t="n">
        <f aca="false">IF($AN12=0,"",IF(INDEX(工程マスタ!$F:$F,$AN12)="","",INDEX(工程マスタ!$F:$F,$AN12)))</f>
        <v>46234</v>
      </c>
      <c r="G12" s="30" t="n">
        <f aca="false">IF($AN12=0,"",IF(INDEX(工程マスタ!$H:$H,$AN12)="","",INDEX(工程マスタ!$H:$H,$AN12)))</f>
        <v>0.35</v>
      </c>
      <c r="H12" s="31" t="str">
        <f aca="false">IF(OR($AN12=0,H$3=""),"",IF(AND(INDEX(工程マスタ!$I:$I,$AN12)="○",$E12=H$3),"▼",""))</f>
        <v/>
      </c>
      <c r="I12" s="31" t="str">
        <f aca="false">IF(OR($AN12=0,I$3=""),"",IF(AND(INDEX(工程マスタ!$I:$I,$AN12)="○",$E12=I$3),"▼",""))</f>
        <v/>
      </c>
      <c r="J12" s="31" t="str">
        <f aca="false">IF(OR($AN12=0,J$3=""),"",IF(AND(INDEX(工程マスタ!$I:$I,$AN12)="○",$E12=J$3),"▼",""))</f>
        <v/>
      </c>
      <c r="K12" s="31" t="str">
        <f aca="false">IF(OR($AN12=0,K$3=""),"",IF(AND(INDEX(工程マスタ!$I:$I,$AN12)="○",$E12=K$3),"▼",""))</f>
        <v/>
      </c>
      <c r="L12" s="31" t="str">
        <f aca="false">IF(OR($AN12=0,L$3=""),"",IF(AND(INDEX(工程マスタ!$I:$I,$AN12)="○",$E12=L$3),"▼",""))</f>
        <v/>
      </c>
      <c r="M12" s="31" t="str">
        <f aca="false">IF(OR($AN12=0,M$3=""),"",IF(AND(INDEX(工程マスタ!$I:$I,$AN12)="○",$E12=M$3),"▼",""))</f>
        <v/>
      </c>
      <c r="N12" s="31" t="str">
        <f aca="false">IF(OR($AN12=0,N$3=""),"",IF(AND(INDEX(工程マスタ!$I:$I,$AN12)="○",$E12=N$3),"▼",""))</f>
        <v/>
      </c>
      <c r="O12" s="31" t="str">
        <f aca="false">IF(OR($AN12=0,O$3=""),"",IF(AND(INDEX(工程マスタ!$I:$I,$AN12)="○",$E12=O$3),"▼",""))</f>
        <v/>
      </c>
      <c r="P12" s="31" t="str">
        <f aca="false">IF(OR($AN12=0,P$3=""),"",IF(AND(INDEX(工程マスタ!$I:$I,$AN12)="○",$E12=P$3),"▼",""))</f>
        <v/>
      </c>
      <c r="Q12" s="31" t="str">
        <f aca="false">IF(OR($AN12=0,Q$3=""),"",IF(AND(INDEX(工程マスタ!$I:$I,$AN12)="○",$E12=Q$3),"▼",""))</f>
        <v/>
      </c>
      <c r="R12" s="31" t="str">
        <f aca="false">IF(OR($AN12=0,R$3=""),"",IF(AND(INDEX(工程マスタ!$I:$I,$AN12)="○",$E12=R$3),"▼",""))</f>
        <v/>
      </c>
      <c r="S12" s="31" t="str">
        <f aca="false">IF(OR($AN12=0,S$3=""),"",IF(AND(INDEX(工程マスタ!$I:$I,$AN12)="○",$E12=S$3),"▼",""))</f>
        <v/>
      </c>
      <c r="T12" s="31" t="str">
        <f aca="false">IF(OR($AN12=0,T$3=""),"",IF(AND(INDEX(工程マスタ!$I:$I,$AN12)="○",$E12=T$3),"▼",""))</f>
        <v/>
      </c>
      <c r="U12" s="31" t="str">
        <f aca="false">IF(OR($AN12=0,U$3=""),"",IF(AND(INDEX(工程マスタ!$I:$I,$AN12)="○",$E12=U$3),"▼",""))</f>
        <v/>
      </c>
      <c r="V12" s="31" t="str">
        <f aca="false">IF(OR($AN12=0,V$3=""),"",IF(AND(INDEX(工程マスタ!$I:$I,$AN12)="○",$E12=V$3),"▼",""))</f>
        <v/>
      </c>
      <c r="W12" s="31" t="str">
        <f aca="false">IF(OR($AN12=0,W$3=""),"",IF(AND(INDEX(工程マスタ!$I:$I,$AN12)="○",$E12=W$3),"▼",""))</f>
        <v/>
      </c>
      <c r="X12" s="31" t="str">
        <f aca="false">IF(OR($AN12=0,X$3=""),"",IF(AND(INDEX(工程マスタ!$I:$I,$AN12)="○",$E12=X$3),"▼",""))</f>
        <v/>
      </c>
      <c r="Y12" s="31" t="str">
        <f aca="false">IF(OR($AN12=0,Y$3=""),"",IF(AND(INDEX(工程マスタ!$I:$I,$AN12)="○",$E12=Y$3),"▼",""))</f>
        <v/>
      </c>
      <c r="Z12" s="31" t="str">
        <f aca="false">IF(OR($AN12=0,Z$3=""),"",IF(AND(INDEX(工程マスタ!$I:$I,$AN12)="○",$E12=Z$3),"▼",""))</f>
        <v/>
      </c>
      <c r="AA12" s="31" t="str">
        <f aca="false">IF(OR($AN12=0,AA$3=""),"",IF(AND(INDEX(工程マスタ!$I:$I,$AN12)="○",$E12=AA$3),"▼",""))</f>
        <v/>
      </c>
      <c r="AB12" s="31" t="str">
        <f aca="false">IF(OR($AN12=0,AB$3=""),"",IF(AND(INDEX(工程マスタ!$I:$I,$AN12)="○",$E12=AB$3),"▼",""))</f>
        <v/>
      </c>
      <c r="AC12" s="31" t="str">
        <f aca="false">IF(OR($AN12=0,AC$3=""),"",IF(AND(INDEX(工程マスタ!$I:$I,$AN12)="○",$E12=AC$3),"▼",""))</f>
        <v/>
      </c>
      <c r="AD12" s="31" t="str">
        <f aca="false">IF(OR($AN12=0,AD$3=""),"",IF(AND(INDEX(工程マスタ!$I:$I,$AN12)="○",$E12=AD$3),"▼",""))</f>
        <v/>
      </c>
      <c r="AE12" s="31" t="str">
        <f aca="false">IF(OR($AN12=0,AE$3=""),"",IF(AND(INDEX(工程マスタ!$I:$I,$AN12)="○",$E12=AE$3),"▼",""))</f>
        <v/>
      </c>
      <c r="AF12" s="31" t="str">
        <f aca="false">IF(OR($AN12=0,AF$3=""),"",IF(AND(INDEX(工程マスタ!$I:$I,$AN12)="○",$E12=AF$3),"▼",""))</f>
        <v/>
      </c>
      <c r="AG12" s="31" t="str">
        <f aca="false">IF(OR($AN12=0,AG$3=""),"",IF(AND(INDEX(工程マスタ!$I:$I,$AN12)="○",$E12=AG$3),"▼",""))</f>
        <v/>
      </c>
      <c r="AH12" s="31" t="str">
        <f aca="false">IF(OR($AN12=0,AH$3=""),"",IF(AND(INDEX(工程マスタ!$I:$I,$AN12)="○",$E12=AH$3),"▼",""))</f>
        <v/>
      </c>
      <c r="AI12" s="31" t="str">
        <f aca="false">IF(OR($AN12=0,AI$3=""),"",IF(AND(INDEX(工程マスタ!$I:$I,$AN12)="○",$E12=AI$3),"▼",""))</f>
        <v/>
      </c>
      <c r="AJ12" s="31" t="str">
        <f aca="false">IF(OR($AN12=0,AJ$3=""),"",IF(AND(INDEX(工程マスタ!$I:$I,$AN12)="○",$E12=AJ$3),"▼",""))</f>
        <v/>
      </c>
      <c r="AK12" s="31" t="str">
        <f aca="false">IF(OR($AN12=0,AK$3=""),"",IF(AND(INDEX(工程マスタ!$I:$I,$AN12)="○",$E12=AK$3),"▼",""))</f>
        <v/>
      </c>
      <c r="AL12" s="31" t="str">
        <f aca="false">IF(OR($AN12=0,AL$3=""),"",IF(AND(INDEX(工程マスタ!$I:$I,$AN12)="○",$E12=AL$3),"▼",""))</f>
        <v/>
      </c>
      <c r="AN12" s="27" t="n">
        <f aca="false" t="array" ref="AN12:AN12">IFERROR(SMALL(IF((工程マスタ!$K$5:$K$154&gt;0)*(工程マスタ!$K$5:$K$154&lt;=$AN$2)*(工程マスタ!$L$5:$L$154&gt;=$AN$1),ROW(工程マスタ!$C$5:$C$154)),6),0)</f>
        <v>10</v>
      </c>
      <c r="AO12" s="27" t="n">
        <f aca="false">IF($AN12=0,0,INDEX(工程マスタ!$M:$M,$AN12))</f>
        <v>46222.65</v>
      </c>
    </row>
    <row r="13" customFormat="false" ht="15" hidden="false" customHeight="false" outlineLevel="0" collapsed="false">
      <c r="A13" s="28" t="n">
        <f aca="false">IF($AN13=0,"",IF(INDEX(工程マスタ!$A:$A,$AN13)="","",INDEX(工程マスタ!$A:$A,$AN13)))</f>
        <v>7</v>
      </c>
      <c r="B13" s="21" t="str">
        <f aca="false">IF($AN13=0,"",IF(INDEX(工程マスタ!$B:$B,$AN13)="","",INDEX(工程マスタ!$B:$B,$AN13)))</f>
        <v>土工事・山留</v>
      </c>
      <c r="C13" s="21" t="str">
        <f aca="false">IF($AN13=0,"",IF(INDEX(工程マスタ!$C:$C,$AN13)="","",INDEX(工程マスタ!$C:$C,$AN13)))</f>
        <v>山留工事</v>
      </c>
      <c r="D13" s="21" t="str">
        <f aca="false">IF($AN13=0,"",IF(INDEX(工程マスタ!$D:$D,$AN13)="","",INDEX(工程マスタ!$D:$D,$AN13)))</f>
        <v>▲▲土木</v>
      </c>
      <c r="E13" s="29" t="n">
        <f aca="false">IF($AN13=0,"",IF(INDEX(工程マスタ!$E:$E,$AN13)="","",INDEX(工程マスタ!$E:$E,$AN13)))</f>
        <v>46230</v>
      </c>
      <c r="F13" s="29" t="n">
        <f aca="false">IF($AN13=0,"",IF(INDEX(工程マスタ!$F:$F,$AN13)="","",INDEX(工程マスタ!$F:$F,$AN13)))</f>
        <v>46242</v>
      </c>
      <c r="G13" s="30" t="n">
        <f aca="false">IF($AN13=0,"",IF(INDEX(工程マスタ!$H:$H,$AN13)="","",INDEX(工程マスタ!$H:$H,$AN13)))</f>
        <v>0</v>
      </c>
      <c r="H13" s="31" t="str">
        <f aca="false">IF(OR($AN13=0,H$3=""),"",IF(AND(INDEX(工程マスタ!$I:$I,$AN13)="○",$E13=H$3),"▼",""))</f>
        <v/>
      </c>
      <c r="I13" s="31" t="str">
        <f aca="false">IF(OR($AN13=0,I$3=""),"",IF(AND(INDEX(工程マスタ!$I:$I,$AN13)="○",$E13=I$3),"▼",""))</f>
        <v/>
      </c>
      <c r="J13" s="31" t="str">
        <f aca="false">IF(OR($AN13=0,J$3=""),"",IF(AND(INDEX(工程マスタ!$I:$I,$AN13)="○",$E13=J$3),"▼",""))</f>
        <v/>
      </c>
      <c r="K13" s="31" t="str">
        <f aca="false">IF(OR($AN13=0,K$3=""),"",IF(AND(INDEX(工程マスタ!$I:$I,$AN13)="○",$E13=K$3),"▼",""))</f>
        <v/>
      </c>
      <c r="L13" s="31" t="str">
        <f aca="false">IF(OR($AN13=0,L$3=""),"",IF(AND(INDEX(工程マスタ!$I:$I,$AN13)="○",$E13=L$3),"▼",""))</f>
        <v/>
      </c>
      <c r="M13" s="31" t="str">
        <f aca="false">IF(OR($AN13=0,M$3=""),"",IF(AND(INDEX(工程マスタ!$I:$I,$AN13)="○",$E13=M$3),"▼",""))</f>
        <v/>
      </c>
      <c r="N13" s="31" t="str">
        <f aca="false">IF(OR($AN13=0,N$3=""),"",IF(AND(INDEX(工程マスタ!$I:$I,$AN13)="○",$E13=N$3),"▼",""))</f>
        <v/>
      </c>
      <c r="O13" s="31" t="str">
        <f aca="false">IF(OR($AN13=0,O$3=""),"",IF(AND(INDEX(工程マスタ!$I:$I,$AN13)="○",$E13=O$3),"▼",""))</f>
        <v/>
      </c>
      <c r="P13" s="31" t="str">
        <f aca="false">IF(OR($AN13=0,P$3=""),"",IF(AND(INDEX(工程マスタ!$I:$I,$AN13)="○",$E13=P$3),"▼",""))</f>
        <v/>
      </c>
      <c r="Q13" s="31" t="str">
        <f aca="false">IF(OR($AN13=0,Q$3=""),"",IF(AND(INDEX(工程マスタ!$I:$I,$AN13)="○",$E13=Q$3),"▼",""))</f>
        <v/>
      </c>
      <c r="R13" s="31" t="str">
        <f aca="false">IF(OR($AN13=0,R$3=""),"",IF(AND(INDEX(工程マスタ!$I:$I,$AN13)="○",$E13=R$3),"▼",""))</f>
        <v/>
      </c>
      <c r="S13" s="31" t="str">
        <f aca="false">IF(OR($AN13=0,S$3=""),"",IF(AND(INDEX(工程マスタ!$I:$I,$AN13)="○",$E13=S$3),"▼",""))</f>
        <v/>
      </c>
      <c r="T13" s="31" t="str">
        <f aca="false">IF(OR($AN13=0,T$3=""),"",IF(AND(INDEX(工程マスタ!$I:$I,$AN13)="○",$E13=T$3),"▼",""))</f>
        <v/>
      </c>
      <c r="U13" s="31" t="str">
        <f aca="false">IF(OR($AN13=0,U$3=""),"",IF(AND(INDEX(工程マスタ!$I:$I,$AN13)="○",$E13=U$3),"▼",""))</f>
        <v/>
      </c>
      <c r="V13" s="31" t="str">
        <f aca="false">IF(OR($AN13=0,V$3=""),"",IF(AND(INDEX(工程マスタ!$I:$I,$AN13)="○",$E13=V$3),"▼",""))</f>
        <v/>
      </c>
      <c r="W13" s="31" t="str">
        <f aca="false">IF(OR($AN13=0,W$3=""),"",IF(AND(INDEX(工程マスタ!$I:$I,$AN13)="○",$E13=W$3),"▼",""))</f>
        <v/>
      </c>
      <c r="X13" s="31" t="str">
        <f aca="false">IF(OR($AN13=0,X$3=""),"",IF(AND(INDEX(工程マスタ!$I:$I,$AN13)="○",$E13=X$3),"▼",""))</f>
        <v/>
      </c>
      <c r="Y13" s="31" t="str">
        <f aca="false">IF(OR($AN13=0,Y$3=""),"",IF(AND(INDEX(工程マスタ!$I:$I,$AN13)="○",$E13=Y$3),"▼",""))</f>
        <v/>
      </c>
      <c r="Z13" s="31" t="str">
        <f aca="false">IF(OR($AN13=0,Z$3=""),"",IF(AND(INDEX(工程マスタ!$I:$I,$AN13)="○",$E13=Z$3),"▼",""))</f>
        <v/>
      </c>
      <c r="AA13" s="31" t="str">
        <f aca="false">IF(OR($AN13=0,AA$3=""),"",IF(AND(INDEX(工程マスタ!$I:$I,$AN13)="○",$E13=AA$3),"▼",""))</f>
        <v/>
      </c>
      <c r="AB13" s="31" t="str">
        <f aca="false">IF(OR($AN13=0,AB$3=""),"",IF(AND(INDEX(工程マスタ!$I:$I,$AN13)="○",$E13=AB$3),"▼",""))</f>
        <v/>
      </c>
      <c r="AC13" s="31" t="str">
        <f aca="false">IF(OR($AN13=0,AC$3=""),"",IF(AND(INDEX(工程マスタ!$I:$I,$AN13)="○",$E13=AC$3),"▼",""))</f>
        <v/>
      </c>
      <c r="AD13" s="31" t="str">
        <f aca="false">IF(OR($AN13=0,AD$3=""),"",IF(AND(INDEX(工程マスタ!$I:$I,$AN13)="○",$E13=AD$3),"▼",""))</f>
        <v/>
      </c>
      <c r="AE13" s="31" t="str">
        <f aca="false">IF(OR($AN13=0,AE$3=""),"",IF(AND(INDEX(工程マスタ!$I:$I,$AN13)="○",$E13=AE$3),"▼",""))</f>
        <v/>
      </c>
      <c r="AF13" s="31" t="str">
        <f aca="false">IF(OR($AN13=0,AF$3=""),"",IF(AND(INDEX(工程マスタ!$I:$I,$AN13)="○",$E13=AF$3),"▼",""))</f>
        <v/>
      </c>
      <c r="AG13" s="31" t="str">
        <f aca="false">IF(OR($AN13=0,AG$3=""),"",IF(AND(INDEX(工程マスタ!$I:$I,$AN13)="○",$E13=AG$3),"▼",""))</f>
        <v/>
      </c>
      <c r="AH13" s="31" t="str">
        <f aca="false">IF(OR($AN13=0,AH$3=""),"",IF(AND(INDEX(工程マスタ!$I:$I,$AN13)="○",$E13=AH$3),"▼",""))</f>
        <v/>
      </c>
      <c r="AI13" s="31" t="str">
        <f aca="false">IF(OR($AN13=0,AI$3=""),"",IF(AND(INDEX(工程マスタ!$I:$I,$AN13)="○",$E13=AI$3),"▼",""))</f>
        <v/>
      </c>
      <c r="AJ13" s="31" t="str">
        <f aca="false">IF(OR($AN13=0,AJ$3=""),"",IF(AND(INDEX(工程マスタ!$I:$I,$AN13)="○",$E13=AJ$3),"▼",""))</f>
        <v/>
      </c>
      <c r="AK13" s="31" t="str">
        <f aca="false">IF(OR($AN13=0,AK$3=""),"",IF(AND(INDEX(工程マスタ!$I:$I,$AN13)="○",$E13=AK$3),"▼",""))</f>
        <v/>
      </c>
      <c r="AL13" s="31" t="str">
        <f aca="false">IF(OR($AN13=0,AL$3=""),"",IF(AND(INDEX(工程マスタ!$I:$I,$AN13)="○",$E13=AL$3),"▼",""))</f>
        <v/>
      </c>
      <c r="AN13" s="27" t="n">
        <f aca="false" t="array" ref="AN13:AN13">IFERROR(SMALL(IF((工程マスタ!$K$5:$K$154&gt;0)*(工程マスタ!$K$5:$K$154&lt;=$AN$2)*(工程マスタ!$L$5:$L$154&gt;=$AN$1),ROW(工程マスタ!$C$5:$C$154)),7),0)</f>
        <v>11</v>
      </c>
      <c r="AO13" s="27" t="n">
        <f aca="false">IF($AN13=0,0,INDEX(工程マスタ!$M:$M,$AN13))</f>
        <v>46230</v>
      </c>
    </row>
    <row r="14" customFormat="false" ht="15" hidden="false" customHeight="false" outlineLevel="0" collapsed="false">
      <c r="A14" s="28" t="str">
        <f aca="false">IF($AN14=0,"",IF(INDEX(工程マスタ!$A:$A,$AN14)="","",INDEX(工程マスタ!$A:$A,$AN14)))</f>
        <v/>
      </c>
      <c r="B14" s="21" t="str">
        <f aca="false">IF($AN14=0,"",IF(INDEX(工程マスタ!$B:$B,$AN14)="","",INDEX(工程マスタ!$B:$B,$AN14)))</f>
        <v/>
      </c>
      <c r="C14" s="21" t="str">
        <f aca="false">IF($AN14=0,"",IF(INDEX(工程マスタ!$C:$C,$AN14)="","",INDEX(工程マスタ!$C:$C,$AN14)))</f>
        <v/>
      </c>
      <c r="D14" s="21" t="str">
        <f aca="false">IF($AN14=0,"",IF(INDEX(工程マスタ!$D:$D,$AN14)="","",INDEX(工程マスタ!$D:$D,$AN14)))</f>
        <v/>
      </c>
      <c r="E14" s="29" t="str">
        <f aca="false">IF($AN14=0,"",IF(INDEX(工程マスタ!$E:$E,$AN14)="","",INDEX(工程マスタ!$E:$E,$AN14)))</f>
        <v/>
      </c>
      <c r="F14" s="29" t="str">
        <f aca="false">IF($AN14=0,"",IF(INDEX(工程マスタ!$F:$F,$AN14)="","",INDEX(工程マスタ!$F:$F,$AN14)))</f>
        <v/>
      </c>
      <c r="G14" s="30" t="str">
        <f aca="false">IF($AN14=0,"",IF(INDEX(工程マスタ!$H:$H,$AN14)="","",INDEX(工程マスタ!$H:$H,$AN14)))</f>
        <v/>
      </c>
      <c r="H14" s="31" t="str">
        <f aca="false">IF(OR($AN14=0,H$3=""),"",IF(AND(INDEX(工程マスタ!$I:$I,$AN14)="○",$E14=H$3),"▼",""))</f>
        <v/>
      </c>
      <c r="I14" s="31" t="str">
        <f aca="false">IF(OR($AN14=0,I$3=""),"",IF(AND(INDEX(工程マスタ!$I:$I,$AN14)="○",$E14=I$3),"▼",""))</f>
        <v/>
      </c>
      <c r="J14" s="31" t="str">
        <f aca="false">IF(OR($AN14=0,J$3=""),"",IF(AND(INDEX(工程マスタ!$I:$I,$AN14)="○",$E14=J$3),"▼",""))</f>
        <v/>
      </c>
      <c r="K14" s="31" t="str">
        <f aca="false">IF(OR($AN14=0,K$3=""),"",IF(AND(INDEX(工程マスタ!$I:$I,$AN14)="○",$E14=K$3),"▼",""))</f>
        <v/>
      </c>
      <c r="L14" s="31" t="str">
        <f aca="false">IF(OR($AN14=0,L$3=""),"",IF(AND(INDEX(工程マスタ!$I:$I,$AN14)="○",$E14=L$3),"▼",""))</f>
        <v/>
      </c>
      <c r="M14" s="31" t="str">
        <f aca="false">IF(OR($AN14=0,M$3=""),"",IF(AND(INDEX(工程マスタ!$I:$I,$AN14)="○",$E14=M$3),"▼",""))</f>
        <v/>
      </c>
      <c r="N14" s="31" t="str">
        <f aca="false">IF(OR($AN14=0,N$3=""),"",IF(AND(INDEX(工程マスタ!$I:$I,$AN14)="○",$E14=N$3),"▼",""))</f>
        <v/>
      </c>
      <c r="O14" s="31" t="str">
        <f aca="false">IF(OR($AN14=0,O$3=""),"",IF(AND(INDEX(工程マスタ!$I:$I,$AN14)="○",$E14=O$3),"▼",""))</f>
        <v/>
      </c>
      <c r="P14" s="31" t="str">
        <f aca="false">IF(OR($AN14=0,P$3=""),"",IF(AND(INDEX(工程マスタ!$I:$I,$AN14)="○",$E14=P$3),"▼",""))</f>
        <v/>
      </c>
      <c r="Q14" s="31" t="str">
        <f aca="false">IF(OR($AN14=0,Q$3=""),"",IF(AND(INDEX(工程マスタ!$I:$I,$AN14)="○",$E14=Q$3),"▼",""))</f>
        <v/>
      </c>
      <c r="R14" s="31" t="str">
        <f aca="false">IF(OR($AN14=0,R$3=""),"",IF(AND(INDEX(工程マスタ!$I:$I,$AN14)="○",$E14=R$3),"▼",""))</f>
        <v/>
      </c>
      <c r="S14" s="31" t="str">
        <f aca="false">IF(OR($AN14=0,S$3=""),"",IF(AND(INDEX(工程マスタ!$I:$I,$AN14)="○",$E14=S$3),"▼",""))</f>
        <v/>
      </c>
      <c r="T14" s="31" t="str">
        <f aca="false">IF(OR($AN14=0,T$3=""),"",IF(AND(INDEX(工程マスタ!$I:$I,$AN14)="○",$E14=T$3),"▼",""))</f>
        <v/>
      </c>
      <c r="U14" s="31" t="str">
        <f aca="false">IF(OR($AN14=0,U$3=""),"",IF(AND(INDEX(工程マスタ!$I:$I,$AN14)="○",$E14=U$3),"▼",""))</f>
        <v/>
      </c>
      <c r="V14" s="31" t="str">
        <f aca="false">IF(OR($AN14=0,V$3=""),"",IF(AND(INDEX(工程マスタ!$I:$I,$AN14)="○",$E14=V$3),"▼",""))</f>
        <v/>
      </c>
      <c r="W14" s="31" t="str">
        <f aca="false">IF(OR($AN14=0,W$3=""),"",IF(AND(INDEX(工程マスタ!$I:$I,$AN14)="○",$E14=W$3),"▼",""))</f>
        <v/>
      </c>
      <c r="X14" s="31" t="str">
        <f aca="false">IF(OR($AN14=0,X$3=""),"",IF(AND(INDEX(工程マスタ!$I:$I,$AN14)="○",$E14=X$3),"▼",""))</f>
        <v/>
      </c>
      <c r="Y14" s="31" t="str">
        <f aca="false">IF(OR($AN14=0,Y$3=""),"",IF(AND(INDEX(工程マスタ!$I:$I,$AN14)="○",$E14=Y$3),"▼",""))</f>
        <v/>
      </c>
      <c r="Z14" s="31" t="str">
        <f aca="false">IF(OR($AN14=0,Z$3=""),"",IF(AND(INDEX(工程マスタ!$I:$I,$AN14)="○",$E14=Z$3),"▼",""))</f>
        <v/>
      </c>
      <c r="AA14" s="31" t="str">
        <f aca="false">IF(OR($AN14=0,AA$3=""),"",IF(AND(INDEX(工程マスタ!$I:$I,$AN14)="○",$E14=AA$3),"▼",""))</f>
        <v/>
      </c>
      <c r="AB14" s="31" t="str">
        <f aca="false">IF(OR($AN14=0,AB$3=""),"",IF(AND(INDEX(工程マスタ!$I:$I,$AN14)="○",$E14=AB$3),"▼",""))</f>
        <v/>
      </c>
      <c r="AC14" s="31" t="str">
        <f aca="false">IF(OR($AN14=0,AC$3=""),"",IF(AND(INDEX(工程マスタ!$I:$I,$AN14)="○",$E14=AC$3),"▼",""))</f>
        <v/>
      </c>
      <c r="AD14" s="31" t="str">
        <f aca="false">IF(OR($AN14=0,AD$3=""),"",IF(AND(INDEX(工程マスタ!$I:$I,$AN14)="○",$E14=AD$3),"▼",""))</f>
        <v/>
      </c>
      <c r="AE14" s="31" t="str">
        <f aca="false">IF(OR($AN14=0,AE$3=""),"",IF(AND(INDEX(工程マスタ!$I:$I,$AN14)="○",$E14=AE$3),"▼",""))</f>
        <v/>
      </c>
      <c r="AF14" s="31" t="str">
        <f aca="false">IF(OR($AN14=0,AF$3=""),"",IF(AND(INDEX(工程マスタ!$I:$I,$AN14)="○",$E14=AF$3),"▼",""))</f>
        <v/>
      </c>
      <c r="AG14" s="31" t="str">
        <f aca="false">IF(OR($AN14=0,AG$3=""),"",IF(AND(INDEX(工程マスタ!$I:$I,$AN14)="○",$E14=AG$3),"▼",""))</f>
        <v/>
      </c>
      <c r="AH14" s="31" t="str">
        <f aca="false">IF(OR($AN14=0,AH$3=""),"",IF(AND(INDEX(工程マスタ!$I:$I,$AN14)="○",$E14=AH$3),"▼",""))</f>
        <v/>
      </c>
      <c r="AI14" s="31" t="str">
        <f aca="false">IF(OR($AN14=0,AI$3=""),"",IF(AND(INDEX(工程マスタ!$I:$I,$AN14)="○",$E14=AI$3),"▼",""))</f>
        <v/>
      </c>
      <c r="AJ14" s="31" t="str">
        <f aca="false">IF(OR($AN14=0,AJ$3=""),"",IF(AND(INDEX(工程マスタ!$I:$I,$AN14)="○",$E14=AJ$3),"▼",""))</f>
        <v/>
      </c>
      <c r="AK14" s="31" t="str">
        <f aca="false">IF(OR($AN14=0,AK$3=""),"",IF(AND(INDEX(工程マスタ!$I:$I,$AN14)="○",$E14=AK$3),"▼",""))</f>
        <v/>
      </c>
      <c r="AL14" s="31" t="str">
        <f aca="false">IF(OR($AN14=0,AL$3=""),"",IF(AND(INDEX(工程マスタ!$I:$I,$AN14)="○",$E14=AL$3),"▼",""))</f>
        <v/>
      </c>
      <c r="AN14" s="27" t="n">
        <f aca="false" t="array" ref="AN14:AN14">IFERROR(SMALL(IF((工程マスタ!$K$5:$K$154&gt;0)*(工程マスタ!$K$5:$K$154&lt;=$AN$2)*(工程マスタ!$L$5:$L$154&gt;=$AN$1),ROW(工程マスタ!$C$5:$C$154)),8),0)</f>
        <v>0</v>
      </c>
      <c r="AO14" s="27" t="n">
        <f aca="false">IF($AN14=0,0,INDEX(工程マスタ!$M:$M,$AN14))</f>
        <v>0</v>
      </c>
    </row>
    <row r="15" customFormat="false" ht="15" hidden="false" customHeight="false" outlineLevel="0" collapsed="false">
      <c r="A15" s="28" t="str">
        <f aca="false">IF($AN15=0,"",IF(INDEX(工程マスタ!$A:$A,$AN15)="","",INDEX(工程マスタ!$A:$A,$AN15)))</f>
        <v/>
      </c>
      <c r="B15" s="21" t="str">
        <f aca="false">IF($AN15=0,"",IF(INDEX(工程マスタ!$B:$B,$AN15)="","",INDEX(工程マスタ!$B:$B,$AN15)))</f>
        <v/>
      </c>
      <c r="C15" s="21" t="str">
        <f aca="false">IF($AN15=0,"",IF(INDEX(工程マスタ!$C:$C,$AN15)="","",INDEX(工程マスタ!$C:$C,$AN15)))</f>
        <v/>
      </c>
      <c r="D15" s="21" t="str">
        <f aca="false">IF($AN15=0,"",IF(INDEX(工程マスタ!$D:$D,$AN15)="","",INDEX(工程マスタ!$D:$D,$AN15)))</f>
        <v/>
      </c>
      <c r="E15" s="29" t="str">
        <f aca="false">IF($AN15=0,"",IF(INDEX(工程マスタ!$E:$E,$AN15)="","",INDEX(工程マスタ!$E:$E,$AN15)))</f>
        <v/>
      </c>
      <c r="F15" s="29" t="str">
        <f aca="false">IF($AN15=0,"",IF(INDEX(工程マスタ!$F:$F,$AN15)="","",INDEX(工程マスタ!$F:$F,$AN15)))</f>
        <v/>
      </c>
      <c r="G15" s="30" t="str">
        <f aca="false">IF($AN15=0,"",IF(INDEX(工程マスタ!$H:$H,$AN15)="","",INDEX(工程マスタ!$H:$H,$AN15)))</f>
        <v/>
      </c>
      <c r="H15" s="31" t="str">
        <f aca="false">IF(OR($AN15=0,H$3=""),"",IF(AND(INDEX(工程マスタ!$I:$I,$AN15)="○",$E15=H$3),"▼",""))</f>
        <v/>
      </c>
      <c r="I15" s="31" t="str">
        <f aca="false">IF(OR($AN15=0,I$3=""),"",IF(AND(INDEX(工程マスタ!$I:$I,$AN15)="○",$E15=I$3),"▼",""))</f>
        <v/>
      </c>
      <c r="J15" s="31" t="str">
        <f aca="false">IF(OR($AN15=0,J$3=""),"",IF(AND(INDEX(工程マスタ!$I:$I,$AN15)="○",$E15=J$3),"▼",""))</f>
        <v/>
      </c>
      <c r="K15" s="31" t="str">
        <f aca="false">IF(OR($AN15=0,K$3=""),"",IF(AND(INDEX(工程マスタ!$I:$I,$AN15)="○",$E15=K$3),"▼",""))</f>
        <v/>
      </c>
      <c r="L15" s="31" t="str">
        <f aca="false">IF(OR($AN15=0,L$3=""),"",IF(AND(INDEX(工程マスタ!$I:$I,$AN15)="○",$E15=L$3),"▼",""))</f>
        <v/>
      </c>
      <c r="M15" s="31" t="str">
        <f aca="false">IF(OR($AN15=0,M$3=""),"",IF(AND(INDEX(工程マスタ!$I:$I,$AN15)="○",$E15=M$3),"▼",""))</f>
        <v/>
      </c>
      <c r="N15" s="31" t="str">
        <f aca="false">IF(OR($AN15=0,N$3=""),"",IF(AND(INDEX(工程マスタ!$I:$I,$AN15)="○",$E15=N$3),"▼",""))</f>
        <v/>
      </c>
      <c r="O15" s="31" t="str">
        <f aca="false">IF(OR($AN15=0,O$3=""),"",IF(AND(INDEX(工程マスタ!$I:$I,$AN15)="○",$E15=O$3),"▼",""))</f>
        <v/>
      </c>
      <c r="P15" s="31" t="str">
        <f aca="false">IF(OR($AN15=0,P$3=""),"",IF(AND(INDEX(工程マスタ!$I:$I,$AN15)="○",$E15=P$3),"▼",""))</f>
        <v/>
      </c>
      <c r="Q15" s="31" t="str">
        <f aca="false">IF(OR($AN15=0,Q$3=""),"",IF(AND(INDEX(工程マスタ!$I:$I,$AN15)="○",$E15=Q$3),"▼",""))</f>
        <v/>
      </c>
      <c r="R15" s="31" t="str">
        <f aca="false">IF(OR($AN15=0,R$3=""),"",IF(AND(INDEX(工程マスタ!$I:$I,$AN15)="○",$E15=R$3),"▼",""))</f>
        <v/>
      </c>
      <c r="S15" s="31" t="str">
        <f aca="false">IF(OR($AN15=0,S$3=""),"",IF(AND(INDEX(工程マスタ!$I:$I,$AN15)="○",$E15=S$3),"▼",""))</f>
        <v/>
      </c>
      <c r="T15" s="31" t="str">
        <f aca="false">IF(OR($AN15=0,T$3=""),"",IF(AND(INDEX(工程マスタ!$I:$I,$AN15)="○",$E15=T$3),"▼",""))</f>
        <v/>
      </c>
      <c r="U15" s="31" t="str">
        <f aca="false">IF(OR($AN15=0,U$3=""),"",IF(AND(INDEX(工程マスタ!$I:$I,$AN15)="○",$E15=U$3),"▼",""))</f>
        <v/>
      </c>
      <c r="V15" s="31" t="str">
        <f aca="false">IF(OR($AN15=0,V$3=""),"",IF(AND(INDEX(工程マスタ!$I:$I,$AN15)="○",$E15=V$3),"▼",""))</f>
        <v/>
      </c>
      <c r="W15" s="31" t="str">
        <f aca="false">IF(OR($AN15=0,W$3=""),"",IF(AND(INDEX(工程マスタ!$I:$I,$AN15)="○",$E15=W$3),"▼",""))</f>
        <v/>
      </c>
      <c r="X15" s="31" t="str">
        <f aca="false">IF(OR($AN15=0,X$3=""),"",IF(AND(INDEX(工程マスタ!$I:$I,$AN15)="○",$E15=X$3),"▼",""))</f>
        <v/>
      </c>
      <c r="Y15" s="31" t="str">
        <f aca="false">IF(OR($AN15=0,Y$3=""),"",IF(AND(INDEX(工程マスタ!$I:$I,$AN15)="○",$E15=Y$3),"▼",""))</f>
        <v/>
      </c>
      <c r="Z15" s="31" t="str">
        <f aca="false">IF(OR($AN15=0,Z$3=""),"",IF(AND(INDEX(工程マスタ!$I:$I,$AN15)="○",$E15=Z$3),"▼",""))</f>
        <v/>
      </c>
      <c r="AA15" s="31" t="str">
        <f aca="false">IF(OR($AN15=0,AA$3=""),"",IF(AND(INDEX(工程マスタ!$I:$I,$AN15)="○",$E15=AA$3),"▼",""))</f>
        <v/>
      </c>
      <c r="AB15" s="31" t="str">
        <f aca="false">IF(OR($AN15=0,AB$3=""),"",IF(AND(INDEX(工程マスタ!$I:$I,$AN15)="○",$E15=AB$3),"▼",""))</f>
        <v/>
      </c>
      <c r="AC15" s="31" t="str">
        <f aca="false">IF(OR($AN15=0,AC$3=""),"",IF(AND(INDEX(工程マスタ!$I:$I,$AN15)="○",$E15=AC$3),"▼",""))</f>
        <v/>
      </c>
      <c r="AD15" s="31" t="str">
        <f aca="false">IF(OR($AN15=0,AD$3=""),"",IF(AND(INDEX(工程マスタ!$I:$I,$AN15)="○",$E15=AD$3),"▼",""))</f>
        <v/>
      </c>
      <c r="AE15" s="31" t="str">
        <f aca="false">IF(OR($AN15=0,AE$3=""),"",IF(AND(INDEX(工程マスタ!$I:$I,$AN15)="○",$E15=AE$3),"▼",""))</f>
        <v/>
      </c>
      <c r="AF15" s="31" t="str">
        <f aca="false">IF(OR($AN15=0,AF$3=""),"",IF(AND(INDEX(工程マスタ!$I:$I,$AN15)="○",$E15=AF$3),"▼",""))</f>
        <v/>
      </c>
      <c r="AG15" s="31" t="str">
        <f aca="false">IF(OR($AN15=0,AG$3=""),"",IF(AND(INDEX(工程マスタ!$I:$I,$AN15)="○",$E15=AG$3),"▼",""))</f>
        <v/>
      </c>
      <c r="AH15" s="31" t="str">
        <f aca="false">IF(OR($AN15=0,AH$3=""),"",IF(AND(INDEX(工程マスタ!$I:$I,$AN15)="○",$E15=AH$3),"▼",""))</f>
        <v/>
      </c>
      <c r="AI15" s="31" t="str">
        <f aca="false">IF(OR($AN15=0,AI$3=""),"",IF(AND(INDEX(工程マスタ!$I:$I,$AN15)="○",$E15=AI$3),"▼",""))</f>
        <v/>
      </c>
      <c r="AJ15" s="31" t="str">
        <f aca="false">IF(OR($AN15=0,AJ$3=""),"",IF(AND(INDEX(工程マスタ!$I:$I,$AN15)="○",$E15=AJ$3),"▼",""))</f>
        <v/>
      </c>
      <c r="AK15" s="31" t="str">
        <f aca="false">IF(OR($AN15=0,AK$3=""),"",IF(AND(INDEX(工程マスタ!$I:$I,$AN15)="○",$E15=AK$3),"▼",""))</f>
        <v/>
      </c>
      <c r="AL15" s="31" t="str">
        <f aca="false">IF(OR($AN15=0,AL$3=""),"",IF(AND(INDEX(工程マスタ!$I:$I,$AN15)="○",$E15=AL$3),"▼",""))</f>
        <v/>
      </c>
      <c r="AN15" s="27" t="n">
        <f aca="false" t="array" ref="AN15:AN15">IFERROR(SMALL(IF((工程マスタ!$K$5:$K$154&gt;0)*(工程マスタ!$K$5:$K$154&lt;=$AN$2)*(工程マスタ!$L$5:$L$154&gt;=$AN$1),ROW(工程マスタ!$C$5:$C$154)),9),0)</f>
        <v>0</v>
      </c>
      <c r="AO15" s="27" t="n">
        <f aca="false">IF($AN15=0,0,INDEX(工程マスタ!$M:$M,$AN15))</f>
        <v>0</v>
      </c>
    </row>
    <row r="16" customFormat="false" ht="15" hidden="false" customHeight="false" outlineLevel="0" collapsed="false">
      <c r="A16" s="28" t="str">
        <f aca="false">IF($AN16=0,"",IF(INDEX(工程マスタ!$A:$A,$AN16)="","",INDEX(工程マスタ!$A:$A,$AN16)))</f>
        <v/>
      </c>
      <c r="B16" s="21" t="str">
        <f aca="false">IF($AN16=0,"",IF(INDEX(工程マスタ!$B:$B,$AN16)="","",INDEX(工程マスタ!$B:$B,$AN16)))</f>
        <v/>
      </c>
      <c r="C16" s="21" t="str">
        <f aca="false">IF($AN16=0,"",IF(INDEX(工程マスタ!$C:$C,$AN16)="","",INDEX(工程マスタ!$C:$C,$AN16)))</f>
        <v/>
      </c>
      <c r="D16" s="21" t="str">
        <f aca="false">IF($AN16=0,"",IF(INDEX(工程マスタ!$D:$D,$AN16)="","",INDEX(工程マスタ!$D:$D,$AN16)))</f>
        <v/>
      </c>
      <c r="E16" s="29" t="str">
        <f aca="false">IF($AN16=0,"",IF(INDEX(工程マスタ!$E:$E,$AN16)="","",INDEX(工程マスタ!$E:$E,$AN16)))</f>
        <v/>
      </c>
      <c r="F16" s="29" t="str">
        <f aca="false">IF($AN16=0,"",IF(INDEX(工程マスタ!$F:$F,$AN16)="","",INDEX(工程マスタ!$F:$F,$AN16)))</f>
        <v/>
      </c>
      <c r="G16" s="30" t="str">
        <f aca="false">IF($AN16=0,"",IF(INDEX(工程マスタ!$H:$H,$AN16)="","",INDEX(工程マスタ!$H:$H,$AN16)))</f>
        <v/>
      </c>
      <c r="H16" s="31" t="str">
        <f aca="false">IF(OR($AN16=0,H$3=""),"",IF(AND(INDEX(工程マスタ!$I:$I,$AN16)="○",$E16=H$3),"▼",""))</f>
        <v/>
      </c>
      <c r="I16" s="31" t="str">
        <f aca="false">IF(OR($AN16=0,I$3=""),"",IF(AND(INDEX(工程マスタ!$I:$I,$AN16)="○",$E16=I$3),"▼",""))</f>
        <v/>
      </c>
      <c r="J16" s="31" t="str">
        <f aca="false">IF(OR($AN16=0,J$3=""),"",IF(AND(INDEX(工程マスタ!$I:$I,$AN16)="○",$E16=J$3),"▼",""))</f>
        <v/>
      </c>
      <c r="K16" s="31" t="str">
        <f aca="false">IF(OR($AN16=0,K$3=""),"",IF(AND(INDEX(工程マスタ!$I:$I,$AN16)="○",$E16=K$3),"▼",""))</f>
        <v/>
      </c>
      <c r="L16" s="31" t="str">
        <f aca="false">IF(OR($AN16=0,L$3=""),"",IF(AND(INDEX(工程マスタ!$I:$I,$AN16)="○",$E16=L$3),"▼",""))</f>
        <v/>
      </c>
      <c r="M16" s="31" t="str">
        <f aca="false">IF(OR($AN16=0,M$3=""),"",IF(AND(INDEX(工程マスタ!$I:$I,$AN16)="○",$E16=M$3),"▼",""))</f>
        <v/>
      </c>
      <c r="N16" s="31" t="str">
        <f aca="false">IF(OR($AN16=0,N$3=""),"",IF(AND(INDEX(工程マスタ!$I:$I,$AN16)="○",$E16=N$3),"▼",""))</f>
        <v/>
      </c>
      <c r="O16" s="31" t="str">
        <f aca="false">IF(OR($AN16=0,O$3=""),"",IF(AND(INDEX(工程マスタ!$I:$I,$AN16)="○",$E16=O$3),"▼",""))</f>
        <v/>
      </c>
      <c r="P16" s="31" t="str">
        <f aca="false">IF(OR($AN16=0,P$3=""),"",IF(AND(INDEX(工程マスタ!$I:$I,$AN16)="○",$E16=P$3),"▼",""))</f>
        <v/>
      </c>
      <c r="Q16" s="31" t="str">
        <f aca="false">IF(OR($AN16=0,Q$3=""),"",IF(AND(INDEX(工程マスタ!$I:$I,$AN16)="○",$E16=Q$3),"▼",""))</f>
        <v/>
      </c>
      <c r="R16" s="31" t="str">
        <f aca="false">IF(OR($AN16=0,R$3=""),"",IF(AND(INDEX(工程マスタ!$I:$I,$AN16)="○",$E16=R$3),"▼",""))</f>
        <v/>
      </c>
      <c r="S16" s="31" t="str">
        <f aca="false">IF(OR($AN16=0,S$3=""),"",IF(AND(INDEX(工程マスタ!$I:$I,$AN16)="○",$E16=S$3),"▼",""))</f>
        <v/>
      </c>
      <c r="T16" s="31" t="str">
        <f aca="false">IF(OR($AN16=0,T$3=""),"",IF(AND(INDEX(工程マスタ!$I:$I,$AN16)="○",$E16=T$3),"▼",""))</f>
        <v/>
      </c>
      <c r="U16" s="31" t="str">
        <f aca="false">IF(OR($AN16=0,U$3=""),"",IF(AND(INDEX(工程マスタ!$I:$I,$AN16)="○",$E16=U$3),"▼",""))</f>
        <v/>
      </c>
      <c r="V16" s="31" t="str">
        <f aca="false">IF(OR($AN16=0,V$3=""),"",IF(AND(INDEX(工程マスタ!$I:$I,$AN16)="○",$E16=V$3),"▼",""))</f>
        <v/>
      </c>
      <c r="W16" s="31" t="str">
        <f aca="false">IF(OR($AN16=0,W$3=""),"",IF(AND(INDEX(工程マスタ!$I:$I,$AN16)="○",$E16=W$3),"▼",""))</f>
        <v/>
      </c>
      <c r="X16" s="31" t="str">
        <f aca="false">IF(OR($AN16=0,X$3=""),"",IF(AND(INDEX(工程マスタ!$I:$I,$AN16)="○",$E16=X$3),"▼",""))</f>
        <v/>
      </c>
      <c r="Y16" s="31" t="str">
        <f aca="false">IF(OR($AN16=0,Y$3=""),"",IF(AND(INDEX(工程マスタ!$I:$I,$AN16)="○",$E16=Y$3),"▼",""))</f>
        <v/>
      </c>
      <c r="Z16" s="31" t="str">
        <f aca="false">IF(OR($AN16=0,Z$3=""),"",IF(AND(INDEX(工程マスタ!$I:$I,$AN16)="○",$E16=Z$3),"▼",""))</f>
        <v/>
      </c>
      <c r="AA16" s="31" t="str">
        <f aca="false">IF(OR($AN16=0,AA$3=""),"",IF(AND(INDEX(工程マスタ!$I:$I,$AN16)="○",$E16=AA$3),"▼",""))</f>
        <v/>
      </c>
      <c r="AB16" s="31" t="str">
        <f aca="false">IF(OR($AN16=0,AB$3=""),"",IF(AND(INDEX(工程マスタ!$I:$I,$AN16)="○",$E16=AB$3),"▼",""))</f>
        <v/>
      </c>
      <c r="AC16" s="31" t="str">
        <f aca="false">IF(OR($AN16=0,AC$3=""),"",IF(AND(INDEX(工程マスタ!$I:$I,$AN16)="○",$E16=AC$3),"▼",""))</f>
        <v/>
      </c>
      <c r="AD16" s="31" t="str">
        <f aca="false">IF(OR($AN16=0,AD$3=""),"",IF(AND(INDEX(工程マスタ!$I:$I,$AN16)="○",$E16=AD$3),"▼",""))</f>
        <v/>
      </c>
      <c r="AE16" s="31" t="str">
        <f aca="false">IF(OR($AN16=0,AE$3=""),"",IF(AND(INDEX(工程マスタ!$I:$I,$AN16)="○",$E16=AE$3),"▼",""))</f>
        <v/>
      </c>
      <c r="AF16" s="31" t="str">
        <f aca="false">IF(OR($AN16=0,AF$3=""),"",IF(AND(INDEX(工程マスタ!$I:$I,$AN16)="○",$E16=AF$3),"▼",""))</f>
        <v/>
      </c>
      <c r="AG16" s="31" t="str">
        <f aca="false">IF(OR($AN16=0,AG$3=""),"",IF(AND(INDEX(工程マスタ!$I:$I,$AN16)="○",$E16=AG$3),"▼",""))</f>
        <v/>
      </c>
      <c r="AH16" s="31" t="str">
        <f aca="false">IF(OR($AN16=0,AH$3=""),"",IF(AND(INDEX(工程マスタ!$I:$I,$AN16)="○",$E16=AH$3),"▼",""))</f>
        <v/>
      </c>
      <c r="AI16" s="31" t="str">
        <f aca="false">IF(OR($AN16=0,AI$3=""),"",IF(AND(INDEX(工程マスタ!$I:$I,$AN16)="○",$E16=AI$3),"▼",""))</f>
        <v/>
      </c>
      <c r="AJ16" s="31" t="str">
        <f aca="false">IF(OR($AN16=0,AJ$3=""),"",IF(AND(INDEX(工程マスタ!$I:$I,$AN16)="○",$E16=AJ$3),"▼",""))</f>
        <v/>
      </c>
      <c r="AK16" s="31" t="str">
        <f aca="false">IF(OR($AN16=0,AK$3=""),"",IF(AND(INDEX(工程マスタ!$I:$I,$AN16)="○",$E16=AK$3),"▼",""))</f>
        <v/>
      </c>
      <c r="AL16" s="31" t="str">
        <f aca="false">IF(OR($AN16=0,AL$3=""),"",IF(AND(INDEX(工程マスタ!$I:$I,$AN16)="○",$E16=AL$3),"▼",""))</f>
        <v/>
      </c>
      <c r="AN16" s="27" t="n">
        <f aca="false" t="array" ref="AN16:AN16">IFERROR(SMALL(IF((工程マスタ!$K$5:$K$154&gt;0)*(工程マスタ!$K$5:$K$154&lt;=$AN$2)*(工程マスタ!$L$5:$L$154&gt;=$AN$1),ROW(工程マスタ!$C$5:$C$154)),10),0)</f>
        <v>0</v>
      </c>
      <c r="AO16" s="27" t="n">
        <f aca="false">IF($AN16=0,0,INDEX(工程マスタ!$M:$M,$AN16))</f>
        <v>0</v>
      </c>
    </row>
    <row r="17" customFormat="false" ht="15" hidden="false" customHeight="false" outlineLevel="0" collapsed="false">
      <c r="A17" s="28" t="str">
        <f aca="false">IF($AN17=0,"",IF(INDEX(工程マスタ!$A:$A,$AN17)="","",INDEX(工程マスタ!$A:$A,$AN17)))</f>
        <v/>
      </c>
      <c r="B17" s="21" t="str">
        <f aca="false">IF($AN17=0,"",IF(INDEX(工程マスタ!$B:$B,$AN17)="","",INDEX(工程マスタ!$B:$B,$AN17)))</f>
        <v/>
      </c>
      <c r="C17" s="21" t="str">
        <f aca="false">IF($AN17=0,"",IF(INDEX(工程マスタ!$C:$C,$AN17)="","",INDEX(工程マスタ!$C:$C,$AN17)))</f>
        <v/>
      </c>
      <c r="D17" s="21" t="str">
        <f aca="false">IF($AN17=0,"",IF(INDEX(工程マスタ!$D:$D,$AN17)="","",INDEX(工程マスタ!$D:$D,$AN17)))</f>
        <v/>
      </c>
      <c r="E17" s="29" t="str">
        <f aca="false">IF($AN17=0,"",IF(INDEX(工程マスタ!$E:$E,$AN17)="","",INDEX(工程マスタ!$E:$E,$AN17)))</f>
        <v/>
      </c>
      <c r="F17" s="29" t="str">
        <f aca="false">IF($AN17=0,"",IF(INDEX(工程マスタ!$F:$F,$AN17)="","",INDEX(工程マスタ!$F:$F,$AN17)))</f>
        <v/>
      </c>
      <c r="G17" s="30" t="str">
        <f aca="false">IF($AN17=0,"",IF(INDEX(工程マスタ!$H:$H,$AN17)="","",INDEX(工程マスタ!$H:$H,$AN17)))</f>
        <v/>
      </c>
      <c r="H17" s="31" t="str">
        <f aca="false">IF(OR($AN17=0,H$3=""),"",IF(AND(INDEX(工程マスタ!$I:$I,$AN17)="○",$E17=H$3),"▼",""))</f>
        <v/>
      </c>
      <c r="I17" s="31" t="str">
        <f aca="false">IF(OR($AN17=0,I$3=""),"",IF(AND(INDEX(工程マスタ!$I:$I,$AN17)="○",$E17=I$3),"▼",""))</f>
        <v/>
      </c>
      <c r="J17" s="31" t="str">
        <f aca="false">IF(OR($AN17=0,J$3=""),"",IF(AND(INDEX(工程マスタ!$I:$I,$AN17)="○",$E17=J$3),"▼",""))</f>
        <v/>
      </c>
      <c r="K17" s="31" t="str">
        <f aca="false">IF(OR($AN17=0,K$3=""),"",IF(AND(INDEX(工程マスタ!$I:$I,$AN17)="○",$E17=K$3),"▼",""))</f>
        <v/>
      </c>
      <c r="L17" s="31" t="str">
        <f aca="false">IF(OR($AN17=0,L$3=""),"",IF(AND(INDEX(工程マスタ!$I:$I,$AN17)="○",$E17=L$3),"▼",""))</f>
        <v/>
      </c>
      <c r="M17" s="31" t="str">
        <f aca="false">IF(OR($AN17=0,M$3=""),"",IF(AND(INDEX(工程マスタ!$I:$I,$AN17)="○",$E17=M$3),"▼",""))</f>
        <v/>
      </c>
      <c r="N17" s="31" t="str">
        <f aca="false">IF(OR($AN17=0,N$3=""),"",IF(AND(INDEX(工程マスタ!$I:$I,$AN17)="○",$E17=N$3),"▼",""))</f>
        <v/>
      </c>
      <c r="O17" s="31" t="str">
        <f aca="false">IF(OR($AN17=0,O$3=""),"",IF(AND(INDEX(工程マスタ!$I:$I,$AN17)="○",$E17=O$3),"▼",""))</f>
        <v/>
      </c>
      <c r="P17" s="31" t="str">
        <f aca="false">IF(OR($AN17=0,P$3=""),"",IF(AND(INDEX(工程マスタ!$I:$I,$AN17)="○",$E17=P$3),"▼",""))</f>
        <v/>
      </c>
      <c r="Q17" s="31" t="str">
        <f aca="false">IF(OR($AN17=0,Q$3=""),"",IF(AND(INDEX(工程マスタ!$I:$I,$AN17)="○",$E17=Q$3),"▼",""))</f>
        <v/>
      </c>
      <c r="R17" s="31" t="str">
        <f aca="false">IF(OR($AN17=0,R$3=""),"",IF(AND(INDEX(工程マスタ!$I:$I,$AN17)="○",$E17=R$3),"▼",""))</f>
        <v/>
      </c>
      <c r="S17" s="31" t="str">
        <f aca="false">IF(OR($AN17=0,S$3=""),"",IF(AND(INDEX(工程マスタ!$I:$I,$AN17)="○",$E17=S$3),"▼",""))</f>
        <v/>
      </c>
      <c r="T17" s="31" t="str">
        <f aca="false">IF(OR($AN17=0,T$3=""),"",IF(AND(INDEX(工程マスタ!$I:$I,$AN17)="○",$E17=T$3),"▼",""))</f>
        <v/>
      </c>
      <c r="U17" s="31" t="str">
        <f aca="false">IF(OR($AN17=0,U$3=""),"",IF(AND(INDEX(工程マスタ!$I:$I,$AN17)="○",$E17=U$3),"▼",""))</f>
        <v/>
      </c>
      <c r="V17" s="31" t="str">
        <f aca="false">IF(OR($AN17=0,V$3=""),"",IF(AND(INDEX(工程マスタ!$I:$I,$AN17)="○",$E17=V$3),"▼",""))</f>
        <v/>
      </c>
      <c r="W17" s="31" t="str">
        <f aca="false">IF(OR($AN17=0,W$3=""),"",IF(AND(INDEX(工程マスタ!$I:$I,$AN17)="○",$E17=W$3),"▼",""))</f>
        <v/>
      </c>
      <c r="X17" s="31" t="str">
        <f aca="false">IF(OR($AN17=0,X$3=""),"",IF(AND(INDEX(工程マスタ!$I:$I,$AN17)="○",$E17=X$3),"▼",""))</f>
        <v/>
      </c>
      <c r="Y17" s="31" t="str">
        <f aca="false">IF(OR($AN17=0,Y$3=""),"",IF(AND(INDEX(工程マスタ!$I:$I,$AN17)="○",$E17=Y$3),"▼",""))</f>
        <v/>
      </c>
      <c r="Z17" s="31" t="str">
        <f aca="false">IF(OR($AN17=0,Z$3=""),"",IF(AND(INDEX(工程マスタ!$I:$I,$AN17)="○",$E17=Z$3),"▼",""))</f>
        <v/>
      </c>
      <c r="AA17" s="31" t="str">
        <f aca="false">IF(OR($AN17=0,AA$3=""),"",IF(AND(INDEX(工程マスタ!$I:$I,$AN17)="○",$E17=AA$3),"▼",""))</f>
        <v/>
      </c>
      <c r="AB17" s="31" t="str">
        <f aca="false">IF(OR($AN17=0,AB$3=""),"",IF(AND(INDEX(工程マスタ!$I:$I,$AN17)="○",$E17=AB$3),"▼",""))</f>
        <v/>
      </c>
      <c r="AC17" s="31" t="str">
        <f aca="false">IF(OR($AN17=0,AC$3=""),"",IF(AND(INDEX(工程マスタ!$I:$I,$AN17)="○",$E17=AC$3),"▼",""))</f>
        <v/>
      </c>
      <c r="AD17" s="31" t="str">
        <f aca="false">IF(OR($AN17=0,AD$3=""),"",IF(AND(INDEX(工程マスタ!$I:$I,$AN17)="○",$E17=AD$3),"▼",""))</f>
        <v/>
      </c>
      <c r="AE17" s="31" t="str">
        <f aca="false">IF(OR($AN17=0,AE$3=""),"",IF(AND(INDEX(工程マスタ!$I:$I,$AN17)="○",$E17=AE$3),"▼",""))</f>
        <v/>
      </c>
      <c r="AF17" s="31" t="str">
        <f aca="false">IF(OR($AN17=0,AF$3=""),"",IF(AND(INDEX(工程マスタ!$I:$I,$AN17)="○",$E17=AF$3),"▼",""))</f>
        <v/>
      </c>
      <c r="AG17" s="31" t="str">
        <f aca="false">IF(OR($AN17=0,AG$3=""),"",IF(AND(INDEX(工程マスタ!$I:$I,$AN17)="○",$E17=AG$3),"▼",""))</f>
        <v/>
      </c>
      <c r="AH17" s="31" t="str">
        <f aca="false">IF(OR($AN17=0,AH$3=""),"",IF(AND(INDEX(工程マスタ!$I:$I,$AN17)="○",$E17=AH$3),"▼",""))</f>
        <v/>
      </c>
      <c r="AI17" s="31" t="str">
        <f aca="false">IF(OR($AN17=0,AI$3=""),"",IF(AND(INDEX(工程マスタ!$I:$I,$AN17)="○",$E17=AI$3),"▼",""))</f>
        <v/>
      </c>
      <c r="AJ17" s="31" t="str">
        <f aca="false">IF(OR($AN17=0,AJ$3=""),"",IF(AND(INDEX(工程マスタ!$I:$I,$AN17)="○",$E17=AJ$3),"▼",""))</f>
        <v/>
      </c>
      <c r="AK17" s="31" t="str">
        <f aca="false">IF(OR($AN17=0,AK$3=""),"",IF(AND(INDEX(工程マスタ!$I:$I,$AN17)="○",$E17=AK$3),"▼",""))</f>
        <v/>
      </c>
      <c r="AL17" s="31" t="str">
        <f aca="false">IF(OR($AN17=0,AL$3=""),"",IF(AND(INDEX(工程マスタ!$I:$I,$AN17)="○",$E17=AL$3),"▼",""))</f>
        <v/>
      </c>
      <c r="AN17" s="27" t="n">
        <f aca="false" t="array" ref="AN17:AN17">IFERROR(SMALL(IF((工程マスタ!$K$5:$K$154&gt;0)*(工程マスタ!$K$5:$K$154&lt;=$AN$2)*(工程マスタ!$L$5:$L$154&gt;=$AN$1),ROW(工程マスタ!$C$5:$C$154)),11),0)</f>
        <v>0</v>
      </c>
      <c r="AO17" s="27" t="n">
        <f aca="false">IF($AN17=0,0,INDEX(工程マスタ!$M:$M,$AN17))</f>
        <v>0</v>
      </c>
    </row>
    <row r="18" customFormat="false" ht="15" hidden="false" customHeight="false" outlineLevel="0" collapsed="false">
      <c r="A18" s="28" t="str">
        <f aca="false">IF($AN18=0,"",IF(INDEX(工程マスタ!$A:$A,$AN18)="","",INDEX(工程マスタ!$A:$A,$AN18)))</f>
        <v/>
      </c>
      <c r="B18" s="21" t="str">
        <f aca="false">IF($AN18=0,"",IF(INDEX(工程マスタ!$B:$B,$AN18)="","",INDEX(工程マスタ!$B:$B,$AN18)))</f>
        <v/>
      </c>
      <c r="C18" s="21" t="str">
        <f aca="false">IF($AN18=0,"",IF(INDEX(工程マスタ!$C:$C,$AN18)="","",INDEX(工程マスタ!$C:$C,$AN18)))</f>
        <v/>
      </c>
      <c r="D18" s="21" t="str">
        <f aca="false">IF($AN18=0,"",IF(INDEX(工程マスタ!$D:$D,$AN18)="","",INDEX(工程マスタ!$D:$D,$AN18)))</f>
        <v/>
      </c>
      <c r="E18" s="29" t="str">
        <f aca="false">IF($AN18=0,"",IF(INDEX(工程マスタ!$E:$E,$AN18)="","",INDEX(工程マスタ!$E:$E,$AN18)))</f>
        <v/>
      </c>
      <c r="F18" s="29" t="str">
        <f aca="false">IF($AN18=0,"",IF(INDEX(工程マスタ!$F:$F,$AN18)="","",INDEX(工程マスタ!$F:$F,$AN18)))</f>
        <v/>
      </c>
      <c r="G18" s="30" t="str">
        <f aca="false">IF($AN18=0,"",IF(INDEX(工程マスタ!$H:$H,$AN18)="","",INDEX(工程マスタ!$H:$H,$AN18)))</f>
        <v/>
      </c>
      <c r="H18" s="31" t="str">
        <f aca="false">IF(OR($AN18=0,H$3=""),"",IF(AND(INDEX(工程マスタ!$I:$I,$AN18)="○",$E18=H$3),"▼",""))</f>
        <v/>
      </c>
      <c r="I18" s="31" t="str">
        <f aca="false">IF(OR($AN18=0,I$3=""),"",IF(AND(INDEX(工程マスタ!$I:$I,$AN18)="○",$E18=I$3),"▼",""))</f>
        <v/>
      </c>
      <c r="J18" s="31" t="str">
        <f aca="false">IF(OR($AN18=0,J$3=""),"",IF(AND(INDEX(工程マスタ!$I:$I,$AN18)="○",$E18=J$3),"▼",""))</f>
        <v/>
      </c>
      <c r="K18" s="31" t="str">
        <f aca="false">IF(OR($AN18=0,K$3=""),"",IF(AND(INDEX(工程マスタ!$I:$I,$AN18)="○",$E18=K$3),"▼",""))</f>
        <v/>
      </c>
      <c r="L18" s="31" t="str">
        <f aca="false">IF(OR($AN18=0,L$3=""),"",IF(AND(INDEX(工程マスタ!$I:$I,$AN18)="○",$E18=L$3),"▼",""))</f>
        <v/>
      </c>
      <c r="M18" s="31" t="str">
        <f aca="false">IF(OR($AN18=0,M$3=""),"",IF(AND(INDEX(工程マスタ!$I:$I,$AN18)="○",$E18=M$3),"▼",""))</f>
        <v/>
      </c>
      <c r="N18" s="31" t="str">
        <f aca="false">IF(OR($AN18=0,N$3=""),"",IF(AND(INDEX(工程マスタ!$I:$I,$AN18)="○",$E18=N$3),"▼",""))</f>
        <v/>
      </c>
      <c r="O18" s="31" t="str">
        <f aca="false">IF(OR($AN18=0,O$3=""),"",IF(AND(INDEX(工程マスタ!$I:$I,$AN18)="○",$E18=O$3),"▼",""))</f>
        <v/>
      </c>
      <c r="P18" s="31" t="str">
        <f aca="false">IF(OR($AN18=0,P$3=""),"",IF(AND(INDEX(工程マスタ!$I:$I,$AN18)="○",$E18=P$3),"▼",""))</f>
        <v/>
      </c>
      <c r="Q18" s="31" t="str">
        <f aca="false">IF(OR($AN18=0,Q$3=""),"",IF(AND(INDEX(工程マスタ!$I:$I,$AN18)="○",$E18=Q$3),"▼",""))</f>
        <v/>
      </c>
      <c r="R18" s="31" t="str">
        <f aca="false">IF(OR($AN18=0,R$3=""),"",IF(AND(INDEX(工程マスタ!$I:$I,$AN18)="○",$E18=R$3),"▼",""))</f>
        <v/>
      </c>
      <c r="S18" s="31" t="str">
        <f aca="false">IF(OR($AN18=0,S$3=""),"",IF(AND(INDEX(工程マスタ!$I:$I,$AN18)="○",$E18=S$3),"▼",""))</f>
        <v/>
      </c>
      <c r="T18" s="31" t="str">
        <f aca="false">IF(OR($AN18=0,T$3=""),"",IF(AND(INDEX(工程マスタ!$I:$I,$AN18)="○",$E18=T$3),"▼",""))</f>
        <v/>
      </c>
      <c r="U18" s="31" t="str">
        <f aca="false">IF(OR($AN18=0,U$3=""),"",IF(AND(INDEX(工程マスタ!$I:$I,$AN18)="○",$E18=U$3),"▼",""))</f>
        <v/>
      </c>
      <c r="V18" s="31" t="str">
        <f aca="false">IF(OR($AN18=0,V$3=""),"",IF(AND(INDEX(工程マスタ!$I:$I,$AN18)="○",$E18=V$3),"▼",""))</f>
        <v/>
      </c>
      <c r="W18" s="31" t="str">
        <f aca="false">IF(OR($AN18=0,W$3=""),"",IF(AND(INDEX(工程マスタ!$I:$I,$AN18)="○",$E18=W$3),"▼",""))</f>
        <v/>
      </c>
      <c r="X18" s="31" t="str">
        <f aca="false">IF(OR($AN18=0,X$3=""),"",IF(AND(INDEX(工程マスタ!$I:$I,$AN18)="○",$E18=X$3),"▼",""))</f>
        <v/>
      </c>
      <c r="Y18" s="31" t="str">
        <f aca="false">IF(OR($AN18=0,Y$3=""),"",IF(AND(INDEX(工程マスタ!$I:$I,$AN18)="○",$E18=Y$3),"▼",""))</f>
        <v/>
      </c>
      <c r="Z18" s="31" t="str">
        <f aca="false">IF(OR($AN18=0,Z$3=""),"",IF(AND(INDEX(工程マスタ!$I:$I,$AN18)="○",$E18=Z$3),"▼",""))</f>
        <v/>
      </c>
      <c r="AA18" s="31" t="str">
        <f aca="false">IF(OR($AN18=0,AA$3=""),"",IF(AND(INDEX(工程マスタ!$I:$I,$AN18)="○",$E18=AA$3),"▼",""))</f>
        <v/>
      </c>
      <c r="AB18" s="31" t="str">
        <f aca="false">IF(OR($AN18=0,AB$3=""),"",IF(AND(INDEX(工程マスタ!$I:$I,$AN18)="○",$E18=AB$3),"▼",""))</f>
        <v/>
      </c>
      <c r="AC18" s="31" t="str">
        <f aca="false">IF(OR($AN18=0,AC$3=""),"",IF(AND(INDEX(工程マスタ!$I:$I,$AN18)="○",$E18=AC$3),"▼",""))</f>
        <v/>
      </c>
      <c r="AD18" s="31" t="str">
        <f aca="false">IF(OR($AN18=0,AD$3=""),"",IF(AND(INDEX(工程マスタ!$I:$I,$AN18)="○",$E18=AD$3),"▼",""))</f>
        <v/>
      </c>
      <c r="AE18" s="31" t="str">
        <f aca="false">IF(OR($AN18=0,AE$3=""),"",IF(AND(INDEX(工程マスタ!$I:$I,$AN18)="○",$E18=AE$3),"▼",""))</f>
        <v/>
      </c>
      <c r="AF18" s="31" t="str">
        <f aca="false">IF(OR($AN18=0,AF$3=""),"",IF(AND(INDEX(工程マスタ!$I:$I,$AN18)="○",$E18=AF$3),"▼",""))</f>
        <v/>
      </c>
      <c r="AG18" s="31" t="str">
        <f aca="false">IF(OR($AN18=0,AG$3=""),"",IF(AND(INDEX(工程マスタ!$I:$I,$AN18)="○",$E18=AG$3),"▼",""))</f>
        <v/>
      </c>
      <c r="AH18" s="31" t="str">
        <f aca="false">IF(OR($AN18=0,AH$3=""),"",IF(AND(INDEX(工程マスタ!$I:$I,$AN18)="○",$E18=AH$3),"▼",""))</f>
        <v/>
      </c>
      <c r="AI18" s="31" t="str">
        <f aca="false">IF(OR($AN18=0,AI$3=""),"",IF(AND(INDEX(工程マスタ!$I:$I,$AN18)="○",$E18=AI$3),"▼",""))</f>
        <v/>
      </c>
      <c r="AJ18" s="31" t="str">
        <f aca="false">IF(OR($AN18=0,AJ$3=""),"",IF(AND(INDEX(工程マスタ!$I:$I,$AN18)="○",$E18=AJ$3),"▼",""))</f>
        <v/>
      </c>
      <c r="AK18" s="31" t="str">
        <f aca="false">IF(OR($AN18=0,AK$3=""),"",IF(AND(INDEX(工程マスタ!$I:$I,$AN18)="○",$E18=AK$3),"▼",""))</f>
        <v/>
      </c>
      <c r="AL18" s="31" t="str">
        <f aca="false">IF(OR($AN18=0,AL$3=""),"",IF(AND(INDEX(工程マスタ!$I:$I,$AN18)="○",$E18=AL$3),"▼",""))</f>
        <v/>
      </c>
      <c r="AN18" s="27" t="n">
        <f aca="false" t="array" ref="AN18:AN18">IFERROR(SMALL(IF((工程マスタ!$K$5:$K$154&gt;0)*(工程マスタ!$K$5:$K$154&lt;=$AN$2)*(工程マスタ!$L$5:$L$154&gt;=$AN$1),ROW(工程マスタ!$C$5:$C$154)),12),0)</f>
        <v>0</v>
      </c>
      <c r="AO18" s="27" t="n">
        <f aca="false">IF($AN18=0,0,INDEX(工程マスタ!$M:$M,$AN18))</f>
        <v>0</v>
      </c>
    </row>
    <row r="19" customFormat="false" ht="15" hidden="false" customHeight="false" outlineLevel="0" collapsed="false">
      <c r="A19" s="28" t="str">
        <f aca="false">IF($AN19=0,"",IF(INDEX(工程マスタ!$A:$A,$AN19)="","",INDEX(工程マスタ!$A:$A,$AN19)))</f>
        <v/>
      </c>
      <c r="B19" s="21" t="str">
        <f aca="false">IF($AN19=0,"",IF(INDEX(工程マスタ!$B:$B,$AN19)="","",INDEX(工程マスタ!$B:$B,$AN19)))</f>
        <v/>
      </c>
      <c r="C19" s="21" t="str">
        <f aca="false">IF($AN19=0,"",IF(INDEX(工程マスタ!$C:$C,$AN19)="","",INDEX(工程マスタ!$C:$C,$AN19)))</f>
        <v/>
      </c>
      <c r="D19" s="21" t="str">
        <f aca="false">IF($AN19=0,"",IF(INDEX(工程マスタ!$D:$D,$AN19)="","",INDEX(工程マスタ!$D:$D,$AN19)))</f>
        <v/>
      </c>
      <c r="E19" s="29" t="str">
        <f aca="false">IF($AN19=0,"",IF(INDEX(工程マスタ!$E:$E,$AN19)="","",INDEX(工程マスタ!$E:$E,$AN19)))</f>
        <v/>
      </c>
      <c r="F19" s="29" t="str">
        <f aca="false">IF($AN19=0,"",IF(INDEX(工程マスタ!$F:$F,$AN19)="","",INDEX(工程マスタ!$F:$F,$AN19)))</f>
        <v/>
      </c>
      <c r="G19" s="30" t="str">
        <f aca="false">IF($AN19=0,"",IF(INDEX(工程マスタ!$H:$H,$AN19)="","",INDEX(工程マスタ!$H:$H,$AN19)))</f>
        <v/>
      </c>
      <c r="H19" s="31" t="str">
        <f aca="false">IF(OR($AN19=0,H$3=""),"",IF(AND(INDEX(工程マスタ!$I:$I,$AN19)="○",$E19=H$3),"▼",""))</f>
        <v/>
      </c>
      <c r="I19" s="31" t="str">
        <f aca="false">IF(OR($AN19=0,I$3=""),"",IF(AND(INDEX(工程マスタ!$I:$I,$AN19)="○",$E19=I$3),"▼",""))</f>
        <v/>
      </c>
      <c r="J19" s="31" t="str">
        <f aca="false">IF(OR($AN19=0,J$3=""),"",IF(AND(INDEX(工程マスタ!$I:$I,$AN19)="○",$E19=J$3),"▼",""))</f>
        <v/>
      </c>
      <c r="K19" s="31" t="str">
        <f aca="false">IF(OR($AN19=0,K$3=""),"",IF(AND(INDEX(工程マスタ!$I:$I,$AN19)="○",$E19=K$3),"▼",""))</f>
        <v/>
      </c>
      <c r="L19" s="31" t="str">
        <f aca="false">IF(OR($AN19=0,L$3=""),"",IF(AND(INDEX(工程マスタ!$I:$I,$AN19)="○",$E19=L$3),"▼",""))</f>
        <v/>
      </c>
      <c r="M19" s="31" t="str">
        <f aca="false">IF(OR($AN19=0,M$3=""),"",IF(AND(INDEX(工程マスタ!$I:$I,$AN19)="○",$E19=M$3),"▼",""))</f>
        <v/>
      </c>
      <c r="N19" s="31" t="str">
        <f aca="false">IF(OR($AN19=0,N$3=""),"",IF(AND(INDEX(工程マスタ!$I:$I,$AN19)="○",$E19=N$3),"▼",""))</f>
        <v/>
      </c>
      <c r="O19" s="31" t="str">
        <f aca="false">IF(OR($AN19=0,O$3=""),"",IF(AND(INDEX(工程マスタ!$I:$I,$AN19)="○",$E19=O$3),"▼",""))</f>
        <v/>
      </c>
      <c r="P19" s="31" t="str">
        <f aca="false">IF(OR($AN19=0,P$3=""),"",IF(AND(INDEX(工程マスタ!$I:$I,$AN19)="○",$E19=P$3),"▼",""))</f>
        <v/>
      </c>
      <c r="Q19" s="31" t="str">
        <f aca="false">IF(OR($AN19=0,Q$3=""),"",IF(AND(INDEX(工程マスタ!$I:$I,$AN19)="○",$E19=Q$3),"▼",""))</f>
        <v/>
      </c>
      <c r="R19" s="31" t="str">
        <f aca="false">IF(OR($AN19=0,R$3=""),"",IF(AND(INDEX(工程マスタ!$I:$I,$AN19)="○",$E19=R$3),"▼",""))</f>
        <v/>
      </c>
      <c r="S19" s="31" t="str">
        <f aca="false">IF(OR($AN19=0,S$3=""),"",IF(AND(INDEX(工程マスタ!$I:$I,$AN19)="○",$E19=S$3),"▼",""))</f>
        <v/>
      </c>
      <c r="T19" s="31" t="str">
        <f aca="false">IF(OR($AN19=0,T$3=""),"",IF(AND(INDEX(工程マスタ!$I:$I,$AN19)="○",$E19=T$3),"▼",""))</f>
        <v/>
      </c>
      <c r="U19" s="31" t="str">
        <f aca="false">IF(OR($AN19=0,U$3=""),"",IF(AND(INDEX(工程マスタ!$I:$I,$AN19)="○",$E19=U$3),"▼",""))</f>
        <v/>
      </c>
      <c r="V19" s="31" t="str">
        <f aca="false">IF(OR($AN19=0,V$3=""),"",IF(AND(INDEX(工程マスタ!$I:$I,$AN19)="○",$E19=V$3),"▼",""))</f>
        <v/>
      </c>
      <c r="W19" s="31" t="str">
        <f aca="false">IF(OR($AN19=0,W$3=""),"",IF(AND(INDEX(工程マスタ!$I:$I,$AN19)="○",$E19=W$3),"▼",""))</f>
        <v/>
      </c>
      <c r="X19" s="31" t="str">
        <f aca="false">IF(OR($AN19=0,X$3=""),"",IF(AND(INDEX(工程マスタ!$I:$I,$AN19)="○",$E19=X$3),"▼",""))</f>
        <v/>
      </c>
      <c r="Y19" s="31" t="str">
        <f aca="false">IF(OR($AN19=0,Y$3=""),"",IF(AND(INDEX(工程マスタ!$I:$I,$AN19)="○",$E19=Y$3),"▼",""))</f>
        <v/>
      </c>
      <c r="Z19" s="31" t="str">
        <f aca="false">IF(OR($AN19=0,Z$3=""),"",IF(AND(INDEX(工程マスタ!$I:$I,$AN19)="○",$E19=Z$3),"▼",""))</f>
        <v/>
      </c>
      <c r="AA19" s="31" t="str">
        <f aca="false">IF(OR($AN19=0,AA$3=""),"",IF(AND(INDEX(工程マスタ!$I:$I,$AN19)="○",$E19=AA$3),"▼",""))</f>
        <v/>
      </c>
      <c r="AB19" s="31" t="str">
        <f aca="false">IF(OR($AN19=0,AB$3=""),"",IF(AND(INDEX(工程マスタ!$I:$I,$AN19)="○",$E19=AB$3),"▼",""))</f>
        <v/>
      </c>
      <c r="AC19" s="31" t="str">
        <f aca="false">IF(OR($AN19=0,AC$3=""),"",IF(AND(INDEX(工程マスタ!$I:$I,$AN19)="○",$E19=AC$3),"▼",""))</f>
        <v/>
      </c>
      <c r="AD19" s="31" t="str">
        <f aca="false">IF(OR($AN19=0,AD$3=""),"",IF(AND(INDEX(工程マスタ!$I:$I,$AN19)="○",$E19=AD$3),"▼",""))</f>
        <v/>
      </c>
      <c r="AE19" s="31" t="str">
        <f aca="false">IF(OR($AN19=0,AE$3=""),"",IF(AND(INDEX(工程マスタ!$I:$I,$AN19)="○",$E19=AE$3),"▼",""))</f>
        <v/>
      </c>
      <c r="AF19" s="31" t="str">
        <f aca="false">IF(OR($AN19=0,AF$3=""),"",IF(AND(INDEX(工程マスタ!$I:$I,$AN19)="○",$E19=AF$3),"▼",""))</f>
        <v/>
      </c>
      <c r="AG19" s="31" t="str">
        <f aca="false">IF(OR($AN19=0,AG$3=""),"",IF(AND(INDEX(工程マスタ!$I:$I,$AN19)="○",$E19=AG$3),"▼",""))</f>
        <v/>
      </c>
      <c r="AH19" s="31" t="str">
        <f aca="false">IF(OR($AN19=0,AH$3=""),"",IF(AND(INDEX(工程マスタ!$I:$I,$AN19)="○",$E19=AH$3),"▼",""))</f>
        <v/>
      </c>
      <c r="AI19" s="31" t="str">
        <f aca="false">IF(OR($AN19=0,AI$3=""),"",IF(AND(INDEX(工程マスタ!$I:$I,$AN19)="○",$E19=AI$3),"▼",""))</f>
        <v/>
      </c>
      <c r="AJ19" s="31" t="str">
        <f aca="false">IF(OR($AN19=0,AJ$3=""),"",IF(AND(INDEX(工程マスタ!$I:$I,$AN19)="○",$E19=AJ$3),"▼",""))</f>
        <v/>
      </c>
      <c r="AK19" s="31" t="str">
        <f aca="false">IF(OR($AN19=0,AK$3=""),"",IF(AND(INDEX(工程マスタ!$I:$I,$AN19)="○",$E19=AK$3),"▼",""))</f>
        <v/>
      </c>
      <c r="AL19" s="31" t="str">
        <f aca="false">IF(OR($AN19=0,AL$3=""),"",IF(AND(INDEX(工程マスタ!$I:$I,$AN19)="○",$E19=AL$3),"▼",""))</f>
        <v/>
      </c>
      <c r="AN19" s="27" t="n">
        <f aca="false" t="array" ref="AN19:AN19">IFERROR(SMALL(IF((工程マスタ!$K$5:$K$154&gt;0)*(工程マスタ!$K$5:$K$154&lt;=$AN$2)*(工程マスタ!$L$5:$L$154&gt;=$AN$1),ROW(工程マスタ!$C$5:$C$154)),13),0)</f>
        <v>0</v>
      </c>
      <c r="AO19" s="27" t="n">
        <f aca="false">IF($AN19=0,0,INDEX(工程マスタ!$M:$M,$AN19))</f>
        <v>0</v>
      </c>
    </row>
    <row r="20" customFormat="false" ht="15" hidden="false" customHeight="false" outlineLevel="0" collapsed="false">
      <c r="A20" s="28" t="str">
        <f aca="false">IF($AN20=0,"",IF(INDEX(工程マスタ!$A:$A,$AN20)="","",INDEX(工程マスタ!$A:$A,$AN20)))</f>
        <v/>
      </c>
      <c r="B20" s="21" t="str">
        <f aca="false">IF($AN20=0,"",IF(INDEX(工程マスタ!$B:$B,$AN20)="","",INDEX(工程マスタ!$B:$B,$AN20)))</f>
        <v/>
      </c>
      <c r="C20" s="21" t="str">
        <f aca="false">IF($AN20=0,"",IF(INDEX(工程マスタ!$C:$C,$AN20)="","",INDEX(工程マスタ!$C:$C,$AN20)))</f>
        <v/>
      </c>
      <c r="D20" s="21" t="str">
        <f aca="false">IF($AN20=0,"",IF(INDEX(工程マスタ!$D:$D,$AN20)="","",INDEX(工程マスタ!$D:$D,$AN20)))</f>
        <v/>
      </c>
      <c r="E20" s="29" t="str">
        <f aca="false">IF($AN20=0,"",IF(INDEX(工程マスタ!$E:$E,$AN20)="","",INDEX(工程マスタ!$E:$E,$AN20)))</f>
        <v/>
      </c>
      <c r="F20" s="29" t="str">
        <f aca="false">IF($AN20=0,"",IF(INDEX(工程マスタ!$F:$F,$AN20)="","",INDEX(工程マスタ!$F:$F,$AN20)))</f>
        <v/>
      </c>
      <c r="G20" s="30" t="str">
        <f aca="false">IF($AN20=0,"",IF(INDEX(工程マスタ!$H:$H,$AN20)="","",INDEX(工程マスタ!$H:$H,$AN20)))</f>
        <v/>
      </c>
      <c r="H20" s="31" t="str">
        <f aca="false">IF(OR($AN20=0,H$3=""),"",IF(AND(INDEX(工程マスタ!$I:$I,$AN20)="○",$E20=H$3),"▼",""))</f>
        <v/>
      </c>
      <c r="I20" s="31" t="str">
        <f aca="false">IF(OR($AN20=0,I$3=""),"",IF(AND(INDEX(工程マスタ!$I:$I,$AN20)="○",$E20=I$3),"▼",""))</f>
        <v/>
      </c>
      <c r="J20" s="31" t="str">
        <f aca="false">IF(OR($AN20=0,J$3=""),"",IF(AND(INDEX(工程マスタ!$I:$I,$AN20)="○",$E20=J$3),"▼",""))</f>
        <v/>
      </c>
      <c r="K20" s="31" t="str">
        <f aca="false">IF(OR($AN20=0,K$3=""),"",IF(AND(INDEX(工程マスタ!$I:$I,$AN20)="○",$E20=K$3),"▼",""))</f>
        <v/>
      </c>
      <c r="L20" s="31" t="str">
        <f aca="false">IF(OR($AN20=0,L$3=""),"",IF(AND(INDEX(工程マスタ!$I:$I,$AN20)="○",$E20=L$3),"▼",""))</f>
        <v/>
      </c>
      <c r="M20" s="31" t="str">
        <f aca="false">IF(OR($AN20=0,M$3=""),"",IF(AND(INDEX(工程マスタ!$I:$I,$AN20)="○",$E20=M$3),"▼",""))</f>
        <v/>
      </c>
      <c r="N20" s="31" t="str">
        <f aca="false">IF(OR($AN20=0,N$3=""),"",IF(AND(INDEX(工程マスタ!$I:$I,$AN20)="○",$E20=N$3),"▼",""))</f>
        <v/>
      </c>
      <c r="O20" s="31" t="str">
        <f aca="false">IF(OR($AN20=0,O$3=""),"",IF(AND(INDEX(工程マスタ!$I:$I,$AN20)="○",$E20=O$3),"▼",""))</f>
        <v/>
      </c>
      <c r="P20" s="31" t="str">
        <f aca="false">IF(OR($AN20=0,P$3=""),"",IF(AND(INDEX(工程マスタ!$I:$I,$AN20)="○",$E20=P$3),"▼",""))</f>
        <v/>
      </c>
      <c r="Q20" s="31" t="str">
        <f aca="false">IF(OR($AN20=0,Q$3=""),"",IF(AND(INDEX(工程マスタ!$I:$I,$AN20)="○",$E20=Q$3),"▼",""))</f>
        <v/>
      </c>
      <c r="R20" s="31" t="str">
        <f aca="false">IF(OR($AN20=0,R$3=""),"",IF(AND(INDEX(工程マスタ!$I:$I,$AN20)="○",$E20=R$3),"▼",""))</f>
        <v/>
      </c>
      <c r="S20" s="31" t="str">
        <f aca="false">IF(OR($AN20=0,S$3=""),"",IF(AND(INDEX(工程マスタ!$I:$I,$AN20)="○",$E20=S$3),"▼",""))</f>
        <v/>
      </c>
      <c r="T20" s="31" t="str">
        <f aca="false">IF(OR($AN20=0,T$3=""),"",IF(AND(INDEX(工程マスタ!$I:$I,$AN20)="○",$E20=T$3),"▼",""))</f>
        <v/>
      </c>
      <c r="U20" s="31" t="str">
        <f aca="false">IF(OR($AN20=0,U$3=""),"",IF(AND(INDEX(工程マスタ!$I:$I,$AN20)="○",$E20=U$3),"▼",""))</f>
        <v/>
      </c>
      <c r="V20" s="31" t="str">
        <f aca="false">IF(OR($AN20=0,V$3=""),"",IF(AND(INDEX(工程マスタ!$I:$I,$AN20)="○",$E20=V$3),"▼",""))</f>
        <v/>
      </c>
      <c r="W20" s="31" t="str">
        <f aca="false">IF(OR($AN20=0,W$3=""),"",IF(AND(INDEX(工程マスタ!$I:$I,$AN20)="○",$E20=W$3),"▼",""))</f>
        <v/>
      </c>
      <c r="X20" s="31" t="str">
        <f aca="false">IF(OR($AN20=0,X$3=""),"",IF(AND(INDEX(工程マスタ!$I:$I,$AN20)="○",$E20=X$3),"▼",""))</f>
        <v/>
      </c>
      <c r="Y20" s="31" t="str">
        <f aca="false">IF(OR($AN20=0,Y$3=""),"",IF(AND(INDEX(工程マスタ!$I:$I,$AN20)="○",$E20=Y$3),"▼",""))</f>
        <v/>
      </c>
      <c r="Z20" s="31" t="str">
        <f aca="false">IF(OR($AN20=0,Z$3=""),"",IF(AND(INDEX(工程マスタ!$I:$I,$AN20)="○",$E20=Z$3),"▼",""))</f>
        <v/>
      </c>
      <c r="AA20" s="31" t="str">
        <f aca="false">IF(OR($AN20=0,AA$3=""),"",IF(AND(INDEX(工程マスタ!$I:$I,$AN20)="○",$E20=AA$3),"▼",""))</f>
        <v/>
      </c>
      <c r="AB20" s="31" t="str">
        <f aca="false">IF(OR($AN20=0,AB$3=""),"",IF(AND(INDEX(工程マスタ!$I:$I,$AN20)="○",$E20=AB$3),"▼",""))</f>
        <v/>
      </c>
      <c r="AC20" s="31" t="str">
        <f aca="false">IF(OR($AN20=0,AC$3=""),"",IF(AND(INDEX(工程マスタ!$I:$I,$AN20)="○",$E20=AC$3),"▼",""))</f>
        <v/>
      </c>
      <c r="AD20" s="31" t="str">
        <f aca="false">IF(OR($AN20=0,AD$3=""),"",IF(AND(INDEX(工程マスタ!$I:$I,$AN20)="○",$E20=AD$3),"▼",""))</f>
        <v/>
      </c>
      <c r="AE20" s="31" t="str">
        <f aca="false">IF(OR($AN20=0,AE$3=""),"",IF(AND(INDEX(工程マスタ!$I:$I,$AN20)="○",$E20=AE$3),"▼",""))</f>
        <v/>
      </c>
      <c r="AF20" s="31" t="str">
        <f aca="false">IF(OR($AN20=0,AF$3=""),"",IF(AND(INDEX(工程マスタ!$I:$I,$AN20)="○",$E20=AF$3),"▼",""))</f>
        <v/>
      </c>
      <c r="AG20" s="31" t="str">
        <f aca="false">IF(OR($AN20=0,AG$3=""),"",IF(AND(INDEX(工程マスタ!$I:$I,$AN20)="○",$E20=AG$3),"▼",""))</f>
        <v/>
      </c>
      <c r="AH20" s="31" t="str">
        <f aca="false">IF(OR($AN20=0,AH$3=""),"",IF(AND(INDEX(工程マスタ!$I:$I,$AN20)="○",$E20=AH$3),"▼",""))</f>
        <v/>
      </c>
      <c r="AI20" s="31" t="str">
        <f aca="false">IF(OR($AN20=0,AI$3=""),"",IF(AND(INDEX(工程マスタ!$I:$I,$AN20)="○",$E20=AI$3),"▼",""))</f>
        <v/>
      </c>
      <c r="AJ20" s="31" t="str">
        <f aca="false">IF(OR($AN20=0,AJ$3=""),"",IF(AND(INDEX(工程マスタ!$I:$I,$AN20)="○",$E20=AJ$3),"▼",""))</f>
        <v/>
      </c>
      <c r="AK20" s="31" t="str">
        <f aca="false">IF(OR($AN20=0,AK$3=""),"",IF(AND(INDEX(工程マスタ!$I:$I,$AN20)="○",$E20=AK$3),"▼",""))</f>
        <v/>
      </c>
      <c r="AL20" s="31" t="str">
        <f aca="false">IF(OR($AN20=0,AL$3=""),"",IF(AND(INDEX(工程マスタ!$I:$I,$AN20)="○",$E20=AL$3),"▼",""))</f>
        <v/>
      </c>
      <c r="AN20" s="27" t="n">
        <f aca="false" t="array" ref="AN20:AN20">IFERROR(SMALL(IF((工程マスタ!$K$5:$K$154&gt;0)*(工程マスタ!$K$5:$K$154&lt;=$AN$2)*(工程マスタ!$L$5:$L$154&gt;=$AN$1),ROW(工程マスタ!$C$5:$C$154)),14),0)</f>
        <v>0</v>
      </c>
      <c r="AO20" s="27" t="n">
        <f aca="false">IF($AN20=0,0,INDEX(工程マスタ!$M:$M,$AN20))</f>
        <v>0</v>
      </c>
    </row>
    <row r="21" customFormat="false" ht="15" hidden="false" customHeight="false" outlineLevel="0" collapsed="false">
      <c r="A21" s="28" t="str">
        <f aca="false">IF($AN21=0,"",IF(INDEX(工程マスタ!$A:$A,$AN21)="","",INDEX(工程マスタ!$A:$A,$AN21)))</f>
        <v/>
      </c>
      <c r="B21" s="21" t="str">
        <f aca="false">IF($AN21=0,"",IF(INDEX(工程マスタ!$B:$B,$AN21)="","",INDEX(工程マスタ!$B:$B,$AN21)))</f>
        <v/>
      </c>
      <c r="C21" s="21" t="str">
        <f aca="false">IF($AN21=0,"",IF(INDEX(工程マスタ!$C:$C,$AN21)="","",INDEX(工程マスタ!$C:$C,$AN21)))</f>
        <v/>
      </c>
      <c r="D21" s="21" t="str">
        <f aca="false">IF($AN21=0,"",IF(INDEX(工程マスタ!$D:$D,$AN21)="","",INDEX(工程マスタ!$D:$D,$AN21)))</f>
        <v/>
      </c>
      <c r="E21" s="29" t="str">
        <f aca="false">IF($AN21=0,"",IF(INDEX(工程マスタ!$E:$E,$AN21)="","",INDEX(工程マスタ!$E:$E,$AN21)))</f>
        <v/>
      </c>
      <c r="F21" s="29" t="str">
        <f aca="false">IF($AN21=0,"",IF(INDEX(工程マスタ!$F:$F,$AN21)="","",INDEX(工程マスタ!$F:$F,$AN21)))</f>
        <v/>
      </c>
      <c r="G21" s="30" t="str">
        <f aca="false">IF($AN21=0,"",IF(INDEX(工程マスタ!$H:$H,$AN21)="","",INDEX(工程マスタ!$H:$H,$AN21)))</f>
        <v/>
      </c>
      <c r="H21" s="31" t="str">
        <f aca="false">IF(OR($AN21=0,H$3=""),"",IF(AND(INDEX(工程マスタ!$I:$I,$AN21)="○",$E21=H$3),"▼",""))</f>
        <v/>
      </c>
      <c r="I21" s="31" t="str">
        <f aca="false">IF(OR($AN21=0,I$3=""),"",IF(AND(INDEX(工程マスタ!$I:$I,$AN21)="○",$E21=I$3),"▼",""))</f>
        <v/>
      </c>
      <c r="J21" s="31" t="str">
        <f aca="false">IF(OR($AN21=0,J$3=""),"",IF(AND(INDEX(工程マスタ!$I:$I,$AN21)="○",$E21=J$3),"▼",""))</f>
        <v/>
      </c>
      <c r="K21" s="31" t="str">
        <f aca="false">IF(OR($AN21=0,K$3=""),"",IF(AND(INDEX(工程マスタ!$I:$I,$AN21)="○",$E21=K$3),"▼",""))</f>
        <v/>
      </c>
      <c r="L21" s="31" t="str">
        <f aca="false">IF(OR($AN21=0,L$3=""),"",IF(AND(INDEX(工程マスタ!$I:$I,$AN21)="○",$E21=L$3),"▼",""))</f>
        <v/>
      </c>
      <c r="M21" s="31" t="str">
        <f aca="false">IF(OR($AN21=0,M$3=""),"",IF(AND(INDEX(工程マスタ!$I:$I,$AN21)="○",$E21=M$3),"▼",""))</f>
        <v/>
      </c>
      <c r="N21" s="31" t="str">
        <f aca="false">IF(OR($AN21=0,N$3=""),"",IF(AND(INDEX(工程マスタ!$I:$I,$AN21)="○",$E21=N$3),"▼",""))</f>
        <v/>
      </c>
      <c r="O21" s="31" t="str">
        <f aca="false">IF(OR($AN21=0,O$3=""),"",IF(AND(INDEX(工程マスタ!$I:$I,$AN21)="○",$E21=O$3),"▼",""))</f>
        <v/>
      </c>
      <c r="P21" s="31" t="str">
        <f aca="false">IF(OR($AN21=0,P$3=""),"",IF(AND(INDEX(工程マスタ!$I:$I,$AN21)="○",$E21=P$3),"▼",""))</f>
        <v/>
      </c>
      <c r="Q21" s="31" t="str">
        <f aca="false">IF(OR($AN21=0,Q$3=""),"",IF(AND(INDEX(工程マスタ!$I:$I,$AN21)="○",$E21=Q$3),"▼",""))</f>
        <v/>
      </c>
      <c r="R21" s="31" t="str">
        <f aca="false">IF(OR($AN21=0,R$3=""),"",IF(AND(INDEX(工程マスタ!$I:$I,$AN21)="○",$E21=R$3),"▼",""))</f>
        <v/>
      </c>
      <c r="S21" s="31" t="str">
        <f aca="false">IF(OR($AN21=0,S$3=""),"",IF(AND(INDEX(工程マスタ!$I:$I,$AN21)="○",$E21=S$3),"▼",""))</f>
        <v/>
      </c>
      <c r="T21" s="31" t="str">
        <f aca="false">IF(OR($AN21=0,T$3=""),"",IF(AND(INDEX(工程マスタ!$I:$I,$AN21)="○",$E21=T$3),"▼",""))</f>
        <v/>
      </c>
      <c r="U21" s="31" t="str">
        <f aca="false">IF(OR($AN21=0,U$3=""),"",IF(AND(INDEX(工程マスタ!$I:$I,$AN21)="○",$E21=U$3),"▼",""))</f>
        <v/>
      </c>
      <c r="V21" s="31" t="str">
        <f aca="false">IF(OR($AN21=0,V$3=""),"",IF(AND(INDEX(工程マスタ!$I:$I,$AN21)="○",$E21=V$3),"▼",""))</f>
        <v/>
      </c>
      <c r="W21" s="31" t="str">
        <f aca="false">IF(OR($AN21=0,W$3=""),"",IF(AND(INDEX(工程マスタ!$I:$I,$AN21)="○",$E21=W$3),"▼",""))</f>
        <v/>
      </c>
      <c r="X21" s="31" t="str">
        <f aca="false">IF(OR($AN21=0,X$3=""),"",IF(AND(INDEX(工程マスタ!$I:$I,$AN21)="○",$E21=X$3),"▼",""))</f>
        <v/>
      </c>
      <c r="Y21" s="31" t="str">
        <f aca="false">IF(OR($AN21=0,Y$3=""),"",IF(AND(INDEX(工程マスタ!$I:$I,$AN21)="○",$E21=Y$3),"▼",""))</f>
        <v/>
      </c>
      <c r="Z21" s="31" t="str">
        <f aca="false">IF(OR($AN21=0,Z$3=""),"",IF(AND(INDEX(工程マスタ!$I:$I,$AN21)="○",$E21=Z$3),"▼",""))</f>
        <v/>
      </c>
      <c r="AA21" s="31" t="str">
        <f aca="false">IF(OR($AN21=0,AA$3=""),"",IF(AND(INDEX(工程マスタ!$I:$I,$AN21)="○",$E21=AA$3),"▼",""))</f>
        <v/>
      </c>
      <c r="AB21" s="31" t="str">
        <f aca="false">IF(OR($AN21=0,AB$3=""),"",IF(AND(INDEX(工程マスタ!$I:$I,$AN21)="○",$E21=AB$3),"▼",""))</f>
        <v/>
      </c>
      <c r="AC21" s="31" t="str">
        <f aca="false">IF(OR($AN21=0,AC$3=""),"",IF(AND(INDEX(工程マスタ!$I:$I,$AN21)="○",$E21=AC$3),"▼",""))</f>
        <v/>
      </c>
      <c r="AD21" s="31" t="str">
        <f aca="false">IF(OR($AN21=0,AD$3=""),"",IF(AND(INDEX(工程マスタ!$I:$I,$AN21)="○",$E21=AD$3),"▼",""))</f>
        <v/>
      </c>
      <c r="AE21" s="31" t="str">
        <f aca="false">IF(OR($AN21=0,AE$3=""),"",IF(AND(INDEX(工程マスタ!$I:$I,$AN21)="○",$E21=AE$3),"▼",""))</f>
        <v/>
      </c>
      <c r="AF21" s="31" t="str">
        <f aca="false">IF(OR($AN21=0,AF$3=""),"",IF(AND(INDEX(工程マスタ!$I:$I,$AN21)="○",$E21=AF$3),"▼",""))</f>
        <v/>
      </c>
      <c r="AG21" s="31" t="str">
        <f aca="false">IF(OR($AN21=0,AG$3=""),"",IF(AND(INDEX(工程マスタ!$I:$I,$AN21)="○",$E21=AG$3),"▼",""))</f>
        <v/>
      </c>
      <c r="AH21" s="31" t="str">
        <f aca="false">IF(OR($AN21=0,AH$3=""),"",IF(AND(INDEX(工程マスタ!$I:$I,$AN21)="○",$E21=AH$3),"▼",""))</f>
        <v/>
      </c>
      <c r="AI21" s="31" t="str">
        <f aca="false">IF(OR($AN21=0,AI$3=""),"",IF(AND(INDEX(工程マスタ!$I:$I,$AN21)="○",$E21=AI$3),"▼",""))</f>
        <v/>
      </c>
      <c r="AJ21" s="31" t="str">
        <f aca="false">IF(OR($AN21=0,AJ$3=""),"",IF(AND(INDEX(工程マスタ!$I:$I,$AN21)="○",$E21=AJ$3),"▼",""))</f>
        <v/>
      </c>
      <c r="AK21" s="31" t="str">
        <f aca="false">IF(OR($AN21=0,AK$3=""),"",IF(AND(INDEX(工程マスタ!$I:$I,$AN21)="○",$E21=AK$3),"▼",""))</f>
        <v/>
      </c>
      <c r="AL21" s="31" t="str">
        <f aca="false">IF(OR($AN21=0,AL$3=""),"",IF(AND(INDEX(工程マスタ!$I:$I,$AN21)="○",$E21=AL$3),"▼",""))</f>
        <v/>
      </c>
      <c r="AN21" s="27" t="n">
        <f aca="false" t="array" ref="AN21:AN21">IFERROR(SMALL(IF((工程マスタ!$K$5:$K$154&gt;0)*(工程マスタ!$K$5:$K$154&lt;=$AN$2)*(工程マスタ!$L$5:$L$154&gt;=$AN$1),ROW(工程マスタ!$C$5:$C$154)),15),0)</f>
        <v>0</v>
      </c>
      <c r="AO21" s="27" t="n">
        <f aca="false">IF($AN21=0,0,INDEX(工程マスタ!$M:$M,$AN21))</f>
        <v>0</v>
      </c>
    </row>
    <row r="22" customFormat="false" ht="15" hidden="false" customHeight="false" outlineLevel="0" collapsed="false">
      <c r="A22" s="28" t="str">
        <f aca="false">IF($AN22=0,"",IF(INDEX(工程マスタ!$A:$A,$AN22)="","",INDEX(工程マスタ!$A:$A,$AN22)))</f>
        <v/>
      </c>
      <c r="B22" s="21" t="str">
        <f aca="false">IF($AN22=0,"",IF(INDEX(工程マスタ!$B:$B,$AN22)="","",INDEX(工程マスタ!$B:$B,$AN22)))</f>
        <v/>
      </c>
      <c r="C22" s="21" t="str">
        <f aca="false">IF($AN22=0,"",IF(INDEX(工程マスタ!$C:$C,$AN22)="","",INDEX(工程マスタ!$C:$C,$AN22)))</f>
        <v/>
      </c>
      <c r="D22" s="21" t="str">
        <f aca="false">IF($AN22=0,"",IF(INDEX(工程マスタ!$D:$D,$AN22)="","",INDEX(工程マスタ!$D:$D,$AN22)))</f>
        <v/>
      </c>
      <c r="E22" s="29" t="str">
        <f aca="false">IF($AN22=0,"",IF(INDEX(工程マスタ!$E:$E,$AN22)="","",INDEX(工程マスタ!$E:$E,$AN22)))</f>
        <v/>
      </c>
      <c r="F22" s="29" t="str">
        <f aca="false">IF($AN22=0,"",IF(INDEX(工程マスタ!$F:$F,$AN22)="","",INDEX(工程マスタ!$F:$F,$AN22)))</f>
        <v/>
      </c>
      <c r="G22" s="30" t="str">
        <f aca="false">IF($AN22=0,"",IF(INDEX(工程マスタ!$H:$H,$AN22)="","",INDEX(工程マスタ!$H:$H,$AN22)))</f>
        <v/>
      </c>
      <c r="H22" s="31" t="str">
        <f aca="false">IF(OR($AN22=0,H$3=""),"",IF(AND(INDEX(工程マスタ!$I:$I,$AN22)="○",$E22=H$3),"▼",""))</f>
        <v/>
      </c>
      <c r="I22" s="31" t="str">
        <f aca="false">IF(OR($AN22=0,I$3=""),"",IF(AND(INDEX(工程マスタ!$I:$I,$AN22)="○",$E22=I$3),"▼",""))</f>
        <v/>
      </c>
      <c r="J22" s="31" t="str">
        <f aca="false">IF(OR($AN22=0,J$3=""),"",IF(AND(INDEX(工程マスタ!$I:$I,$AN22)="○",$E22=J$3),"▼",""))</f>
        <v/>
      </c>
      <c r="K22" s="31" t="str">
        <f aca="false">IF(OR($AN22=0,K$3=""),"",IF(AND(INDEX(工程マスタ!$I:$I,$AN22)="○",$E22=K$3),"▼",""))</f>
        <v/>
      </c>
      <c r="L22" s="31" t="str">
        <f aca="false">IF(OR($AN22=0,L$3=""),"",IF(AND(INDEX(工程マスタ!$I:$I,$AN22)="○",$E22=L$3),"▼",""))</f>
        <v/>
      </c>
      <c r="M22" s="31" t="str">
        <f aca="false">IF(OR($AN22=0,M$3=""),"",IF(AND(INDEX(工程マスタ!$I:$I,$AN22)="○",$E22=M$3),"▼",""))</f>
        <v/>
      </c>
      <c r="N22" s="31" t="str">
        <f aca="false">IF(OR($AN22=0,N$3=""),"",IF(AND(INDEX(工程マスタ!$I:$I,$AN22)="○",$E22=N$3),"▼",""))</f>
        <v/>
      </c>
      <c r="O22" s="31" t="str">
        <f aca="false">IF(OR($AN22=0,O$3=""),"",IF(AND(INDEX(工程マスタ!$I:$I,$AN22)="○",$E22=O$3),"▼",""))</f>
        <v/>
      </c>
      <c r="P22" s="31" t="str">
        <f aca="false">IF(OR($AN22=0,P$3=""),"",IF(AND(INDEX(工程マスタ!$I:$I,$AN22)="○",$E22=P$3),"▼",""))</f>
        <v/>
      </c>
      <c r="Q22" s="31" t="str">
        <f aca="false">IF(OR($AN22=0,Q$3=""),"",IF(AND(INDEX(工程マスタ!$I:$I,$AN22)="○",$E22=Q$3),"▼",""))</f>
        <v/>
      </c>
      <c r="R22" s="31" t="str">
        <f aca="false">IF(OR($AN22=0,R$3=""),"",IF(AND(INDEX(工程マスタ!$I:$I,$AN22)="○",$E22=R$3),"▼",""))</f>
        <v/>
      </c>
      <c r="S22" s="31" t="str">
        <f aca="false">IF(OR($AN22=0,S$3=""),"",IF(AND(INDEX(工程マスタ!$I:$I,$AN22)="○",$E22=S$3),"▼",""))</f>
        <v/>
      </c>
      <c r="T22" s="31" t="str">
        <f aca="false">IF(OR($AN22=0,T$3=""),"",IF(AND(INDEX(工程マスタ!$I:$I,$AN22)="○",$E22=T$3),"▼",""))</f>
        <v/>
      </c>
      <c r="U22" s="31" t="str">
        <f aca="false">IF(OR($AN22=0,U$3=""),"",IF(AND(INDEX(工程マスタ!$I:$I,$AN22)="○",$E22=U$3),"▼",""))</f>
        <v/>
      </c>
      <c r="V22" s="31" t="str">
        <f aca="false">IF(OR($AN22=0,V$3=""),"",IF(AND(INDEX(工程マスタ!$I:$I,$AN22)="○",$E22=V$3),"▼",""))</f>
        <v/>
      </c>
      <c r="W22" s="31" t="str">
        <f aca="false">IF(OR($AN22=0,W$3=""),"",IF(AND(INDEX(工程マスタ!$I:$I,$AN22)="○",$E22=W$3),"▼",""))</f>
        <v/>
      </c>
      <c r="X22" s="31" t="str">
        <f aca="false">IF(OR($AN22=0,X$3=""),"",IF(AND(INDEX(工程マスタ!$I:$I,$AN22)="○",$E22=X$3),"▼",""))</f>
        <v/>
      </c>
      <c r="Y22" s="31" t="str">
        <f aca="false">IF(OR($AN22=0,Y$3=""),"",IF(AND(INDEX(工程マスタ!$I:$I,$AN22)="○",$E22=Y$3),"▼",""))</f>
        <v/>
      </c>
      <c r="Z22" s="31" t="str">
        <f aca="false">IF(OR($AN22=0,Z$3=""),"",IF(AND(INDEX(工程マスタ!$I:$I,$AN22)="○",$E22=Z$3),"▼",""))</f>
        <v/>
      </c>
      <c r="AA22" s="31" t="str">
        <f aca="false">IF(OR($AN22=0,AA$3=""),"",IF(AND(INDEX(工程マスタ!$I:$I,$AN22)="○",$E22=AA$3),"▼",""))</f>
        <v/>
      </c>
      <c r="AB22" s="31" t="str">
        <f aca="false">IF(OR($AN22=0,AB$3=""),"",IF(AND(INDEX(工程マスタ!$I:$I,$AN22)="○",$E22=AB$3),"▼",""))</f>
        <v/>
      </c>
      <c r="AC22" s="31" t="str">
        <f aca="false">IF(OR($AN22=0,AC$3=""),"",IF(AND(INDEX(工程マスタ!$I:$I,$AN22)="○",$E22=AC$3),"▼",""))</f>
        <v/>
      </c>
      <c r="AD22" s="31" t="str">
        <f aca="false">IF(OR($AN22=0,AD$3=""),"",IF(AND(INDEX(工程マスタ!$I:$I,$AN22)="○",$E22=AD$3),"▼",""))</f>
        <v/>
      </c>
      <c r="AE22" s="31" t="str">
        <f aca="false">IF(OR($AN22=0,AE$3=""),"",IF(AND(INDEX(工程マスタ!$I:$I,$AN22)="○",$E22=AE$3),"▼",""))</f>
        <v/>
      </c>
      <c r="AF22" s="31" t="str">
        <f aca="false">IF(OR($AN22=0,AF$3=""),"",IF(AND(INDEX(工程マスタ!$I:$I,$AN22)="○",$E22=AF$3),"▼",""))</f>
        <v/>
      </c>
      <c r="AG22" s="31" t="str">
        <f aca="false">IF(OR($AN22=0,AG$3=""),"",IF(AND(INDEX(工程マスタ!$I:$I,$AN22)="○",$E22=AG$3),"▼",""))</f>
        <v/>
      </c>
      <c r="AH22" s="31" t="str">
        <f aca="false">IF(OR($AN22=0,AH$3=""),"",IF(AND(INDEX(工程マスタ!$I:$I,$AN22)="○",$E22=AH$3),"▼",""))</f>
        <v/>
      </c>
      <c r="AI22" s="31" t="str">
        <f aca="false">IF(OR($AN22=0,AI$3=""),"",IF(AND(INDEX(工程マスタ!$I:$I,$AN22)="○",$E22=AI$3),"▼",""))</f>
        <v/>
      </c>
      <c r="AJ22" s="31" t="str">
        <f aca="false">IF(OR($AN22=0,AJ$3=""),"",IF(AND(INDEX(工程マスタ!$I:$I,$AN22)="○",$E22=AJ$3),"▼",""))</f>
        <v/>
      </c>
      <c r="AK22" s="31" t="str">
        <f aca="false">IF(OR($AN22=0,AK$3=""),"",IF(AND(INDEX(工程マスタ!$I:$I,$AN22)="○",$E22=AK$3),"▼",""))</f>
        <v/>
      </c>
      <c r="AL22" s="31" t="str">
        <f aca="false">IF(OR($AN22=0,AL$3=""),"",IF(AND(INDEX(工程マスタ!$I:$I,$AN22)="○",$E22=AL$3),"▼",""))</f>
        <v/>
      </c>
      <c r="AN22" s="27" t="n">
        <f aca="false" t="array" ref="AN22:AN22">IFERROR(SMALL(IF((工程マスタ!$K$5:$K$154&gt;0)*(工程マスタ!$K$5:$K$154&lt;=$AN$2)*(工程マスタ!$L$5:$L$154&gt;=$AN$1),ROW(工程マスタ!$C$5:$C$154)),16),0)</f>
        <v>0</v>
      </c>
      <c r="AO22" s="27" t="n">
        <f aca="false">IF($AN22=0,0,INDEX(工程マスタ!$M:$M,$AN22))</f>
        <v>0</v>
      </c>
    </row>
    <row r="23" customFormat="false" ht="15" hidden="false" customHeight="false" outlineLevel="0" collapsed="false">
      <c r="A23" s="28" t="str">
        <f aca="false">IF($AN23=0,"",IF(INDEX(工程マスタ!$A:$A,$AN23)="","",INDEX(工程マスタ!$A:$A,$AN23)))</f>
        <v/>
      </c>
      <c r="B23" s="21" t="str">
        <f aca="false">IF($AN23=0,"",IF(INDEX(工程マスタ!$B:$B,$AN23)="","",INDEX(工程マスタ!$B:$B,$AN23)))</f>
        <v/>
      </c>
      <c r="C23" s="21" t="str">
        <f aca="false">IF($AN23=0,"",IF(INDEX(工程マスタ!$C:$C,$AN23)="","",INDEX(工程マスタ!$C:$C,$AN23)))</f>
        <v/>
      </c>
      <c r="D23" s="21" t="str">
        <f aca="false">IF($AN23=0,"",IF(INDEX(工程マスタ!$D:$D,$AN23)="","",INDEX(工程マスタ!$D:$D,$AN23)))</f>
        <v/>
      </c>
      <c r="E23" s="29" t="str">
        <f aca="false">IF($AN23=0,"",IF(INDEX(工程マスタ!$E:$E,$AN23)="","",INDEX(工程マスタ!$E:$E,$AN23)))</f>
        <v/>
      </c>
      <c r="F23" s="29" t="str">
        <f aca="false">IF($AN23=0,"",IF(INDEX(工程マスタ!$F:$F,$AN23)="","",INDEX(工程マスタ!$F:$F,$AN23)))</f>
        <v/>
      </c>
      <c r="G23" s="30" t="str">
        <f aca="false">IF($AN23=0,"",IF(INDEX(工程マスタ!$H:$H,$AN23)="","",INDEX(工程マスタ!$H:$H,$AN23)))</f>
        <v/>
      </c>
      <c r="H23" s="31" t="str">
        <f aca="false">IF(OR($AN23=0,H$3=""),"",IF(AND(INDEX(工程マスタ!$I:$I,$AN23)="○",$E23=H$3),"▼",""))</f>
        <v/>
      </c>
      <c r="I23" s="31" t="str">
        <f aca="false">IF(OR($AN23=0,I$3=""),"",IF(AND(INDEX(工程マスタ!$I:$I,$AN23)="○",$E23=I$3),"▼",""))</f>
        <v/>
      </c>
      <c r="J23" s="31" t="str">
        <f aca="false">IF(OR($AN23=0,J$3=""),"",IF(AND(INDEX(工程マスタ!$I:$I,$AN23)="○",$E23=J$3),"▼",""))</f>
        <v/>
      </c>
      <c r="K23" s="31" t="str">
        <f aca="false">IF(OR($AN23=0,K$3=""),"",IF(AND(INDEX(工程マスタ!$I:$I,$AN23)="○",$E23=K$3),"▼",""))</f>
        <v/>
      </c>
      <c r="L23" s="31" t="str">
        <f aca="false">IF(OR($AN23=0,L$3=""),"",IF(AND(INDEX(工程マスタ!$I:$I,$AN23)="○",$E23=L$3),"▼",""))</f>
        <v/>
      </c>
      <c r="M23" s="31" t="str">
        <f aca="false">IF(OR($AN23=0,M$3=""),"",IF(AND(INDEX(工程マスタ!$I:$I,$AN23)="○",$E23=M$3),"▼",""))</f>
        <v/>
      </c>
      <c r="N23" s="31" t="str">
        <f aca="false">IF(OR($AN23=0,N$3=""),"",IF(AND(INDEX(工程マスタ!$I:$I,$AN23)="○",$E23=N$3),"▼",""))</f>
        <v/>
      </c>
      <c r="O23" s="31" t="str">
        <f aca="false">IF(OR($AN23=0,O$3=""),"",IF(AND(INDEX(工程マスタ!$I:$I,$AN23)="○",$E23=O$3),"▼",""))</f>
        <v/>
      </c>
      <c r="P23" s="31" t="str">
        <f aca="false">IF(OR($AN23=0,P$3=""),"",IF(AND(INDEX(工程マスタ!$I:$I,$AN23)="○",$E23=P$3),"▼",""))</f>
        <v/>
      </c>
      <c r="Q23" s="31" t="str">
        <f aca="false">IF(OR($AN23=0,Q$3=""),"",IF(AND(INDEX(工程マスタ!$I:$I,$AN23)="○",$E23=Q$3),"▼",""))</f>
        <v/>
      </c>
      <c r="R23" s="31" t="str">
        <f aca="false">IF(OR($AN23=0,R$3=""),"",IF(AND(INDEX(工程マスタ!$I:$I,$AN23)="○",$E23=R$3),"▼",""))</f>
        <v/>
      </c>
      <c r="S23" s="31" t="str">
        <f aca="false">IF(OR($AN23=0,S$3=""),"",IF(AND(INDEX(工程マスタ!$I:$I,$AN23)="○",$E23=S$3),"▼",""))</f>
        <v/>
      </c>
      <c r="T23" s="31" t="str">
        <f aca="false">IF(OR($AN23=0,T$3=""),"",IF(AND(INDEX(工程マスタ!$I:$I,$AN23)="○",$E23=T$3),"▼",""))</f>
        <v/>
      </c>
      <c r="U23" s="31" t="str">
        <f aca="false">IF(OR($AN23=0,U$3=""),"",IF(AND(INDEX(工程マスタ!$I:$I,$AN23)="○",$E23=U$3),"▼",""))</f>
        <v/>
      </c>
      <c r="V23" s="31" t="str">
        <f aca="false">IF(OR($AN23=0,V$3=""),"",IF(AND(INDEX(工程マスタ!$I:$I,$AN23)="○",$E23=V$3),"▼",""))</f>
        <v/>
      </c>
      <c r="W23" s="31" t="str">
        <f aca="false">IF(OR($AN23=0,W$3=""),"",IF(AND(INDEX(工程マスタ!$I:$I,$AN23)="○",$E23=W$3),"▼",""))</f>
        <v/>
      </c>
      <c r="X23" s="31" t="str">
        <f aca="false">IF(OR($AN23=0,X$3=""),"",IF(AND(INDEX(工程マスタ!$I:$I,$AN23)="○",$E23=X$3),"▼",""))</f>
        <v/>
      </c>
      <c r="Y23" s="31" t="str">
        <f aca="false">IF(OR($AN23=0,Y$3=""),"",IF(AND(INDEX(工程マスタ!$I:$I,$AN23)="○",$E23=Y$3),"▼",""))</f>
        <v/>
      </c>
      <c r="Z23" s="31" t="str">
        <f aca="false">IF(OR($AN23=0,Z$3=""),"",IF(AND(INDEX(工程マスタ!$I:$I,$AN23)="○",$E23=Z$3),"▼",""))</f>
        <v/>
      </c>
      <c r="AA23" s="31" t="str">
        <f aca="false">IF(OR($AN23=0,AA$3=""),"",IF(AND(INDEX(工程マスタ!$I:$I,$AN23)="○",$E23=AA$3),"▼",""))</f>
        <v/>
      </c>
      <c r="AB23" s="31" t="str">
        <f aca="false">IF(OR($AN23=0,AB$3=""),"",IF(AND(INDEX(工程マスタ!$I:$I,$AN23)="○",$E23=AB$3),"▼",""))</f>
        <v/>
      </c>
      <c r="AC23" s="31" t="str">
        <f aca="false">IF(OR($AN23=0,AC$3=""),"",IF(AND(INDEX(工程マスタ!$I:$I,$AN23)="○",$E23=AC$3),"▼",""))</f>
        <v/>
      </c>
      <c r="AD23" s="31" t="str">
        <f aca="false">IF(OR($AN23=0,AD$3=""),"",IF(AND(INDEX(工程マスタ!$I:$I,$AN23)="○",$E23=AD$3),"▼",""))</f>
        <v/>
      </c>
      <c r="AE23" s="31" t="str">
        <f aca="false">IF(OR($AN23=0,AE$3=""),"",IF(AND(INDEX(工程マスタ!$I:$I,$AN23)="○",$E23=AE$3),"▼",""))</f>
        <v/>
      </c>
      <c r="AF23" s="31" t="str">
        <f aca="false">IF(OR($AN23=0,AF$3=""),"",IF(AND(INDEX(工程マスタ!$I:$I,$AN23)="○",$E23=AF$3),"▼",""))</f>
        <v/>
      </c>
      <c r="AG23" s="31" t="str">
        <f aca="false">IF(OR($AN23=0,AG$3=""),"",IF(AND(INDEX(工程マスタ!$I:$I,$AN23)="○",$E23=AG$3),"▼",""))</f>
        <v/>
      </c>
      <c r="AH23" s="31" t="str">
        <f aca="false">IF(OR($AN23=0,AH$3=""),"",IF(AND(INDEX(工程マスタ!$I:$I,$AN23)="○",$E23=AH$3),"▼",""))</f>
        <v/>
      </c>
      <c r="AI23" s="31" t="str">
        <f aca="false">IF(OR($AN23=0,AI$3=""),"",IF(AND(INDEX(工程マスタ!$I:$I,$AN23)="○",$E23=AI$3),"▼",""))</f>
        <v/>
      </c>
      <c r="AJ23" s="31" t="str">
        <f aca="false">IF(OR($AN23=0,AJ$3=""),"",IF(AND(INDEX(工程マスタ!$I:$I,$AN23)="○",$E23=AJ$3),"▼",""))</f>
        <v/>
      </c>
      <c r="AK23" s="31" t="str">
        <f aca="false">IF(OR($AN23=0,AK$3=""),"",IF(AND(INDEX(工程マスタ!$I:$I,$AN23)="○",$E23=AK$3),"▼",""))</f>
        <v/>
      </c>
      <c r="AL23" s="31" t="str">
        <f aca="false">IF(OR($AN23=0,AL$3=""),"",IF(AND(INDEX(工程マスタ!$I:$I,$AN23)="○",$E23=AL$3),"▼",""))</f>
        <v/>
      </c>
      <c r="AN23" s="27" t="n">
        <f aca="false" t="array" ref="AN23:AN23">IFERROR(SMALL(IF((工程マスタ!$K$5:$K$154&gt;0)*(工程マスタ!$K$5:$K$154&lt;=$AN$2)*(工程マスタ!$L$5:$L$154&gt;=$AN$1),ROW(工程マスタ!$C$5:$C$154)),17),0)</f>
        <v>0</v>
      </c>
      <c r="AO23" s="27" t="n">
        <f aca="false">IF($AN23=0,0,INDEX(工程マスタ!$M:$M,$AN23))</f>
        <v>0</v>
      </c>
    </row>
    <row r="24" customFormat="false" ht="15" hidden="false" customHeight="false" outlineLevel="0" collapsed="false">
      <c r="A24" s="28" t="str">
        <f aca="false">IF($AN24=0,"",IF(INDEX(工程マスタ!$A:$A,$AN24)="","",INDEX(工程マスタ!$A:$A,$AN24)))</f>
        <v/>
      </c>
      <c r="B24" s="21" t="str">
        <f aca="false">IF($AN24=0,"",IF(INDEX(工程マスタ!$B:$B,$AN24)="","",INDEX(工程マスタ!$B:$B,$AN24)))</f>
        <v/>
      </c>
      <c r="C24" s="21" t="str">
        <f aca="false">IF($AN24=0,"",IF(INDEX(工程マスタ!$C:$C,$AN24)="","",INDEX(工程マスタ!$C:$C,$AN24)))</f>
        <v/>
      </c>
      <c r="D24" s="21" t="str">
        <f aca="false">IF($AN24=0,"",IF(INDEX(工程マスタ!$D:$D,$AN24)="","",INDEX(工程マスタ!$D:$D,$AN24)))</f>
        <v/>
      </c>
      <c r="E24" s="29" t="str">
        <f aca="false">IF($AN24=0,"",IF(INDEX(工程マスタ!$E:$E,$AN24)="","",INDEX(工程マスタ!$E:$E,$AN24)))</f>
        <v/>
      </c>
      <c r="F24" s="29" t="str">
        <f aca="false">IF($AN24=0,"",IF(INDEX(工程マスタ!$F:$F,$AN24)="","",INDEX(工程マスタ!$F:$F,$AN24)))</f>
        <v/>
      </c>
      <c r="G24" s="30" t="str">
        <f aca="false">IF($AN24=0,"",IF(INDEX(工程マスタ!$H:$H,$AN24)="","",INDEX(工程マスタ!$H:$H,$AN24)))</f>
        <v/>
      </c>
      <c r="H24" s="31" t="str">
        <f aca="false">IF(OR($AN24=0,H$3=""),"",IF(AND(INDEX(工程マスタ!$I:$I,$AN24)="○",$E24=H$3),"▼",""))</f>
        <v/>
      </c>
      <c r="I24" s="31" t="str">
        <f aca="false">IF(OR($AN24=0,I$3=""),"",IF(AND(INDEX(工程マスタ!$I:$I,$AN24)="○",$E24=I$3),"▼",""))</f>
        <v/>
      </c>
      <c r="J24" s="31" t="str">
        <f aca="false">IF(OR($AN24=0,J$3=""),"",IF(AND(INDEX(工程マスタ!$I:$I,$AN24)="○",$E24=J$3),"▼",""))</f>
        <v/>
      </c>
      <c r="K24" s="31" t="str">
        <f aca="false">IF(OR($AN24=0,K$3=""),"",IF(AND(INDEX(工程マスタ!$I:$I,$AN24)="○",$E24=K$3),"▼",""))</f>
        <v/>
      </c>
      <c r="L24" s="31" t="str">
        <f aca="false">IF(OR($AN24=0,L$3=""),"",IF(AND(INDEX(工程マスタ!$I:$I,$AN24)="○",$E24=L$3),"▼",""))</f>
        <v/>
      </c>
      <c r="M24" s="31" t="str">
        <f aca="false">IF(OR($AN24=0,M$3=""),"",IF(AND(INDEX(工程マスタ!$I:$I,$AN24)="○",$E24=M$3),"▼",""))</f>
        <v/>
      </c>
      <c r="N24" s="31" t="str">
        <f aca="false">IF(OR($AN24=0,N$3=""),"",IF(AND(INDEX(工程マスタ!$I:$I,$AN24)="○",$E24=N$3),"▼",""))</f>
        <v/>
      </c>
      <c r="O24" s="31" t="str">
        <f aca="false">IF(OR($AN24=0,O$3=""),"",IF(AND(INDEX(工程マスタ!$I:$I,$AN24)="○",$E24=O$3),"▼",""))</f>
        <v/>
      </c>
      <c r="P24" s="31" t="str">
        <f aca="false">IF(OR($AN24=0,P$3=""),"",IF(AND(INDEX(工程マスタ!$I:$I,$AN24)="○",$E24=P$3),"▼",""))</f>
        <v/>
      </c>
      <c r="Q24" s="31" t="str">
        <f aca="false">IF(OR($AN24=0,Q$3=""),"",IF(AND(INDEX(工程マスタ!$I:$I,$AN24)="○",$E24=Q$3),"▼",""))</f>
        <v/>
      </c>
      <c r="R24" s="31" t="str">
        <f aca="false">IF(OR($AN24=0,R$3=""),"",IF(AND(INDEX(工程マスタ!$I:$I,$AN24)="○",$E24=R$3),"▼",""))</f>
        <v/>
      </c>
      <c r="S24" s="31" t="str">
        <f aca="false">IF(OR($AN24=0,S$3=""),"",IF(AND(INDEX(工程マスタ!$I:$I,$AN24)="○",$E24=S$3),"▼",""))</f>
        <v/>
      </c>
      <c r="T24" s="31" t="str">
        <f aca="false">IF(OR($AN24=0,T$3=""),"",IF(AND(INDEX(工程マスタ!$I:$I,$AN24)="○",$E24=T$3),"▼",""))</f>
        <v/>
      </c>
      <c r="U24" s="31" t="str">
        <f aca="false">IF(OR($AN24=0,U$3=""),"",IF(AND(INDEX(工程マスタ!$I:$I,$AN24)="○",$E24=U$3),"▼",""))</f>
        <v/>
      </c>
      <c r="V24" s="31" t="str">
        <f aca="false">IF(OR($AN24=0,V$3=""),"",IF(AND(INDEX(工程マスタ!$I:$I,$AN24)="○",$E24=V$3),"▼",""))</f>
        <v/>
      </c>
      <c r="W24" s="31" t="str">
        <f aca="false">IF(OR($AN24=0,W$3=""),"",IF(AND(INDEX(工程マスタ!$I:$I,$AN24)="○",$E24=W$3),"▼",""))</f>
        <v/>
      </c>
      <c r="X24" s="31" t="str">
        <f aca="false">IF(OR($AN24=0,X$3=""),"",IF(AND(INDEX(工程マスタ!$I:$I,$AN24)="○",$E24=X$3),"▼",""))</f>
        <v/>
      </c>
      <c r="Y24" s="31" t="str">
        <f aca="false">IF(OR($AN24=0,Y$3=""),"",IF(AND(INDEX(工程マスタ!$I:$I,$AN24)="○",$E24=Y$3),"▼",""))</f>
        <v/>
      </c>
      <c r="Z24" s="31" t="str">
        <f aca="false">IF(OR($AN24=0,Z$3=""),"",IF(AND(INDEX(工程マスタ!$I:$I,$AN24)="○",$E24=Z$3),"▼",""))</f>
        <v/>
      </c>
      <c r="AA24" s="31" t="str">
        <f aca="false">IF(OR($AN24=0,AA$3=""),"",IF(AND(INDEX(工程マスタ!$I:$I,$AN24)="○",$E24=AA$3),"▼",""))</f>
        <v/>
      </c>
      <c r="AB24" s="31" t="str">
        <f aca="false">IF(OR($AN24=0,AB$3=""),"",IF(AND(INDEX(工程マスタ!$I:$I,$AN24)="○",$E24=AB$3),"▼",""))</f>
        <v/>
      </c>
      <c r="AC24" s="31" t="str">
        <f aca="false">IF(OR($AN24=0,AC$3=""),"",IF(AND(INDEX(工程マスタ!$I:$I,$AN24)="○",$E24=AC$3),"▼",""))</f>
        <v/>
      </c>
      <c r="AD24" s="31" t="str">
        <f aca="false">IF(OR($AN24=0,AD$3=""),"",IF(AND(INDEX(工程マスタ!$I:$I,$AN24)="○",$E24=AD$3),"▼",""))</f>
        <v/>
      </c>
      <c r="AE24" s="31" t="str">
        <f aca="false">IF(OR($AN24=0,AE$3=""),"",IF(AND(INDEX(工程マスタ!$I:$I,$AN24)="○",$E24=AE$3),"▼",""))</f>
        <v/>
      </c>
      <c r="AF24" s="31" t="str">
        <f aca="false">IF(OR($AN24=0,AF$3=""),"",IF(AND(INDEX(工程マスタ!$I:$I,$AN24)="○",$E24=AF$3),"▼",""))</f>
        <v/>
      </c>
      <c r="AG24" s="31" t="str">
        <f aca="false">IF(OR($AN24=0,AG$3=""),"",IF(AND(INDEX(工程マスタ!$I:$I,$AN24)="○",$E24=AG$3),"▼",""))</f>
        <v/>
      </c>
      <c r="AH24" s="31" t="str">
        <f aca="false">IF(OR($AN24=0,AH$3=""),"",IF(AND(INDEX(工程マスタ!$I:$I,$AN24)="○",$E24=AH$3),"▼",""))</f>
        <v/>
      </c>
      <c r="AI24" s="31" t="str">
        <f aca="false">IF(OR($AN24=0,AI$3=""),"",IF(AND(INDEX(工程マスタ!$I:$I,$AN24)="○",$E24=AI$3),"▼",""))</f>
        <v/>
      </c>
      <c r="AJ24" s="31" t="str">
        <f aca="false">IF(OR($AN24=0,AJ$3=""),"",IF(AND(INDEX(工程マスタ!$I:$I,$AN24)="○",$E24=AJ$3),"▼",""))</f>
        <v/>
      </c>
      <c r="AK24" s="31" t="str">
        <f aca="false">IF(OR($AN24=0,AK$3=""),"",IF(AND(INDEX(工程マスタ!$I:$I,$AN24)="○",$E24=AK$3),"▼",""))</f>
        <v/>
      </c>
      <c r="AL24" s="31" t="str">
        <f aca="false">IF(OR($AN24=0,AL$3=""),"",IF(AND(INDEX(工程マスタ!$I:$I,$AN24)="○",$E24=AL$3),"▼",""))</f>
        <v/>
      </c>
      <c r="AN24" s="27" t="n">
        <f aca="false" t="array" ref="AN24:AN24">IFERROR(SMALL(IF((工程マスタ!$K$5:$K$154&gt;0)*(工程マスタ!$K$5:$K$154&lt;=$AN$2)*(工程マスタ!$L$5:$L$154&gt;=$AN$1),ROW(工程マスタ!$C$5:$C$154)),18),0)</f>
        <v>0</v>
      </c>
      <c r="AO24" s="27" t="n">
        <f aca="false">IF($AN24=0,0,INDEX(工程マスタ!$M:$M,$AN24))</f>
        <v>0</v>
      </c>
    </row>
    <row r="25" customFormat="false" ht="15" hidden="false" customHeight="false" outlineLevel="0" collapsed="false">
      <c r="A25" s="28" t="str">
        <f aca="false">IF($AN25=0,"",IF(INDEX(工程マスタ!$A:$A,$AN25)="","",INDEX(工程マスタ!$A:$A,$AN25)))</f>
        <v/>
      </c>
      <c r="B25" s="21" t="str">
        <f aca="false">IF($AN25=0,"",IF(INDEX(工程マスタ!$B:$B,$AN25)="","",INDEX(工程マスタ!$B:$B,$AN25)))</f>
        <v/>
      </c>
      <c r="C25" s="21" t="str">
        <f aca="false">IF($AN25=0,"",IF(INDEX(工程マスタ!$C:$C,$AN25)="","",INDEX(工程マスタ!$C:$C,$AN25)))</f>
        <v/>
      </c>
      <c r="D25" s="21" t="str">
        <f aca="false">IF($AN25=0,"",IF(INDEX(工程マスタ!$D:$D,$AN25)="","",INDEX(工程マスタ!$D:$D,$AN25)))</f>
        <v/>
      </c>
      <c r="E25" s="29" t="str">
        <f aca="false">IF($AN25=0,"",IF(INDEX(工程マスタ!$E:$E,$AN25)="","",INDEX(工程マスタ!$E:$E,$AN25)))</f>
        <v/>
      </c>
      <c r="F25" s="29" t="str">
        <f aca="false">IF($AN25=0,"",IF(INDEX(工程マスタ!$F:$F,$AN25)="","",INDEX(工程マスタ!$F:$F,$AN25)))</f>
        <v/>
      </c>
      <c r="G25" s="30" t="str">
        <f aca="false">IF($AN25=0,"",IF(INDEX(工程マスタ!$H:$H,$AN25)="","",INDEX(工程マスタ!$H:$H,$AN25)))</f>
        <v/>
      </c>
      <c r="H25" s="31" t="str">
        <f aca="false">IF(OR($AN25=0,H$3=""),"",IF(AND(INDEX(工程マスタ!$I:$I,$AN25)="○",$E25=H$3),"▼",""))</f>
        <v/>
      </c>
      <c r="I25" s="31" t="str">
        <f aca="false">IF(OR($AN25=0,I$3=""),"",IF(AND(INDEX(工程マスタ!$I:$I,$AN25)="○",$E25=I$3),"▼",""))</f>
        <v/>
      </c>
      <c r="J25" s="31" t="str">
        <f aca="false">IF(OR($AN25=0,J$3=""),"",IF(AND(INDEX(工程マスタ!$I:$I,$AN25)="○",$E25=J$3),"▼",""))</f>
        <v/>
      </c>
      <c r="K25" s="31" t="str">
        <f aca="false">IF(OR($AN25=0,K$3=""),"",IF(AND(INDEX(工程マスタ!$I:$I,$AN25)="○",$E25=K$3),"▼",""))</f>
        <v/>
      </c>
      <c r="L25" s="31" t="str">
        <f aca="false">IF(OR($AN25=0,L$3=""),"",IF(AND(INDEX(工程マスタ!$I:$I,$AN25)="○",$E25=L$3),"▼",""))</f>
        <v/>
      </c>
      <c r="M25" s="31" t="str">
        <f aca="false">IF(OR($AN25=0,M$3=""),"",IF(AND(INDEX(工程マスタ!$I:$I,$AN25)="○",$E25=M$3),"▼",""))</f>
        <v/>
      </c>
      <c r="N25" s="31" t="str">
        <f aca="false">IF(OR($AN25=0,N$3=""),"",IF(AND(INDEX(工程マスタ!$I:$I,$AN25)="○",$E25=N$3),"▼",""))</f>
        <v/>
      </c>
      <c r="O25" s="31" t="str">
        <f aca="false">IF(OR($AN25=0,O$3=""),"",IF(AND(INDEX(工程マスタ!$I:$I,$AN25)="○",$E25=O$3),"▼",""))</f>
        <v/>
      </c>
      <c r="P25" s="31" t="str">
        <f aca="false">IF(OR($AN25=0,P$3=""),"",IF(AND(INDEX(工程マスタ!$I:$I,$AN25)="○",$E25=P$3),"▼",""))</f>
        <v/>
      </c>
      <c r="Q25" s="31" t="str">
        <f aca="false">IF(OR($AN25=0,Q$3=""),"",IF(AND(INDEX(工程マスタ!$I:$I,$AN25)="○",$E25=Q$3),"▼",""))</f>
        <v/>
      </c>
      <c r="R25" s="31" t="str">
        <f aca="false">IF(OR($AN25=0,R$3=""),"",IF(AND(INDEX(工程マスタ!$I:$I,$AN25)="○",$E25=R$3),"▼",""))</f>
        <v/>
      </c>
      <c r="S25" s="31" t="str">
        <f aca="false">IF(OR($AN25=0,S$3=""),"",IF(AND(INDEX(工程マスタ!$I:$I,$AN25)="○",$E25=S$3),"▼",""))</f>
        <v/>
      </c>
      <c r="T25" s="31" t="str">
        <f aca="false">IF(OR($AN25=0,T$3=""),"",IF(AND(INDEX(工程マスタ!$I:$I,$AN25)="○",$E25=T$3),"▼",""))</f>
        <v/>
      </c>
      <c r="U25" s="31" t="str">
        <f aca="false">IF(OR($AN25=0,U$3=""),"",IF(AND(INDEX(工程マスタ!$I:$I,$AN25)="○",$E25=U$3),"▼",""))</f>
        <v/>
      </c>
      <c r="V25" s="31" t="str">
        <f aca="false">IF(OR($AN25=0,V$3=""),"",IF(AND(INDEX(工程マスタ!$I:$I,$AN25)="○",$E25=V$3),"▼",""))</f>
        <v/>
      </c>
      <c r="W25" s="31" t="str">
        <f aca="false">IF(OR($AN25=0,W$3=""),"",IF(AND(INDEX(工程マスタ!$I:$I,$AN25)="○",$E25=W$3),"▼",""))</f>
        <v/>
      </c>
      <c r="X25" s="31" t="str">
        <f aca="false">IF(OR($AN25=0,X$3=""),"",IF(AND(INDEX(工程マスタ!$I:$I,$AN25)="○",$E25=X$3),"▼",""))</f>
        <v/>
      </c>
      <c r="Y25" s="31" t="str">
        <f aca="false">IF(OR($AN25=0,Y$3=""),"",IF(AND(INDEX(工程マスタ!$I:$I,$AN25)="○",$E25=Y$3),"▼",""))</f>
        <v/>
      </c>
      <c r="Z25" s="31" t="str">
        <f aca="false">IF(OR($AN25=0,Z$3=""),"",IF(AND(INDEX(工程マスタ!$I:$I,$AN25)="○",$E25=Z$3),"▼",""))</f>
        <v/>
      </c>
      <c r="AA25" s="31" t="str">
        <f aca="false">IF(OR($AN25=0,AA$3=""),"",IF(AND(INDEX(工程マスタ!$I:$I,$AN25)="○",$E25=AA$3),"▼",""))</f>
        <v/>
      </c>
      <c r="AB25" s="31" t="str">
        <f aca="false">IF(OR($AN25=0,AB$3=""),"",IF(AND(INDEX(工程マスタ!$I:$I,$AN25)="○",$E25=AB$3),"▼",""))</f>
        <v/>
      </c>
      <c r="AC25" s="31" t="str">
        <f aca="false">IF(OR($AN25=0,AC$3=""),"",IF(AND(INDEX(工程マスタ!$I:$I,$AN25)="○",$E25=AC$3),"▼",""))</f>
        <v/>
      </c>
      <c r="AD25" s="31" t="str">
        <f aca="false">IF(OR($AN25=0,AD$3=""),"",IF(AND(INDEX(工程マスタ!$I:$I,$AN25)="○",$E25=AD$3),"▼",""))</f>
        <v/>
      </c>
      <c r="AE25" s="31" t="str">
        <f aca="false">IF(OR($AN25=0,AE$3=""),"",IF(AND(INDEX(工程マスタ!$I:$I,$AN25)="○",$E25=AE$3),"▼",""))</f>
        <v/>
      </c>
      <c r="AF25" s="31" t="str">
        <f aca="false">IF(OR($AN25=0,AF$3=""),"",IF(AND(INDEX(工程マスタ!$I:$I,$AN25)="○",$E25=AF$3),"▼",""))</f>
        <v/>
      </c>
      <c r="AG25" s="31" t="str">
        <f aca="false">IF(OR($AN25=0,AG$3=""),"",IF(AND(INDEX(工程マスタ!$I:$I,$AN25)="○",$E25=AG$3),"▼",""))</f>
        <v/>
      </c>
      <c r="AH25" s="31" t="str">
        <f aca="false">IF(OR($AN25=0,AH$3=""),"",IF(AND(INDEX(工程マスタ!$I:$I,$AN25)="○",$E25=AH$3),"▼",""))</f>
        <v/>
      </c>
      <c r="AI25" s="31" t="str">
        <f aca="false">IF(OR($AN25=0,AI$3=""),"",IF(AND(INDEX(工程マスタ!$I:$I,$AN25)="○",$E25=AI$3),"▼",""))</f>
        <v/>
      </c>
      <c r="AJ25" s="31" t="str">
        <f aca="false">IF(OR($AN25=0,AJ$3=""),"",IF(AND(INDEX(工程マスタ!$I:$I,$AN25)="○",$E25=AJ$3),"▼",""))</f>
        <v/>
      </c>
      <c r="AK25" s="31" t="str">
        <f aca="false">IF(OR($AN25=0,AK$3=""),"",IF(AND(INDEX(工程マスタ!$I:$I,$AN25)="○",$E25=AK$3),"▼",""))</f>
        <v/>
      </c>
      <c r="AL25" s="31" t="str">
        <f aca="false">IF(OR($AN25=0,AL$3=""),"",IF(AND(INDEX(工程マスタ!$I:$I,$AN25)="○",$E25=AL$3),"▼",""))</f>
        <v/>
      </c>
      <c r="AN25" s="27" t="n">
        <f aca="false" t="array" ref="AN25:AN25">IFERROR(SMALL(IF((工程マスタ!$K$5:$K$154&gt;0)*(工程マスタ!$K$5:$K$154&lt;=$AN$2)*(工程マスタ!$L$5:$L$154&gt;=$AN$1),ROW(工程マスタ!$C$5:$C$154)),19),0)</f>
        <v>0</v>
      </c>
      <c r="AO25" s="27" t="n">
        <f aca="false">IF($AN25=0,0,INDEX(工程マスタ!$M:$M,$AN25))</f>
        <v>0</v>
      </c>
    </row>
    <row r="26" customFormat="false" ht="15" hidden="false" customHeight="false" outlineLevel="0" collapsed="false">
      <c r="A26" s="28" t="str">
        <f aca="false">IF($AN26=0,"",IF(INDEX(工程マスタ!$A:$A,$AN26)="","",INDEX(工程マスタ!$A:$A,$AN26)))</f>
        <v/>
      </c>
      <c r="B26" s="21" t="str">
        <f aca="false">IF($AN26=0,"",IF(INDEX(工程マスタ!$B:$B,$AN26)="","",INDEX(工程マスタ!$B:$B,$AN26)))</f>
        <v/>
      </c>
      <c r="C26" s="21" t="str">
        <f aca="false">IF($AN26=0,"",IF(INDEX(工程マスタ!$C:$C,$AN26)="","",INDEX(工程マスタ!$C:$C,$AN26)))</f>
        <v/>
      </c>
      <c r="D26" s="21" t="str">
        <f aca="false">IF($AN26=0,"",IF(INDEX(工程マスタ!$D:$D,$AN26)="","",INDEX(工程マスタ!$D:$D,$AN26)))</f>
        <v/>
      </c>
      <c r="E26" s="29" t="str">
        <f aca="false">IF($AN26=0,"",IF(INDEX(工程マスタ!$E:$E,$AN26)="","",INDEX(工程マスタ!$E:$E,$AN26)))</f>
        <v/>
      </c>
      <c r="F26" s="29" t="str">
        <f aca="false">IF($AN26=0,"",IF(INDEX(工程マスタ!$F:$F,$AN26)="","",INDEX(工程マスタ!$F:$F,$AN26)))</f>
        <v/>
      </c>
      <c r="G26" s="30" t="str">
        <f aca="false">IF($AN26=0,"",IF(INDEX(工程マスタ!$H:$H,$AN26)="","",INDEX(工程マスタ!$H:$H,$AN26)))</f>
        <v/>
      </c>
      <c r="H26" s="31" t="str">
        <f aca="false">IF(OR($AN26=0,H$3=""),"",IF(AND(INDEX(工程マスタ!$I:$I,$AN26)="○",$E26=H$3),"▼",""))</f>
        <v/>
      </c>
      <c r="I26" s="31" t="str">
        <f aca="false">IF(OR($AN26=0,I$3=""),"",IF(AND(INDEX(工程マスタ!$I:$I,$AN26)="○",$E26=I$3),"▼",""))</f>
        <v/>
      </c>
      <c r="J26" s="31" t="str">
        <f aca="false">IF(OR($AN26=0,J$3=""),"",IF(AND(INDEX(工程マスタ!$I:$I,$AN26)="○",$E26=J$3),"▼",""))</f>
        <v/>
      </c>
      <c r="K26" s="31" t="str">
        <f aca="false">IF(OR($AN26=0,K$3=""),"",IF(AND(INDEX(工程マスタ!$I:$I,$AN26)="○",$E26=K$3),"▼",""))</f>
        <v/>
      </c>
      <c r="L26" s="31" t="str">
        <f aca="false">IF(OR($AN26=0,L$3=""),"",IF(AND(INDEX(工程マスタ!$I:$I,$AN26)="○",$E26=L$3),"▼",""))</f>
        <v/>
      </c>
      <c r="M26" s="31" t="str">
        <f aca="false">IF(OR($AN26=0,M$3=""),"",IF(AND(INDEX(工程マスタ!$I:$I,$AN26)="○",$E26=M$3),"▼",""))</f>
        <v/>
      </c>
      <c r="N26" s="31" t="str">
        <f aca="false">IF(OR($AN26=0,N$3=""),"",IF(AND(INDEX(工程マスタ!$I:$I,$AN26)="○",$E26=N$3),"▼",""))</f>
        <v/>
      </c>
      <c r="O26" s="31" t="str">
        <f aca="false">IF(OR($AN26=0,O$3=""),"",IF(AND(INDEX(工程マスタ!$I:$I,$AN26)="○",$E26=O$3),"▼",""))</f>
        <v/>
      </c>
      <c r="P26" s="31" t="str">
        <f aca="false">IF(OR($AN26=0,P$3=""),"",IF(AND(INDEX(工程マスタ!$I:$I,$AN26)="○",$E26=P$3),"▼",""))</f>
        <v/>
      </c>
      <c r="Q26" s="31" t="str">
        <f aca="false">IF(OR($AN26=0,Q$3=""),"",IF(AND(INDEX(工程マスタ!$I:$I,$AN26)="○",$E26=Q$3),"▼",""))</f>
        <v/>
      </c>
      <c r="R26" s="31" t="str">
        <f aca="false">IF(OR($AN26=0,R$3=""),"",IF(AND(INDEX(工程マスタ!$I:$I,$AN26)="○",$E26=R$3),"▼",""))</f>
        <v/>
      </c>
      <c r="S26" s="31" t="str">
        <f aca="false">IF(OR($AN26=0,S$3=""),"",IF(AND(INDEX(工程マスタ!$I:$I,$AN26)="○",$E26=S$3),"▼",""))</f>
        <v/>
      </c>
      <c r="T26" s="31" t="str">
        <f aca="false">IF(OR($AN26=0,T$3=""),"",IF(AND(INDEX(工程マスタ!$I:$I,$AN26)="○",$E26=T$3),"▼",""))</f>
        <v/>
      </c>
      <c r="U26" s="31" t="str">
        <f aca="false">IF(OR($AN26=0,U$3=""),"",IF(AND(INDEX(工程マスタ!$I:$I,$AN26)="○",$E26=U$3),"▼",""))</f>
        <v/>
      </c>
      <c r="V26" s="31" t="str">
        <f aca="false">IF(OR($AN26=0,V$3=""),"",IF(AND(INDEX(工程マスタ!$I:$I,$AN26)="○",$E26=V$3),"▼",""))</f>
        <v/>
      </c>
      <c r="W26" s="31" t="str">
        <f aca="false">IF(OR($AN26=0,W$3=""),"",IF(AND(INDEX(工程マスタ!$I:$I,$AN26)="○",$E26=W$3),"▼",""))</f>
        <v/>
      </c>
      <c r="X26" s="31" t="str">
        <f aca="false">IF(OR($AN26=0,X$3=""),"",IF(AND(INDEX(工程マスタ!$I:$I,$AN26)="○",$E26=X$3),"▼",""))</f>
        <v/>
      </c>
      <c r="Y26" s="31" t="str">
        <f aca="false">IF(OR($AN26=0,Y$3=""),"",IF(AND(INDEX(工程マスタ!$I:$I,$AN26)="○",$E26=Y$3),"▼",""))</f>
        <v/>
      </c>
      <c r="Z26" s="31" t="str">
        <f aca="false">IF(OR($AN26=0,Z$3=""),"",IF(AND(INDEX(工程マスタ!$I:$I,$AN26)="○",$E26=Z$3),"▼",""))</f>
        <v/>
      </c>
      <c r="AA26" s="31" t="str">
        <f aca="false">IF(OR($AN26=0,AA$3=""),"",IF(AND(INDEX(工程マスタ!$I:$I,$AN26)="○",$E26=AA$3),"▼",""))</f>
        <v/>
      </c>
      <c r="AB26" s="31" t="str">
        <f aca="false">IF(OR($AN26=0,AB$3=""),"",IF(AND(INDEX(工程マスタ!$I:$I,$AN26)="○",$E26=AB$3),"▼",""))</f>
        <v/>
      </c>
      <c r="AC26" s="31" t="str">
        <f aca="false">IF(OR($AN26=0,AC$3=""),"",IF(AND(INDEX(工程マスタ!$I:$I,$AN26)="○",$E26=AC$3),"▼",""))</f>
        <v/>
      </c>
      <c r="AD26" s="31" t="str">
        <f aca="false">IF(OR($AN26=0,AD$3=""),"",IF(AND(INDEX(工程マスタ!$I:$I,$AN26)="○",$E26=AD$3),"▼",""))</f>
        <v/>
      </c>
      <c r="AE26" s="31" t="str">
        <f aca="false">IF(OR($AN26=0,AE$3=""),"",IF(AND(INDEX(工程マスタ!$I:$I,$AN26)="○",$E26=AE$3),"▼",""))</f>
        <v/>
      </c>
      <c r="AF26" s="31" t="str">
        <f aca="false">IF(OR($AN26=0,AF$3=""),"",IF(AND(INDEX(工程マスタ!$I:$I,$AN26)="○",$E26=AF$3),"▼",""))</f>
        <v/>
      </c>
      <c r="AG26" s="31" t="str">
        <f aca="false">IF(OR($AN26=0,AG$3=""),"",IF(AND(INDEX(工程マスタ!$I:$I,$AN26)="○",$E26=AG$3),"▼",""))</f>
        <v/>
      </c>
      <c r="AH26" s="31" t="str">
        <f aca="false">IF(OR($AN26=0,AH$3=""),"",IF(AND(INDEX(工程マスタ!$I:$I,$AN26)="○",$E26=AH$3),"▼",""))</f>
        <v/>
      </c>
      <c r="AI26" s="31" t="str">
        <f aca="false">IF(OR($AN26=0,AI$3=""),"",IF(AND(INDEX(工程マスタ!$I:$I,$AN26)="○",$E26=AI$3),"▼",""))</f>
        <v/>
      </c>
      <c r="AJ26" s="31" t="str">
        <f aca="false">IF(OR($AN26=0,AJ$3=""),"",IF(AND(INDEX(工程マスタ!$I:$I,$AN26)="○",$E26=AJ$3),"▼",""))</f>
        <v/>
      </c>
      <c r="AK26" s="31" t="str">
        <f aca="false">IF(OR($AN26=0,AK$3=""),"",IF(AND(INDEX(工程マスタ!$I:$I,$AN26)="○",$E26=AK$3),"▼",""))</f>
        <v/>
      </c>
      <c r="AL26" s="31" t="str">
        <f aca="false">IF(OR($AN26=0,AL$3=""),"",IF(AND(INDEX(工程マスタ!$I:$I,$AN26)="○",$E26=AL$3),"▼",""))</f>
        <v/>
      </c>
      <c r="AN26" s="27" t="n">
        <f aca="false" t="array" ref="AN26:AN26">IFERROR(SMALL(IF((工程マスタ!$K$5:$K$154&gt;0)*(工程マスタ!$K$5:$K$154&lt;=$AN$2)*(工程マスタ!$L$5:$L$154&gt;=$AN$1),ROW(工程マスタ!$C$5:$C$154)),20),0)</f>
        <v>0</v>
      </c>
      <c r="AO26" s="27" t="n">
        <f aca="false">IF($AN26=0,0,INDEX(工程マスタ!$M:$M,$AN26))</f>
        <v>0</v>
      </c>
    </row>
    <row r="27" customFormat="false" ht="15" hidden="false" customHeight="false" outlineLevel="0" collapsed="false">
      <c r="A27" s="28" t="str">
        <f aca="false">IF($AN27=0,"",IF(INDEX(工程マスタ!$A:$A,$AN27)="","",INDEX(工程マスタ!$A:$A,$AN27)))</f>
        <v/>
      </c>
      <c r="B27" s="21" t="str">
        <f aca="false">IF($AN27=0,"",IF(INDEX(工程マスタ!$B:$B,$AN27)="","",INDEX(工程マスタ!$B:$B,$AN27)))</f>
        <v/>
      </c>
      <c r="C27" s="21" t="str">
        <f aca="false">IF($AN27=0,"",IF(INDEX(工程マスタ!$C:$C,$AN27)="","",INDEX(工程マスタ!$C:$C,$AN27)))</f>
        <v/>
      </c>
      <c r="D27" s="21" t="str">
        <f aca="false">IF($AN27=0,"",IF(INDEX(工程マスタ!$D:$D,$AN27)="","",INDEX(工程マスタ!$D:$D,$AN27)))</f>
        <v/>
      </c>
      <c r="E27" s="29" t="str">
        <f aca="false">IF($AN27=0,"",IF(INDEX(工程マスタ!$E:$E,$AN27)="","",INDEX(工程マスタ!$E:$E,$AN27)))</f>
        <v/>
      </c>
      <c r="F27" s="29" t="str">
        <f aca="false">IF($AN27=0,"",IF(INDEX(工程マスタ!$F:$F,$AN27)="","",INDEX(工程マスタ!$F:$F,$AN27)))</f>
        <v/>
      </c>
      <c r="G27" s="30" t="str">
        <f aca="false">IF($AN27=0,"",IF(INDEX(工程マスタ!$H:$H,$AN27)="","",INDEX(工程マスタ!$H:$H,$AN27)))</f>
        <v/>
      </c>
      <c r="H27" s="31" t="str">
        <f aca="false">IF(OR($AN27=0,H$3=""),"",IF(AND(INDEX(工程マスタ!$I:$I,$AN27)="○",$E27=H$3),"▼",""))</f>
        <v/>
      </c>
      <c r="I27" s="31" t="str">
        <f aca="false">IF(OR($AN27=0,I$3=""),"",IF(AND(INDEX(工程マスタ!$I:$I,$AN27)="○",$E27=I$3),"▼",""))</f>
        <v/>
      </c>
      <c r="J27" s="31" t="str">
        <f aca="false">IF(OR($AN27=0,J$3=""),"",IF(AND(INDEX(工程マスタ!$I:$I,$AN27)="○",$E27=J$3),"▼",""))</f>
        <v/>
      </c>
      <c r="K27" s="31" t="str">
        <f aca="false">IF(OR($AN27=0,K$3=""),"",IF(AND(INDEX(工程マスタ!$I:$I,$AN27)="○",$E27=K$3),"▼",""))</f>
        <v/>
      </c>
      <c r="L27" s="31" t="str">
        <f aca="false">IF(OR($AN27=0,L$3=""),"",IF(AND(INDEX(工程マスタ!$I:$I,$AN27)="○",$E27=L$3),"▼",""))</f>
        <v/>
      </c>
      <c r="M27" s="31" t="str">
        <f aca="false">IF(OR($AN27=0,M$3=""),"",IF(AND(INDEX(工程マスタ!$I:$I,$AN27)="○",$E27=M$3),"▼",""))</f>
        <v/>
      </c>
      <c r="N27" s="31" t="str">
        <f aca="false">IF(OR($AN27=0,N$3=""),"",IF(AND(INDEX(工程マスタ!$I:$I,$AN27)="○",$E27=N$3),"▼",""))</f>
        <v/>
      </c>
      <c r="O27" s="31" t="str">
        <f aca="false">IF(OR($AN27=0,O$3=""),"",IF(AND(INDEX(工程マスタ!$I:$I,$AN27)="○",$E27=O$3),"▼",""))</f>
        <v/>
      </c>
      <c r="P27" s="31" t="str">
        <f aca="false">IF(OR($AN27=0,P$3=""),"",IF(AND(INDEX(工程マスタ!$I:$I,$AN27)="○",$E27=P$3),"▼",""))</f>
        <v/>
      </c>
      <c r="Q27" s="31" t="str">
        <f aca="false">IF(OR($AN27=0,Q$3=""),"",IF(AND(INDEX(工程マスタ!$I:$I,$AN27)="○",$E27=Q$3),"▼",""))</f>
        <v/>
      </c>
      <c r="R27" s="31" t="str">
        <f aca="false">IF(OR($AN27=0,R$3=""),"",IF(AND(INDEX(工程マスタ!$I:$I,$AN27)="○",$E27=R$3),"▼",""))</f>
        <v/>
      </c>
      <c r="S27" s="31" t="str">
        <f aca="false">IF(OR($AN27=0,S$3=""),"",IF(AND(INDEX(工程マスタ!$I:$I,$AN27)="○",$E27=S$3),"▼",""))</f>
        <v/>
      </c>
      <c r="T27" s="31" t="str">
        <f aca="false">IF(OR($AN27=0,T$3=""),"",IF(AND(INDEX(工程マスタ!$I:$I,$AN27)="○",$E27=T$3),"▼",""))</f>
        <v/>
      </c>
      <c r="U27" s="31" t="str">
        <f aca="false">IF(OR($AN27=0,U$3=""),"",IF(AND(INDEX(工程マスタ!$I:$I,$AN27)="○",$E27=U$3),"▼",""))</f>
        <v/>
      </c>
      <c r="V27" s="31" t="str">
        <f aca="false">IF(OR($AN27=0,V$3=""),"",IF(AND(INDEX(工程マスタ!$I:$I,$AN27)="○",$E27=V$3),"▼",""))</f>
        <v/>
      </c>
      <c r="W27" s="31" t="str">
        <f aca="false">IF(OR($AN27=0,W$3=""),"",IF(AND(INDEX(工程マスタ!$I:$I,$AN27)="○",$E27=W$3),"▼",""))</f>
        <v/>
      </c>
      <c r="X27" s="31" t="str">
        <f aca="false">IF(OR($AN27=0,X$3=""),"",IF(AND(INDEX(工程マスタ!$I:$I,$AN27)="○",$E27=X$3),"▼",""))</f>
        <v/>
      </c>
      <c r="Y27" s="31" t="str">
        <f aca="false">IF(OR($AN27=0,Y$3=""),"",IF(AND(INDEX(工程マスタ!$I:$I,$AN27)="○",$E27=Y$3),"▼",""))</f>
        <v/>
      </c>
      <c r="Z27" s="31" t="str">
        <f aca="false">IF(OR($AN27=0,Z$3=""),"",IF(AND(INDEX(工程マスタ!$I:$I,$AN27)="○",$E27=Z$3),"▼",""))</f>
        <v/>
      </c>
      <c r="AA27" s="31" t="str">
        <f aca="false">IF(OR($AN27=0,AA$3=""),"",IF(AND(INDEX(工程マスタ!$I:$I,$AN27)="○",$E27=AA$3),"▼",""))</f>
        <v/>
      </c>
      <c r="AB27" s="31" t="str">
        <f aca="false">IF(OR($AN27=0,AB$3=""),"",IF(AND(INDEX(工程マスタ!$I:$I,$AN27)="○",$E27=AB$3),"▼",""))</f>
        <v/>
      </c>
      <c r="AC27" s="31" t="str">
        <f aca="false">IF(OR($AN27=0,AC$3=""),"",IF(AND(INDEX(工程マスタ!$I:$I,$AN27)="○",$E27=AC$3),"▼",""))</f>
        <v/>
      </c>
      <c r="AD27" s="31" t="str">
        <f aca="false">IF(OR($AN27=0,AD$3=""),"",IF(AND(INDEX(工程マスタ!$I:$I,$AN27)="○",$E27=AD$3),"▼",""))</f>
        <v/>
      </c>
      <c r="AE27" s="31" t="str">
        <f aca="false">IF(OR($AN27=0,AE$3=""),"",IF(AND(INDEX(工程マスタ!$I:$I,$AN27)="○",$E27=AE$3),"▼",""))</f>
        <v/>
      </c>
      <c r="AF27" s="31" t="str">
        <f aca="false">IF(OR($AN27=0,AF$3=""),"",IF(AND(INDEX(工程マスタ!$I:$I,$AN27)="○",$E27=AF$3),"▼",""))</f>
        <v/>
      </c>
      <c r="AG27" s="31" t="str">
        <f aca="false">IF(OR($AN27=0,AG$3=""),"",IF(AND(INDEX(工程マスタ!$I:$I,$AN27)="○",$E27=AG$3),"▼",""))</f>
        <v/>
      </c>
      <c r="AH27" s="31" t="str">
        <f aca="false">IF(OR($AN27=0,AH$3=""),"",IF(AND(INDEX(工程マスタ!$I:$I,$AN27)="○",$E27=AH$3),"▼",""))</f>
        <v/>
      </c>
      <c r="AI27" s="31" t="str">
        <f aca="false">IF(OR($AN27=0,AI$3=""),"",IF(AND(INDEX(工程マスタ!$I:$I,$AN27)="○",$E27=AI$3),"▼",""))</f>
        <v/>
      </c>
      <c r="AJ27" s="31" t="str">
        <f aca="false">IF(OR($AN27=0,AJ$3=""),"",IF(AND(INDEX(工程マスタ!$I:$I,$AN27)="○",$E27=AJ$3),"▼",""))</f>
        <v/>
      </c>
      <c r="AK27" s="31" t="str">
        <f aca="false">IF(OR($AN27=0,AK$3=""),"",IF(AND(INDEX(工程マスタ!$I:$I,$AN27)="○",$E27=AK$3),"▼",""))</f>
        <v/>
      </c>
      <c r="AL27" s="31" t="str">
        <f aca="false">IF(OR($AN27=0,AL$3=""),"",IF(AND(INDEX(工程マスタ!$I:$I,$AN27)="○",$E27=AL$3),"▼",""))</f>
        <v/>
      </c>
      <c r="AN27" s="27" t="n">
        <f aca="false" t="array" ref="AN27:AN27">IFERROR(SMALL(IF((工程マスタ!$K$5:$K$154&gt;0)*(工程マスタ!$K$5:$K$154&lt;=$AN$2)*(工程マスタ!$L$5:$L$154&gt;=$AN$1),ROW(工程マスタ!$C$5:$C$154)),21),0)</f>
        <v>0</v>
      </c>
      <c r="AO27" s="27" t="n">
        <f aca="false">IF($AN27=0,0,INDEX(工程マスタ!$M:$M,$AN27))</f>
        <v>0</v>
      </c>
    </row>
    <row r="28" customFormat="false" ht="15" hidden="false" customHeight="false" outlineLevel="0" collapsed="false">
      <c r="A28" s="28" t="str">
        <f aca="false">IF($AN28=0,"",IF(INDEX(工程マスタ!$A:$A,$AN28)="","",INDEX(工程マスタ!$A:$A,$AN28)))</f>
        <v/>
      </c>
      <c r="B28" s="21" t="str">
        <f aca="false">IF($AN28=0,"",IF(INDEX(工程マスタ!$B:$B,$AN28)="","",INDEX(工程マスタ!$B:$B,$AN28)))</f>
        <v/>
      </c>
      <c r="C28" s="21" t="str">
        <f aca="false">IF($AN28=0,"",IF(INDEX(工程マスタ!$C:$C,$AN28)="","",INDEX(工程マスタ!$C:$C,$AN28)))</f>
        <v/>
      </c>
      <c r="D28" s="21" t="str">
        <f aca="false">IF($AN28=0,"",IF(INDEX(工程マスタ!$D:$D,$AN28)="","",INDEX(工程マスタ!$D:$D,$AN28)))</f>
        <v/>
      </c>
      <c r="E28" s="29" t="str">
        <f aca="false">IF($AN28=0,"",IF(INDEX(工程マスタ!$E:$E,$AN28)="","",INDEX(工程マスタ!$E:$E,$AN28)))</f>
        <v/>
      </c>
      <c r="F28" s="29" t="str">
        <f aca="false">IF($AN28=0,"",IF(INDEX(工程マスタ!$F:$F,$AN28)="","",INDEX(工程マスタ!$F:$F,$AN28)))</f>
        <v/>
      </c>
      <c r="G28" s="30" t="str">
        <f aca="false">IF($AN28=0,"",IF(INDEX(工程マスタ!$H:$H,$AN28)="","",INDEX(工程マスタ!$H:$H,$AN28)))</f>
        <v/>
      </c>
      <c r="H28" s="31" t="str">
        <f aca="false">IF(OR($AN28=0,H$3=""),"",IF(AND(INDEX(工程マスタ!$I:$I,$AN28)="○",$E28=H$3),"▼",""))</f>
        <v/>
      </c>
      <c r="I28" s="31" t="str">
        <f aca="false">IF(OR($AN28=0,I$3=""),"",IF(AND(INDEX(工程マスタ!$I:$I,$AN28)="○",$E28=I$3),"▼",""))</f>
        <v/>
      </c>
      <c r="J28" s="31" t="str">
        <f aca="false">IF(OR($AN28=0,J$3=""),"",IF(AND(INDEX(工程マスタ!$I:$I,$AN28)="○",$E28=J$3),"▼",""))</f>
        <v/>
      </c>
      <c r="K28" s="31" t="str">
        <f aca="false">IF(OR($AN28=0,K$3=""),"",IF(AND(INDEX(工程マスタ!$I:$I,$AN28)="○",$E28=K$3),"▼",""))</f>
        <v/>
      </c>
      <c r="L28" s="31" t="str">
        <f aca="false">IF(OR($AN28=0,L$3=""),"",IF(AND(INDEX(工程マスタ!$I:$I,$AN28)="○",$E28=L$3),"▼",""))</f>
        <v/>
      </c>
      <c r="M28" s="31" t="str">
        <f aca="false">IF(OR($AN28=0,M$3=""),"",IF(AND(INDEX(工程マスタ!$I:$I,$AN28)="○",$E28=M$3),"▼",""))</f>
        <v/>
      </c>
      <c r="N28" s="31" t="str">
        <f aca="false">IF(OR($AN28=0,N$3=""),"",IF(AND(INDEX(工程マスタ!$I:$I,$AN28)="○",$E28=N$3),"▼",""))</f>
        <v/>
      </c>
      <c r="O28" s="31" t="str">
        <f aca="false">IF(OR($AN28=0,O$3=""),"",IF(AND(INDEX(工程マスタ!$I:$I,$AN28)="○",$E28=O$3),"▼",""))</f>
        <v/>
      </c>
      <c r="P28" s="31" t="str">
        <f aca="false">IF(OR($AN28=0,P$3=""),"",IF(AND(INDEX(工程マスタ!$I:$I,$AN28)="○",$E28=P$3),"▼",""))</f>
        <v/>
      </c>
      <c r="Q28" s="31" t="str">
        <f aca="false">IF(OR($AN28=0,Q$3=""),"",IF(AND(INDEX(工程マスタ!$I:$I,$AN28)="○",$E28=Q$3),"▼",""))</f>
        <v/>
      </c>
      <c r="R28" s="31" t="str">
        <f aca="false">IF(OR($AN28=0,R$3=""),"",IF(AND(INDEX(工程マスタ!$I:$I,$AN28)="○",$E28=R$3),"▼",""))</f>
        <v/>
      </c>
      <c r="S28" s="31" t="str">
        <f aca="false">IF(OR($AN28=0,S$3=""),"",IF(AND(INDEX(工程マスタ!$I:$I,$AN28)="○",$E28=S$3),"▼",""))</f>
        <v/>
      </c>
      <c r="T28" s="31" t="str">
        <f aca="false">IF(OR($AN28=0,T$3=""),"",IF(AND(INDEX(工程マスタ!$I:$I,$AN28)="○",$E28=T$3),"▼",""))</f>
        <v/>
      </c>
      <c r="U28" s="31" t="str">
        <f aca="false">IF(OR($AN28=0,U$3=""),"",IF(AND(INDEX(工程マスタ!$I:$I,$AN28)="○",$E28=U$3),"▼",""))</f>
        <v/>
      </c>
      <c r="V28" s="31" t="str">
        <f aca="false">IF(OR($AN28=0,V$3=""),"",IF(AND(INDEX(工程マスタ!$I:$I,$AN28)="○",$E28=V$3),"▼",""))</f>
        <v/>
      </c>
      <c r="W28" s="31" t="str">
        <f aca="false">IF(OR($AN28=0,W$3=""),"",IF(AND(INDEX(工程マスタ!$I:$I,$AN28)="○",$E28=W$3),"▼",""))</f>
        <v/>
      </c>
      <c r="X28" s="31" t="str">
        <f aca="false">IF(OR($AN28=0,X$3=""),"",IF(AND(INDEX(工程マスタ!$I:$I,$AN28)="○",$E28=X$3),"▼",""))</f>
        <v/>
      </c>
      <c r="Y28" s="31" t="str">
        <f aca="false">IF(OR($AN28=0,Y$3=""),"",IF(AND(INDEX(工程マスタ!$I:$I,$AN28)="○",$E28=Y$3),"▼",""))</f>
        <v/>
      </c>
      <c r="Z28" s="31" t="str">
        <f aca="false">IF(OR($AN28=0,Z$3=""),"",IF(AND(INDEX(工程マスタ!$I:$I,$AN28)="○",$E28=Z$3),"▼",""))</f>
        <v/>
      </c>
      <c r="AA28" s="31" t="str">
        <f aca="false">IF(OR($AN28=0,AA$3=""),"",IF(AND(INDEX(工程マスタ!$I:$I,$AN28)="○",$E28=AA$3),"▼",""))</f>
        <v/>
      </c>
      <c r="AB28" s="31" t="str">
        <f aca="false">IF(OR($AN28=0,AB$3=""),"",IF(AND(INDEX(工程マスタ!$I:$I,$AN28)="○",$E28=AB$3),"▼",""))</f>
        <v/>
      </c>
      <c r="AC28" s="31" t="str">
        <f aca="false">IF(OR($AN28=0,AC$3=""),"",IF(AND(INDEX(工程マスタ!$I:$I,$AN28)="○",$E28=AC$3),"▼",""))</f>
        <v/>
      </c>
      <c r="AD28" s="31" t="str">
        <f aca="false">IF(OR($AN28=0,AD$3=""),"",IF(AND(INDEX(工程マスタ!$I:$I,$AN28)="○",$E28=AD$3),"▼",""))</f>
        <v/>
      </c>
      <c r="AE28" s="31" t="str">
        <f aca="false">IF(OR($AN28=0,AE$3=""),"",IF(AND(INDEX(工程マスタ!$I:$I,$AN28)="○",$E28=AE$3),"▼",""))</f>
        <v/>
      </c>
      <c r="AF28" s="31" t="str">
        <f aca="false">IF(OR($AN28=0,AF$3=""),"",IF(AND(INDEX(工程マスタ!$I:$I,$AN28)="○",$E28=AF$3),"▼",""))</f>
        <v/>
      </c>
      <c r="AG28" s="31" t="str">
        <f aca="false">IF(OR($AN28=0,AG$3=""),"",IF(AND(INDEX(工程マスタ!$I:$I,$AN28)="○",$E28=AG$3),"▼",""))</f>
        <v/>
      </c>
      <c r="AH28" s="31" t="str">
        <f aca="false">IF(OR($AN28=0,AH$3=""),"",IF(AND(INDEX(工程マスタ!$I:$I,$AN28)="○",$E28=AH$3),"▼",""))</f>
        <v/>
      </c>
      <c r="AI28" s="31" t="str">
        <f aca="false">IF(OR($AN28=0,AI$3=""),"",IF(AND(INDEX(工程マスタ!$I:$I,$AN28)="○",$E28=AI$3),"▼",""))</f>
        <v/>
      </c>
      <c r="AJ28" s="31" t="str">
        <f aca="false">IF(OR($AN28=0,AJ$3=""),"",IF(AND(INDEX(工程マスタ!$I:$I,$AN28)="○",$E28=AJ$3),"▼",""))</f>
        <v/>
      </c>
      <c r="AK28" s="31" t="str">
        <f aca="false">IF(OR($AN28=0,AK$3=""),"",IF(AND(INDEX(工程マスタ!$I:$I,$AN28)="○",$E28=AK$3),"▼",""))</f>
        <v/>
      </c>
      <c r="AL28" s="31" t="str">
        <f aca="false">IF(OR($AN28=0,AL$3=""),"",IF(AND(INDEX(工程マスタ!$I:$I,$AN28)="○",$E28=AL$3),"▼",""))</f>
        <v/>
      </c>
      <c r="AN28" s="27" t="n">
        <f aca="false" t="array" ref="AN28:AN28">IFERROR(SMALL(IF((工程マスタ!$K$5:$K$154&gt;0)*(工程マスタ!$K$5:$K$154&lt;=$AN$2)*(工程マスタ!$L$5:$L$154&gt;=$AN$1),ROW(工程マスタ!$C$5:$C$154)),22),0)</f>
        <v>0</v>
      </c>
      <c r="AO28" s="27" t="n">
        <f aca="false">IF($AN28=0,0,INDEX(工程マスタ!$M:$M,$AN28))</f>
        <v>0</v>
      </c>
    </row>
    <row r="29" customFormat="false" ht="15" hidden="false" customHeight="false" outlineLevel="0" collapsed="false">
      <c r="A29" s="28" t="str">
        <f aca="false">IF($AN29=0,"",IF(INDEX(工程マスタ!$A:$A,$AN29)="","",INDEX(工程マスタ!$A:$A,$AN29)))</f>
        <v/>
      </c>
      <c r="B29" s="21" t="str">
        <f aca="false">IF($AN29=0,"",IF(INDEX(工程マスタ!$B:$B,$AN29)="","",INDEX(工程マスタ!$B:$B,$AN29)))</f>
        <v/>
      </c>
      <c r="C29" s="21" t="str">
        <f aca="false">IF($AN29=0,"",IF(INDEX(工程マスタ!$C:$C,$AN29)="","",INDEX(工程マスタ!$C:$C,$AN29)))</f>
        <v/>
      </c>
      <c r="D29" s="21" t="str">
        <f aca="false">IF($AN29=0,"",IF(INDEX(工程マスタ!$D:$D,$AN29)="","",INDEX(工程マスタ!$D:$D,$AN29)))</f>
        <v/>
      </c>
      <c r="E29" s="29" t="str">
        <f aca="false">IF($AN29=0,"",IF(INDEX(工程マスタ!$E:$E,$AN29)="","",INDEX(工程マスタ!$E:$E,$AN29)))</f>
        <v/>
      </c>
      <c r="F29" s="29" t="str">
        <f aca="false">IF($AN29=0,"",IF(INDEX(工程マスタ!$F:$F,$AN29)="","",INDEX(工程マスタ!$F:$F,$AN29)))</f>
        <v/>
      </c>
      <c r="G29" s="30" t="str">
        <f aca="false">IF($AN29=0,"",IF(INDEX(工程マスタ!$H:$H,$AN29)="","",INDEX(工程マスタ!$H:$H,$AN29)))</f>
        <v/>
      </c>
      <c r="H29" s="31" t="str">
        <f aca="false">IF(OR($AN29=0,H$3=""),"",IF(AND(INDEX(工程マスタ!$I:$I,$AN29)="○",$E29=H$3),"▼",""))</f>
        <v/>
      </c>
      <c r="I29" s="31" t="str">
        <f aca="false">IF(OR($AN29=0,I$3=""),"",IF(AND(INDEX(工程マスタ!$I:$I,$AN29)="○",$E29=I$3),"▼",""))</f>
        <v/>
      </c>
      <c r="J29" s="31" t="str">
        <f aca="false">IF(OR($AN29=0,J$3=""),"",IF(AND(INDEX(工程マスタ!$I:$I,$AN29)="○",$E29=J$3),"▼",""))</f>
        <v/>
      </c>
      <c r="K29" s="31" t="str">
        <f aca="false">IF(OR($AN29=0,K$3=""),"",IF(AND(INDEX(工程マスタ!$I:$I,$AN29)="○",$E29=K$3),"▼",""))</f>
        <v/>
      </c>
      <c r="L29" s="31" t="str">
        <f aca="false">IF(OR($AN29=0,L$3=""),"",IF(AND(INDEX(工程マスタ!$I:$I,$AN29)="○",$E29=L$3),"▼",""))</f>
        <v/>
      </c>
      <c r="M29" s="31" t="str">
        <f aca="false">IF(OR($AN29=0,M$3=""),"",IF(AND(INDEX(工程マスタ!$I:$I,$AN29)="○",$E29=M$3),"▼",""))</f>
        <v/>
      </c>
      <c r="N29" s="31" t="str">
        <f aca="false">IF(OR($AN29=0,N$3=""),"",IF(AND(INDEX(工程マスタ!$I:$I,$AN29)="○",$E29=N$3),"▼",""))</f>
        <v/>
      </c>
      <c r="O29" s="31" t="str">
        <f aca="false">IF(OR($AN29=0,O$3=""),"",IF(AND(INDEX(工程マスタ!$I:$I,$AN29)="○",$E29=O$3),"▼",""))</f>
        <v/>
      </c>
      <c r="P29" s="31" t="str">
        <f aca="false">IF(OR($AN29=0,P$3=""),"",IF(AND(INDEX(工程マスタ!$I:$I,$AN29)="○",$E29=P$3),"▼",""))</f>
        <v/>
      </c>
      <c r="Q29" s="31" t="str">
        <f aca="false">IF(OR($AN29=0,Q$3=""),"",IF(AND(INDEX(工程マスタ!$I:$I,$AN29)="○",$E29=Q$3),"▼",""))</f>
        <v/>
      </c>
      <c r="R29" s="31" t="str">
        <f aca="false">IF(OR($AN29=0,R$3=""),"",IF(AND(INDEX(工程マスタ!$I:$I,$AN29)="○",$E29=R$3),"▼",""))</f>
        <v/>
      </c>
      <c r="S29" s="31" t="str">
        <f aca="false">IF(OR($AN29=0,S$3=""),"",IF(AND(INDEX(工程マスタ!$I:$I,$AN29)="○",$E29=S$3),"▼",""))</f>
        <v/>
      </c>
      <c r="T29" s="31" t="str">
        <f aca="false">IF(OR($AN29=0,T$3=""),"",IF(AND(INDEX(工程マスタ!$I:$I,$AN29)="○",$E29=T$3),"▼",""))</f>
        <v/>
      </c>
      <c r="U29" s="31" t="str">
        <f aca="false">IF(OR($AN29=0,U$3=""),"",IF(AND(INDEX(工程マスタ!$I:$I,$AN29)="○",$E29=U$3),"▼",""))</f>
        <v/>
      </c>
      <c r="V29" s="31" t="str">
        <f aca="false">IF(OR($AN29=0,V$3=""),"",IF(AND(INDEX(工程マスタ!$I:$I,$AN29)="○",$E29=V$3),"▼",""))</f>
        <v/>
      </c>
      <c r="W29" s="31" t="str">
        <f aca="false">IF(OR($AN29=0,W$3=""),"",IF(AND(INDEX(工程マスタ!$I:$I,$AN29)="○",$E29=W$3),"▼",""))</f>
        <v/>
      </c>
      <c r="X29" s="31" t="str">
        <f aca="false">IF(OR($AN29=0,X$3=""),"",IF(AND(INDEX(工程マスタ!$I:$I,$AN29)="○",$E29=X$3),"▼",""))</f>
        <v/>
      </c>
      <c r="Y29" s="31" t="str">
        <f aca="false">IF(OR($AN29=0,Y$3=""),"",IF(AND(INDEX(工程マスタ!$I:$I,$AN29)="○",$E29=Y$3),"▼",""))</f>
        <v/>
      </c>
      <c r="Z29" s="31" t="str">
        <f aca="false">IF(OR($AN29=0,Z$3=""),"",IF(AND(INDEX(工程マスタ!$I:$I,$AN29)="○",$E29=Z$3),"▼",""))</f>
        <v/>
      </c>
      <c r="AA29" s="31" t="str">
        <f aca="false">IF(OR($AN29=0,AA$3=""),"",IF(AND(INDEX(工程マスタ!$I:$I,$AN29)="○",$E29=AA$3),"▼",""))</f>
        <v/>
      </c>
      <c r="AB29" s="31" t="str">
        <f aca="false">IF(OR($AN29=0,AB$3=""),"",IF(AND(INDEX(工程マスタ!$I:$I,$AN29)="○",$E29=AB$3),"▼",""))</f>
        <v/>
      </c>
      <c r="AC29" s="31" t="str">
        <f aca="false">IF(OR($AN29=0,AC$3=""),"",IF(AND(INDEX(工程マスタ!$I:$I,$AN29)="○",$E29=AC$3),"▼",""))</f>
        <v/>
      </c>
      <c r="AD29" s="31" t="str">
        <f aca="false">IF(OR($AN29=0,AD$3=""),"",IF(AND(INDEX(工程マスタ!$I:$I,$AN29)="○",$E29=AD$3),"▼",""))</f>
        <v/>
      </c>
      <c r="AE29" s="31" t="str">
        <f aca="false">IF(OR($AN29=0,AE$3=""),"",IF(AND(INDEX(工程マスタ!$I:$I,$AN29)="○",$E29=AE$3),"▼",""))</f>
        <v/>
      </c>
      <c r="AF29" s="31" t="str">
        <f aca="false">IF(OR($AN29=0,AF$3=""),"",IF(AND(INDEX(工程マスタ!$I:$I,$AN29)="○",$E29=AF$3),"▼",""))</f>
        <v/>
      </c>
      <c r="AG29" s="31" t="str">
        <f aca="false">IF(OR($AN29=0,AG$3=""),"",IF(AND(INDEX(工程マスタ!$I:$I,$AN29)="○",$E29=AG$3),"▼",""))</f>
        <v/>
      </c>
      <c r="AH29" s="31" t="str">
        <f aca="false">IF(OR($AN29=0,AH$3=""),"",IF(AND(INDEX(工程マスタ!$I:$I,$AN29)="○",$E29=AH$3),"▼",""))</f>
        <v/>
      </c>
      <c r="AI29" s="31" t="str">
        <f aca="false">IF(OR($AN29=0,AI$3=""),"",IF(AND(INDEX(工程マスタ!$I:$I,$AN29)="○",$E29=AI$3),"▼",""))</f>
        <v/>
      </c>
      <c r="AJ29" s="31" t="str">
        <f aca="false">IF(OR($AN29=0,AJ$3=""),"",IF(AND(INDEX(工程マスタ!$I:$I,$AN29)="○",$E29=AJ$3),"▼",""))</f>
        <v/>
      </c>
      <c r="AK29" s="31" t="str">
        <f aca="false">IF(OR($AN29=0,AK$3=""),"",IF(AND(INDEX(工程マスタ!$I:$I,$AN29)="○",$E29=AK$3),"▼",""))</f>
        <v/>
      </c>
      <c r="AL29" s="31" t="str">
        <f aca="false">IF(OR($AN29=0,AL$3=""),"",IF(AND(INDEX(工程マスタ!$I:$I,$AN29)="○",$E29=AL$3),"▼",""))</f>
        <v/>
      </c>
      <c r="AN29" s="27" t="n">
        <f aca="false" t="array" ref="AN29:AN29">IFERROR(SMALL(IF((工程マスタ!$K$5:$K$154&gt;0)*(工程マスタ!$K$5:$K$154&lt;=$AN$2)*(工程マスタ!$L$5:$L$154&gt;=$AN$1),ROW(工程マスタ!$C$5:$C$154)),23),0)</f>
        <v>0</v>
      </c>
      <c r="AO29" s="27" t="n">
        <f aca="false">IF($AN29=0,0,INDEX(工程マスタ!$M:$M,$AN29))</f>
        <v>0</v>
      </c>
    </row>
    <row r="30" customFormat="false" ht="15" hidden="false" customHeight="false" outlineLevel="0" collapsed="false">
      <c r="A30" s="28" t="str">
        <f aca="false">IF($AN30=0,"",IF(INDEX(工程マスタ!$A:$A,$AN30)="","",INDEX(工程マスタ!$A:$A,$AN30)))</f>
        <v/>
      </c>
      <c r="B30" s="21" t="str">
        <f aca="false">IF($AN30=0,"",IF(INDEX(工程マスタ!$B:$B,$AN30)="","",INDEX(工程マスタ!$B:$B,$AN30)))</f>
        <v/>
      </c>
      <c r="C30" s="21" t="str">
        <f aca="false">IF($AN30=0,"",IF(INDEX(工程マスタ!$C:$C,$AN30)="","",INDEX(工程マスタ!$C:$C,$AN30)))</f>
        <v/>
      </c>
      <c r="D30" s="21" t="str">
        <f aca="false">IF($AN30=0,"",IF(INDEX(工程マスタ!$D:$D,$AN30)="","",INDEX(工程マスタ!$D:$D,$AN30)))</f>
        <v/>
      </c>
      <c r="E30" s="29" t="str">
        <f aca="false">IF($AN30=0,"",IF(INDEX(工程マスタ!$E:$E,$AN30)="","",INDEX(工程マスタ!$E:$E,$AN30)))</f>
        <v/>
      </c>
      <c r="F30" s="29" t="str">
        <f aca="false">IF($AN30=0,"",IF(INDEX(工程マスタ!$F:$F,$AN30)="","",INDEX(工程マスタ!$F:$F,$AN30)))</f>
        <v/>
      </c>
      <c r="G30" s="30" t="str">
        <f aca="false">IF($AN30=0,"",IF(INDEX(工程マスタ!$H:$H,$AN30)="","",INDEX(工程マスタ!$H:$H,$AN30)))</f>
        <v/>
      </c>
      <c r="H30" s="31" t="str">
        <f aca="false">IF(OR($AN30=0,H$3=""),"",IF(AND(INDEX(工程マスタ!$I:$I,$AN30)="○",$E30=H$3),"▼",""))</f>
        <v/>
      </c>
      <c r="I30" s="31" t="str">
        <f aca="false">IF(OR($AN30=0,I$3=""),"",IF(AND(INDEX(工程マスタ!$I:$I,$AN30)="○",$E30=I$3),"▼",""))</f>
        <v/>
      </c>
      <c r="J30" s="31" t="str">
        <f aca="false">IF(OR($AN30=0,J$3=""),"",IF(AND(INDEX(工程マスタ!$I:$I,$AN30)="○",$E30=J$3),"▼",""))</f>
        <v/>
      </c>
      <c r="K30" s="31" t="str">
        <f aca="false">IF(OR($AN30=0,K$3=""),"",IF(AND(INDEX(工程マスタ!$I:$I,$AN30)="○",$E30=K$3),"▼",""))</f>
        <v/>
      </c>
      <c r="L30" s="31" t="str">
        <f aca="false">IF(OR($AN30=0,L$3=""),"",IF(AND(INDEX(工程マスタ!$I:$I,$AN30)="○",$E30=L$3),"▼",""))</f>
        <v/>
      </c>
      <c r="M30" s="31" t="str">
        <f aca="false">IF(OR($AN30=0,M$3=""),"",IF(AND(INDEX(工程マスタ!$I:$I,$AN30)="○",$E30=M$3),"▼",""))</f>
        <v/>
      </c>
      <c r="N30" s="31" t="str">
        <f aca="false">IF(OR($AN30=0,N$3=""),"",IF(AND(INDEX(工程マスタ!$I:$I,$AN30)="○",$E30=N$3),"▼",""))</f>
        <v/>
      </c>
      <c r="O30" s="31" t="str">
        <f aca="false">IF(OR($AN30=0,O$3=""),"",IF(AND(INDEX(工程マスタ!$I:$I,$AN30)="○",$E30=O$3),"▼",""))</f>
        <v/>
      </c>
      <c r="P30" s="31" t="str">
        <f aca="false">IF(OR($AN30=0,P$3=""),"",IF(AND(INDEX(工程マスタ!$I:$I,$AN30)="○",$E30=P$3),"▼",""))</f>
        <v/>
      </c>
      <c r="Q30" s="31" t="str">
        <f aca="false">IF(OR($AN30=0,Q$3=""),"",IF(AND(INDEX(工程マスタ!$I:$I,$AN30)="○",$E30=Q$3),"▼",""))</f>
        <v/>
      </c>
      <c r="R30" s="31" t="str">
        <f aca="false">IF(OR($AN30=0,R$3=""),"",IF(AND(INDEX(工程マスタ!$I:$I,$AN30)="○",$E30=R$3),"▼",""))</f>
        <v/>
      </c>
      <c r="S30" s="31" t="str">
        <f aca="false">IF(OR($AN30=0,S$3=""),"",IF(AND(INDEX(工程マスタ!$I:$I,$AN30)="○",$E30=S$3),"▼",""))</f>
        <v/>
      </c>
      <c r="T30" s="31" t="str">
        <f aca="false">IF(OR($AN30=0,T$3=""),"",IF(AND(INDEX(工程マスタ!$I:$I,$AN30)="○",$E30=T$3),"▼",""))</f>
        <v/>
      </c>
      <c r="U30" s="31" t="str">
        <f aca="false">IF(OR($AN30=0,U$3=""),"",IF(AND(INDEX(工程マスタ!$I:$I,$AN30)="○",$E30=U$3),"▼",""))</f>
        <v/>
      </c>
      <c r="V30" s="31" t="str">
        <f aca="false">IF(OR($AN30=0,V$3=""),"",IF(AND(INDEX(工程マスタ!$I:$I,$AN30)="○",$E30=V$3),"▼",""))</f>
        <v/>
      </c>
      <c r="W30" s="31" t="str">
        <f aca="false">IF(OR($AN30=0,W$3=""),"",IF(AND(INDEX(工程マスタ!$I:$I,$AN30)="○",$E30=W$3),"▼",""))</f>
        <v/>
      </c>
      <c r="X30" s="31" t="str">
        <f aca="false">IF(OR($AN30=0,X$3=""),"",IF(AND(INDEX(工程マスタ!$I:$I,$AN30)="○",$E30=X$3),"▼",""))</f>
        <v/>
      </c>
      <c r="Y30" s="31" t="str">
        <f aca="false">IF(OR($AN30=0,Y$3=""),"",IF(AND(INDEX(工程マスタ!$I:$I,$AN30)="○",$E30=Y$3),"▼",""))</f>
        <v/>
      </c>
      <c r="Z30" s="31" t="str">
        <f aca="false">IF(OR($AN30=0,Z$3=""),"",IF(AND(INDEX(工程マスタ!$I:$I,$AN30)="○",$E30=Z$3),"▼",""))</f>
        <v/>
      </c>
      <c r="AA30" s="31" t="str">
        <f aca="false">IF(OR($AN30=0,AA$3=""),"",IF(AND(INDEX(工程マスタ!$I:$I,$AN30)="○",$E30=AA$3),"▼",""))</f>
        <v/>
      </c>
      <c r="AB30" s="31" t="str">
        <f aca="false">IF(OR($AN30=0,AB$3=""),"",IF(AND(INDEX(工程マスタ!$I:$I,$AN30)="○",$E30=AB$3),"▼",""))</f>
        <v/>
      </c>
      <c r="AC30" s="31" t="str">
        <f aca="false">IF(OR($AN30=0,AC$3=""),"",IF(AND(INDEX(工程マスタ!$I:$I,$AN30)="○",$E30=AC$3),"▼",""))</f>
        <v/>
      </c>
      <c r="AD30" s="31" t="str">
        <f aca="false">IF(OR($AN30=0,AD$3=""),"",IF(AND(INDEX(工程マスタ!$I:$I,$AN30)="○",$E30=AD$3),"▼",""))</f>
        <v/>
      </c>
      <c r="AE30" s="31" t="str">
        <f aca="false">IF(OR($AN30=0,AE$3=""),"",IF(AND(INDEX(工程マスタ!$I:$I,$AN30)="○",$E30=AE$3),"▼",""))</f>
        <v/>
      </c>
      <c r="AF30" s="31" t="str">
        <f aca="false">IF(OR($AN30=0,AF$3=""),"",IF(AND(INDEX(工程マスタ!$I:$I,$AN30)="○",$E30=AF$3),"▼",""))</f>
        <v/>
      </c>
      <c r="AG30" s="31" t="str">
        <f aca="false">IF(OR($AN30=0,AG$3=""),"",IF(AND(INDEX(工程マスタ!$I:$I,$AN30)="○",$E30=AG$3),"▼",""))</f>
        <v/>
      </c>
      <c r="AH30" s="31" t="str">
        <f aca="false">IF(OR($AN30=0,AH$3=""),"",IF(AND(INDEX(工程マスタ!$I:$I,$AN30)="○",$E30=AH$3),"▼",""))</f>
        <v/>
      </c>
      <c r="AI30" s="31" t="str">
        <f aca="false">IF(OR($AN30=0,AI$3=""),"",IF(AND(INDEX(工程マスタ!$I:$I,$AN30)="○",$E30=AI$3),"▼",""))</f>
        <v/>
      </c>
      <c r="AJ30" s="31" t="str">
        <f aca="false">IF(OR($AN30=0,AJ$3=""),"",IF(AND(INDEX(工程マスタ!$I:$I,$AN30)="○",$E30=AJ$3),"▼",""))</f>
        <v/>
      </c>
      <c r="AK30" s="31" t="str">
        <f aca="false">IF(OR($AN30=0,AK$3=""),"",IF(AND(INDEX(工程マスタ!$I:$I,$AN30)="○",$E30=AK$3),"▼",""))</f>
        <v/>
      </c>
      <c r="AL30" s="31" t="str">
        <f aca="false">IF(OR($AN30=0,AL$3=""),"",IF(AND(INDEX(工程マスタ!$I:$I,$AN30)="○",$E30=AL$3),"▼",""))</f>
        <v/>
      </c>
      <c r="AN30" s="27" t="n">
        <f aca="false" t="array" ref="AN30:AN30">IFERROR(SMALL(IF((工程マスタ!$K$5:$K$154&gt;0)*(工程マスタ!$K$5:$K$154&lt;=$AN$2)*(工程マスタ!$L$5:$L$154&gt;=$AN$1),ROW(工程マスタ!$C$5:$C$154)),24),0)</f>
        <v>0</v>
      </c>
      <c r="AO30" s="27" t="n">
        <f aca="false">IF($AN30=0,0,INDEX(工程マスタ!$M:$M,$AN30))</f>
        <v>0</v>
      </c>
    </row>
    <row r="31" customFormat="false" ht="15" hidden="false" customHeight="false" outlineLevel="0" collapsed="false">
      <c r="A31" s="28" t="str">
        <f aca="false">IF($AN31=0,"",IF(INDEX(工程マスタ!$A:$A,$AN31)="","",INDEX(工程マスタ!$A:$A,$AN31)))</f>
        <v/>
      </c>
      <c r="B31" s="21" t="str">
        <f aca="false">IF($AN31=0,"",IF(INDEX(工程マスタ!$B:$B,$AN31)="","",INDEX(工程マスタ!$B:$B,$AN31)))</f>
        <v/>
      </c>
      <c r="C31" s="21" t="str">
        <f aca="false">IF($AN31=0,"",IF(INDEX(工程マスタ!$C:$C,$AN31)="","",INDEX(工程マスタ!$C:$C,$AN31)))</f>
        <v/>
      </c>
      <c r="D31" s="21" t="str">
        <f aca="false">IF($AN31=0,"",IF(INDEX(工程マスタ!$D:$D,$AN31)="","",INDEX(工程マスタ!$D:$D,$AN31)))</f>
        <v/>
      </c>
      <c r="E31" s="29" t="str">
        <f aca="false">IF($AN31=0,"",IF(INDEX(工程マスタ!$E:$E,$AN31)="","",INDEX(工程マスタ!$E:$E,$AN31)))</f>
        <v/>
      </c>
      <c r="F31" s="29" t="str">
        <f aca="false">IF($AN31=0,"",IF(INDEX(工程マスタ!$F:$F,$AN31)="","",INDEX(工程マスタ!$F:$F,$AN31)))</f>
        <v/>
      </c>
      <c r="G31" s="30" t="str">
        <f aca="false">IF($AN31=0,"",IF(INDEX(工程マスタ!$H:$H,$AN31)="","",INDEX(工程マスタ!$H:$H,$AN31)))</f>
        <v/>
      </c>
      <c r="H31" s="31" t="str">
        <f aca="false">IF(OR($AN31=0,H$3=""),"",IF(AND(INDEX(工程マスタ!$I:$I,$AN31)="○",$E31=H$3),"▼",""))</f>
        <v/>
      </c>
      <c r="I31" s="31" t="str">
        <f aca="false">IF(OR($AN31=0,I$3=""),"",IF(AND(INDEX(工程マスタ!$I:$I,$AN31)="○",$E31=I$3),"▼",""))</f>
        <v/>
      </c>
      <c r="J31" s="31" t="str">
        <f aca="false">IF(OR($AN31=0,J$3=""),"",IF(AND(INDEX(工程マスタ!$I:$I,$AN31)="○",$E31=J$3),"▼",""))</f>
        <v/>
      </c>
      <c r="K31" s="31" t="str">
        <f aca="false">IF(OR($AN31=0,K$3=""),"",IF(AND(INDEX(工程マスタ!$I:$I,$AN31)="○",$E31=K$3),"▼",""))</f>
        <v/>
      </c>
      <c r="L31" s="31" t="str">
        <f aca="false">IF(OR($AN31=0,L$3=""),"",IF(AND(INDEX(工程マスタ!$I:$I,$AN31)="○",$E31=L$3),"▼",""))</f>
        <v/>
      </c>
      <c r="M31" s="31" t="str">
        <f aca="false">IF(OR($AN31=0,M$3=""),"",IF(AND(INDEX(工程マスタ!$I:$I,$AN31)="○",$E31=M$3),"▼",""))</f>
        <v/>
      </c>
      <c r="N31" s="31" t="str">
        <f aca="false">IF(OR($AN31=0,N$3=""),"",IF(AND(INDEX(工程マスタ!$I:$I,$AN31)="○",$E31=N$3),"▼",""))</f>
        <v/>
      </c>
      <c r="O31" s="31" t="str">
        <f aca="false">IF(OR($AN31=0,O$3=""),"",IF(AND(INDEX(工程マスタ!$I:$I,$AN31)="○",$E31=O$3),"▼",""))</f>
        <v/>
      </c>
      <c r="P31" s="31" t="str">
        <f aca="false">IF(OR($AN31=0,P$3=""),"",IF(AND(INDEX(工程マスタ!$I:$I,$AN31)="○",$E31=P$3),"▼",""))</f>
        <v/>
      </c>
      <c r="Q31" s="31" t="str">
        <f aca="false">IF(OR($AN31=0,Q$3=""),"",IF(AND(INDEX(工程マスタ!$I:$I,$AN31)="○",$E31=Q$3),"▼",""))</f>
        <v/>
      </c>
      <c r="R31" s="31" t="str">
        <f aca="false">IF(OR($AN31=0,R$3=""),"",IF(AND(INDEX(工程マスタ!$I:$I,$AN31)="○",$E31=R$3),"▼",""))</f>
        <v/>
      </c>
      <c r="S31" s="31" t="str">
        <f aca="false">IF(OR($AN31=0,S$3=""),"",IF(AND(INDEX(工程マスタ!$I:$I,$AN31)="○",$E31=S$3),"▼",""))</f>
        <v/>
      </c>
      <c r="T31" s="31" t="str">
        <f aca="false">IF(OR($AN31=0,T$3=""),"",IF(AND(INDEX(工程マスタ!$I:$I,$AN31)="○",$E31=T$3),"▼",""))</f>
        <v/>
      </c>
      <c r="U31" s="31" t="str">
        <f aca="false">IF(OR($AN31=0,U$3=""),"",IF(AND(INDEX(工程マスタ!$I:$I,$AN31)="○",$E31=U$3),"▼",""))</f>
        <v/>
      </c>
      <c r="V31" s="31" t="str">
        <f aca="false">IF(OR($AN31=0,V$3=""),"",IF(AND(INDEX(工程マスタ!$I:$I,$AN31)="○",$E31=V$3),"▼",""))</f>
        <v/>
      </c>
      <c r="W31" s="31" t="str">
        <f aca="false">IF(OR($AN31=0,W$3=""),"",IF(AND(INDEX(工程マスタ!$I:$I,$AN31)="○",$E31=W$3),"▼",""))</f>
        <v/>
      </c>
      <c r="X31" s="31" t="str">
        <f aca="false">IF(OR($AN31=0,X$3=""),"",IF(AND(INDEX(工程マスタ!$I:$I,$AN31)="○",$E31=X$3),"▼",""))</f>
        <v/>
      </c>
      <c r="Y31" s="31" t="str">
        <f aca="false">IF(OR($AN31=0,Y$3=""),"",IF(AND(INDEX(工程マスタ!$I:$I,$AN31)="○",$E31=Y$3),"▼",""))</f>
        <v/>
      </c>
      <c r="Z31" s="31" t="str">
        <f aca="false">IF(OR($AN31=0,Z$3=""),"",IF(AND(INDEX(工程マスタ!$I:$I,$AN31)="○",$E31=Z$3),"▼",""))</f>
        <v/>
      </c>
      <c r="AA31" s="31" t="str">
        <f aca="false">IF(OR($AN31=0,AA$3=""),"",IF(AND(INDEX(工程マスタ!$I:$I,$AN31)="○",$E31=AA$3),"▼",""))</f>
        <v/>
      </c>
      <c r="AB31" s="31" t="str">
        <f aca="false">IF(OR($AN31=0,AB$3=""),"",IF(AND(INDEX(工程マスタ!$I:$I,$AN31)="○",$E31=AB$3),"▼",""))</f>
        <v/>
      </c>
      <c r="AC31" s="31" t="str">
        <f aca="false">IF(OR($AN31=0,AC$3=""),"",IF(AND(INDEX(工程マスタ!$I:$I,$AN31)="○",$E31=AC$3),"▼",""))</f>
        <v/>
      </c>
      <c r="AD31" s="31" t="str">
        <f aca="false">IF(OR($AN31=0,AD$3=""),"",IF(AND(INDEX(工程マスタ!$I:$I,$AN31)="○",$E31=AD$3),"▼",""))</f>
        <v/>
      </c>
      <c r="AE31" s="31" t="str">
        <f aca="false">IF(OR($AN31=0,AE$3=""),"",IF(AND(INDEX(工程マスタ!$I:$I,$AN31)="○",$E31=AE$3),"▼",""))</f>
        <v/>
      </c>
      <c r="AF31" s="31" t="str">
        <f aca="false">IF(OR($AN31=0,AF$3=""),"",IF(AND(INDEX(工程マスタ!$I:$I,$AN31)="○",$E31=AF$3),"▼",""))</f>
        <v/>
      </c>
      <c r="AG31" s="31" t="str">
        <f aca="false">IF(OR($AN31=0,AG$3=""),"",IF(AND(INDEX(工程マスタ!$I:$I,$AN31)="○",$E31=AG$3),"▼",""))</f>
        <v/>
      </c>
      <c r="AH31" s="31" t="str">
        <f aca="false">IF(OR($AN31=0,AH$3=""),"",IF(AND(INDEX(工程マスタ!$I:$I,$AN31)="○",$E31=AH$3),"▼",""))</f>
        <v/>
      </c>
      <c r="AI31" s="31" t="str">
        <f aca="false">IF(OR($AN31=0,AI$3=""),"",IF(AND(INDEX(工程マスタ!$I:$I,$AN31)="○",$E31=AI$3),"▼",""))</f>
        <v/>
      </c>
      <c r="AJ31" s="31" t="str">
        <f aca="false">IF(OR($AN31=0,AJ$3=""),"",IF(AND(INDEX(工程マスタ!$I:$I,$AN31)="○",$E31=AJ$3),"▼",""))</f>
        <v/>
      </c>
      <c r="AK31" s="31" t="str">
        <f aca="false">IF(OR($AN31=0,AK$3=""),"",IF(AND(INDEX(工程マスタ!$I:$I,$AN31)="○",$E31=AK$3),"▼",""))</f>
        <v/>
      </c>
      <c r="AL31" s="31" t="str">
        <f aca="false">IF(OR($AN31=0,AL$3=""),"",IF(AND(INDEX(工程マスタ!$I:$I,$AN31)="○",$E31=AL$3),"▼",""))</f>
        <v/>
      </c>
      <c r="AN31" s="27" t="n">
        <f aca="false" t="array" ref="AN31:AN31">IFERROR(SMALL(IF((工程マスタ!$K$5:$K$154&gt;0)*(工程マスタ!$K$5:$K$154&lt;=$AN$2)*(工程マスタ!$L$5:$L$154&gt;=$AN$1),ROW(工程マスタ!$C$5:$C$154)),25),0)</f>
        <v>0</v>
      </c>
      <c r="AO31" s="27" t="n">
        <f aca="false">IF($AN31=0,0,INDEX(工程マスタ!$M:$M,$AN31))</f>
        <v>0</v>
      </c>
    </row>
    <row r="32" customFormat="false" ht="15" hidden="false" customHeight="false" outlineLevel="0" collapsed="false">
      <c r="A32" s="28" t="str">
        <f aca="false">IF($AN32=0,"",IF(INDEX(工程マスタ!$A:$A,$AN32)="","",INDEX(工程マスタ!$A:$A,$AN32)))</f>
        <v/>
      </c>
      <c r="B32" s="21" t="str">
        <f aca="false">IF($AN32=0,"",IF(INDEX(工程マスタ!$B:$B,$AN32)="","",INDEX(工程マスタ!$B:$B,$AN32)))</f>
        <v/>
      </c>
      <c r="C32" s="21" t="str">
        <f aca="false">IF($AN32=0,"",IF(INDEX(工程マスタ!$C:$C,$AN32)="","",INDEX(工程マスタ!$C:$C,$AN32)))</f>
        <v/>
      </c>
      <c r="D32" s="21" t="str">
        <f aca="false">IF($AN32=0,"",IF(INDEX(工程マスタ!$D:$D,$AN32)="","",INDEX(工程マスタ!$D:$D,$AN32)))</f>
        <v/>
      </c>
      <c r="E32" s="29" t="str">
        <f aca="false">IF($AN32=0,"",IF(INDEX(工程マスタ!$E:$E,$AN32)="","",INDEX(工程マスタ!$E:$E,$AN32)))</f>
        <v/>
      </c>
      <c r="F32" s="29" t="str">
        <f aca="false">IF($AN32=0,"",IF(INDEX(工程マスタ!$F:$F,$AN32)="","",INDEX(工程マスタ!$F:$F,$AN32)))</f>
        <v/>
      </c>
      <c r="G32" s="30" t="str">
        <f aca="false">IF($AN32=0,"",IF(INDEX(工程マスタ!$H:$H,$AN32)="","",INDEX(工程マスタ!$H:$H,$AN32)))</f>
        <v/>
      </c>
      <c r="H32" s="31" t="str">
        <f aca="false">IF(OR($AN32=0,H$3=""),"",IF(AND(INDEX(工程マスタ!$I:$I,$AN32)="○",$E32=H$3),"▼",""))</f>
        <v/>
      </c>
      <c r="I32" s="31" t="str">
        <f aca="false">IF(OR($AN32=0,I$3=""),"",IF(AND(INDEX(工程マスタ!$I:$I,$AN32)="○",$E32=I$3),"▼",""))</f>
        <v/>
      </c>
      <c r="J32" s="31" t="str">
        <f aca="false">IF(OR($AN32=0,J$3=""),"",IF(AND(INDEX(工程マスタ!$I:$I,$AN32)="○",$E32=J$3),"▼",""))</f>
        <v/>
      </c>
      <c r="K32" s="31" t="str">
        <f aca="false">IF(OR($AN32=0,K$3=""),"",IF(AND(INDEX(工程マスタ!$I:$I,$AN32)="○",$E32=K$3),"▼",""))</f>
        <v/>
      </c>
      <c r="L32" s="31" t="str">
        <f aca="false">IF(OR($AN32=0,L$3=""),"",IF(AND(INDEX(工程マスタ!$I:$I,$AN32)="○",$E32=L$3),"▼",""))</f>
        <v/>
      </c>
      <c r="M32" s="31" t="str">
        <f aca="false">IF(OR($AN32=0,M$3=""),"",IF(AND(INDEX(工程マスタ!$I:$I,$AN32)="○",$E32=M$3),"▼",""))</f>
        <v/>
      </c>
      <c r="N32" s="31" t="str">
        <f aca="false">IF(OR($AN32=0,N$3=""),"",IF(AND(INDEX(工程マスタ!$I:$I,$AN32)="○",$E32=N$3),"▼",""))</f>
        <v/>
      </c>
      <c r="O32" s="31" t="str">
        <f aca="false">IF(OR($AN32=0,O$3=""),"",IF(AND(INDEX(工程マスタ!$I:$I,$AN32)="○",$E32=O$3),"▼",""))</f>
        <v/>
      </c>
      <c r="P32" s="31" t="str">
        <f aca="false">IF(OR($AN32=0,P$3=""),"",IF(AND(INDEX(工程マスタ!$I:$I,$AN32)="○",$E32=P$3),"▼",""))</f>
        <v/>
      </c>
      <c r="Q32" s="31" t="str">
        <f aca="false">IF(OR($AN32=0,Q$3=""),"",IF(AND(INDEX(工程マスタ!$I:$I,$AN32)="○",$E32=Q$3),"▼",""))</f>
        <v/>
      </c>
      <c r="R32" s="31" t="str">
        <f aca="false">IF(OR($AN32=0,R$3=""),"",IF(AND(INDEX(工程マスタ!$I:$I,$AN32)="○",$E32=R$3),"▼",""))</f>
        <v/>
      </c>
      <c r="S32" s="31" t="str">
        <f aca="false">IF(OR($AN32=0,S$3=""),"",IF(AND(INDEX(工程マスタ!$I:$I,$AN32)="○",$E32=S$3),"▼",""))</f>
        <v/>
      </c>
      <c r="T32" s="31" t="str">
        <f aca="false">IF(OR($AN32=0,T$3=""),"",IF(AND(INDEX(工程マスタ!$I:$I,$AN32)="○",$E32=T$3),"▼",""))</f>
        <v/>
      </c>
      <c r="U32" s="31" t="str">
        <f aca="false">IF(OR($AN32=0,U$3=""),"",IF(AND(INDEX(工程マスタ!$I:$I,$AN32)="○",$E32=U$3),"▼",""))</f>
        <v/>
      </c>
      <c r="V32" s="31" t="str">
        <f aca="false">IF(OR($AN32=0,V$3=""),"",IF(AND(INDEX(工程マスタ!$I:$I,$AN32)="○",$E32=V$3),"▼",""))</f>
        <v/>
      </c>
      <c r="W32" s="31" t="str">
        <f aca="false">IF(OR($AN32=0,W$3=""),"",IF(AND(INDEX(工程マスタ!$I:$I,$AN32)="○",$E32=W$3),"▼",""))</f>
        <v/>
      </c>
      <c r="X32" s="31" t="str">
        <f aca="false">IF(OR($AN32=0,X$3=""),"",IF(AND(INDEX(工程マスタ!$I:$I,$AN32)="○",$E32=X$3),"▼",""))</f>
        <v/>
      </c>
      <c r="Y32" s="31" t="str">
        <f aca="false">IF(OR($AN32=0,Y$3=""),"",IF(AND(INDEX(工程マスタ!$I:$I,$AN32)="○",$E32=Y$3),"▼",""))</f>
        <v/>
      </c>
      <c r="Z32" s="31" t="str">
        <f aca="false">IF(OR($AN32=0,Z$3=""),"",IF(AND(INDEX(工程マスタ!$I:$I,$AN32)="○",$E32=Z$3),"▼",""))</f>
        <v/>
      </c>
      <c r="AA32" s="31" t="str">
        <f aca="false">IF(OR($AN32=0,AA$3=""),"",IF(AND(INDEX(工程マスタ!$I:$I,$AN32)="○",$E32=AA$3),"▼",""))</f>
        <v/>
      </c>
      <c r="AB32" s="31" t="str">
        <f aca="false">IF(OR($AN32=0,AB$3=""),"",IF(AND(INDEX(工程マスタ!$I:$I,$AN32)="○",$E32=AB$3),"▼",""))</f>
        <v/>
      </c>
      <c r="AC32" s="31" t="str">
        <f aca="false">IF(OR($AN32=0,AC$3=""),"",IF(AND(INDEX(工程マスタ!$I:$I,$AN32)="○",$E32=AC$3),"▼",""))</f>
        <v/>
      </c>
      <c r="AD32" s="31" t="str">
        <f aca="false">IF(OR($AN32=0,AD$3=""),"",IF(AND(INDEX(工程マスタ!$I:$I,$AN32)="○",$E32=AD$3),"▼",""))</f>
        <v/>
      </c>
      <c r="AE32" s="31" t="str">
        <f aca="false">IF(OR($AN32=0,AE$3=""),"",IF(AND(INDEX(工程マスタ!$I:$I,$AN32)="○",$E32=AE$3),"▼",""))</f>
        <v/>
      </c>
      <c r="AF32" s="31" t="str">
        <f aca="false">IF(OR($AN32=0,AF$3=""),"",IF(AND(INDEX(工程マスタ!$I:$I,$AN32)="○",$E32=AF$3),"▼",""))</f>
        <v/>
      </c>
      <c r="AG32" s="31" t="str">
        <f aca="false">IF(OR($AN32=0,AG$3=""),"",IF(AND(INDEX(工程マスタ!$I:$I,$AN32)="○",$E32=AG$3),"▼",""))</f>
        <v/>
      </c>
      <c r="AH32" s="31" t="str">
        <f aca="false">IF(OR($AN32=0,AH$3=""),"",IF(AND(INDEX(工程マスタ!$I:$I,$AN32)="○",$E32=AH$3),"▼",""))</f>
        <v/>
      </c>
      <c r="AI32" s="31" t="str">
        <f aca="false">IF(OR($AN32=0,AI$3=""),"",IF(AND(INDEX(工程マスタ!$I:$I,$AN32)="○",$E32=AI$3),"▼",""))</f>
        <v/>
      </c>
      <c r="AJ32" s="31" t="str">
        <f aca="false">IF(OR($AN32=0,AJ$3=""),"",IF(AND(INDEX(工程マスタ!$I:$I,$AN32)="○",$E32=AJ$3),"▼",""))</f>
        <v/>
      </c>
      <c r="AK32" s="31" t="str">
        <f aca="false">IF(OR($AN32=0,AK$3=""),"",IF(AND(INDEX(工程マスタ!$I:$I,$AN32)="○",$E32=AK$3),"▼",""))</f>
        <v/>
      </c>
      <c r="AL32" s="31" t="str">
        <f aca="false">IF(OR($AN32=0,AL$3=""),"",IF(AND(INDEX(工程マスタ!$I:$I,$AN32)="○",$E32=AL$3),"▼",""))</f>
        <v/>
      </c>
      <c r="AN32" s="27" t="n">
        <f aca="false" t="array" ref="AN32:AN32">IFERROR(SMALL(IF((工程マスタ!$K$5:$K$154&gt;0)*(工程マスタ!$K$5:$K$154&lt;=$AN$2)*(工程マスタ!$L$5:$L$154&gt;=$AN$1),ROW(工程マスタ!$C$5:$C$154)),26),0)</f>
        <v>0</v>
      </c>
      <c r="AO32" s="27" t="n">
        <f aca="false">IF($AN32=0,0,INDEX(工程マスタ!$M:$M,$AN32))</f>
        <v>0</v>
      </c>
    </row>
    <row r="33" customFormat="false" ht="15" hidden="false" customHeight="false" outlineLevel="0" collapsed="false">
      <c r="A33" s="28" t="str">
        <f aca="false">IF($AN33=0,"",IF(INDEX(工程マスタ!$A:$A,$AN33)="","",INDEX(工程マスタ!$A:$A,$AN33)))</f>
        <v/>
      </c>
      <c r="B33" s="21" t="str">
        <f aca="false">IF($AN33=0,"",IF(INDEX(工程マスタ!$B:$B,$AN33)="","",INDEX(工程マスタ!$B:$B,$AN33)))</f>
        <v/>
      </c>
      <c r="C33" s="21" t="str">
        <f aca="false">IF($AN33=0,"",IF(INDEX(工程マスタ!$C:$C,$AN33)="","",INDEX(工程マスタ!$C:$C,$AN33)))</f>
        <v/>
      </c>
      <c r="D33" s="21" t="str">
        <f aca="false">IF($AN33=0,"",IF(INDEX(工程マスタ!$D:$D,$AN33)="","",INDEX(工程マスタ!$D:$D,$AN33)))</f>
        <v/>
      </c>
      <c r="E33" s="29" t="str">
        <f aca="false">IF($AN33=0,"",IF(INDEX(工程マスタ!$E:$E,$AN33)="","",INDEX(工程マスタ!$E:$E,$AN33)))</f>
        <v/>
      </c>
      <c r="F33" s="29" t="str">
        <f aca="false">IF($AN33=0,"",IF(INDEX(工程マスタ!$F:$F,$AN33)="","",INDEX(工程マスタ!$F:$F,$AN33)))</f>
        <v/>
      </c>
      <c r="G33" s="30" t="str">
        <f aca="false">IF($AN33=0,"",IF(INDEX(工程マスタ!$H:$H,$AN33)="","",INDEX(工程マスタ!$H:$H,$AN33)))</f>
        <v/>
      </c>
      <c r="H33" s="31" t="str">
        <f aca="false">IF(OR($AN33=0,H$3=""),"",IF(AND(INDEX(工程マスタ!$I:$I,$AN33)="○",$E33=H$3),"▼",""))</f>
        <v/>
      </c>
      <c r="I33" s="31" t="str">
        <f aca="false">IF(OR($AN33=0,I$3=""),"",IF(AND(INDEX(工程マスタ!$I:$I,$AN33)="○",$E33=I$3),"▼",""))</f>
        <v/>
      </c>
      <c r="J33" s="31" t="str">
        <f aca="false">IF(OR($AN33=0,J$3=""),"",IF(AND(INDEX(工程マスタ!$I:$I,$AN33)="○",$E33=J$3),"▼",""))</f>
        <v/>
      </c>
      <c r="K33" s="31" t="str">
        <f aca="false">IF(OR($AN33=0,K$3=""),"",IF(AND(INDEX(工程マスタ!$I:$I,$AN33)="○",$E33=K$3),"▼",""))</f>
        <v/>
      </c>
      <c r="L33" s="31" t="str">
        <f aca="false">IF(OR($AN33=0,L$3=""),"",IF(AND(INDEX(工程マスタ!$I:$I,$AN33)="○",$E33=L$3),"▼",""))</f>
        <v/>
      </c>
      <c r="M33" s="31" t="str">
        <f aca="false">IF(OR($AN33=0,M$3=""),"",IF(AND(INDEX(工程マスタ!$I:$I,$AN33)="○",$E33=M$3),"▼",""))</f>
        <v/>
      </c>
      <c r="N33" s="31" t="str">
        <f aca="false">IF(OR($AN33=0,N$3=""),"",IF(AND(INDEX(工程マスタ!$I:$I,$AN33)="○",$E33=N$3),"▼",""))</f>
        <v/>
      </c>
      <c r="O33" s="31" t="str">
        <f aca="false">IF(OR($AN33=0,O$3=""),"",IF(AND(INDEX(工程マスタ!$I:$I,$AN33)="○",$E33=O$3),"▼",""))</f>
        <v/>
      </c>
      <c r="P33" s="31" t="str">
        <f aca="false">IF(OR($AN33=0,P$3=""),"",IF(AND(INDEX(工程マスタ!$I:$I,$AN33)="○",$E33=P$3),"▼",""))</f>
        <v/>
      </c>
      <c r="Q33" s="31" t="str">
        <f aca="false">IF(OR($AN33=0,Q$3=""),"",IF(AND(INDEX(工程マスタ!$I:$I,$AN33)="○",$E33=Q$3),"▼",""))</f>
        <v/>
      </c>
      <c r="R33" s="31" t="str">
        <f aca="false">IF(OR($AN33=0,R$3=""),"",IF(AND(INDEX(工程マスタ!$I:$I,$AN33)="○",$E33=R$3),"▼",""))</f>
        <v/>
      </c>
      <c r="S33" s="31" t="str">
        <f aca="false">IF(OR($AN33=0,S$3=""),"",IF(AND(INDEX(工程マスタ!$I:$I,$AN33)="○",$E33=S$3),"▼",""))</f>
        <v/>
      </c>
      <c r="T33" s="31" t="str">
        <f aca="false">IF(OR($AN33=0,T$3=""),"",IF(AND(INDEX(工程マスタ!$I:$I,$AN33)="○",$E33=T$3),"▼",""))</f>
        <v/>
      </c>
      <c r="U33" s="31" t="str">
        <f aca="false">IF(OR($AN33=0,U$3=""),"",IF(AND(INDEX(工程マスタ!$I:$I,$AN33)="○",$E33=U$3),"▼",""))</f>
        <v/>
      </c>
      <c r="V33" s="31" t="str">
        <f aca="false">IF(OR($AN33=0,V$3=""),"",IF(AND(INDEX(工程マスタ!$I:$I,$AN33)="○",$E33=V$3),"▼",""))</f>
        <v/>
      </c>
      <c r="W33" s="31" t="str">
        <f aca="false">IF(OR($AN33=0,W$3=""),"",IF(AND(INDEX(工程マスタ!$I:$I,$AN33)="○",$E33=W$3),"▼",""))</f>
        <v/>
      </c>
      <c r="X33" s="31" t="str">
        <f aca="false">IF(OR($AN33=0,X$3=""),"",IF(AND(INDEX(工程マスタ!$I:$I,$AN33)="○",$E33=X$3),"▼",""))</f>
        <v/>
      </c>
      <c r="Y33" s="31" t="str">
        <f aca="false">IF(OR($AN33=0,Y$3=""),"",IF(AND(INDEX(工程マスタ!$I:$I,$AN33)="○",$E33=Y$3),"▼",""))</f>
        <v/>
      </c>
      <c r="Z33" s="31" t="str">
        <f aca="false">IF(OR($AN33=0,Z$3=""),"",IF(AND(INDEX(工程マスタ!$I:$I,$AN33)="○",$E33=Z$3),"▼",""))</f>
        <v/>
      </c>
      <c r="AA33" s="31" t="str">
        <f aca="false">IF(OR($AN33=0,AA$3=""),"",IF(AND(INDEX(工程マスタ!$I:$I,$AN33)="○",$E33=AA$3),"▼",""))</f>
        <v/>
      </c>
      <c r="AB33" s="31" t="str">
        <f aca="false">IF(OR($AN33=0,AB$3=""),"",IF(AND(INDEX(工程マスタ!$I:$I,$AN33)="○",$E33=AB$3),"▼",""))</f>
        <v/>
      </c>
      <c r="AC33" s="31" t="str">
        <f aca="false">IF(OR($AN33=0,AC$3=""),"",IF(AND(INDEX(工程マスタ!$I:$I,$AN33)="○",$E33=AC$3),"▼",""))</f>
        <v/>
      </c>
      <c r="AD33" s="31" t="str">
        <f aca="false">IF(OR($AN33=0,AD$3=""),"",IF(AND(INDEX(工程マスタ!$I:$I,$AN33)="○",$E33=AD$3),"▼",""))</f>
        <v/>
      </c>
      <c r="AE33" s="31" t="str">
        <f aca="false">IF(OR($AN33=0,AE$3=""),"",IF(AND(INDEX(工程マスタ!$I:$I,$AN33)="○",$E33=AE$3),"▼",""))</f>
        <v/>
      </c>
      <c r="AF33" s="31" t="str">
        <f aca="false">IF(OR($AN33=0,AF$3=""),"",IF(AND(INDEX(工程マスタ!$I:$I,$AN33)="○",$E33=AF$3),"▼",""))</f>
        <v/>
      </c>
      <c r="AG33" s="31" t="str">
        <f aca="false">IF(OR($AN33=0,AG$3=""),"",IF(AND(INDEX(工程マスタ!$I:$I,$AN33)="○",$E33=AG$3),"▼",""))</f>
        <v/>
      </c>
      <c r="AH33" s="31" t="str">
        <f aca="false">IF(OR($AN33=0,AH$3=""),"",IF(AND(INDEX(工程マスタ!$I:$I,$AN33)="○",$E33=AH$3),"▼",""))</f>
        <v/>
      </c>
      <c r="AI33" s="31" t="str">
        <f aca="false">IF(OR($AN33=0,AI$3=""),"",IF(AND(INDEX(工程マスタ!$I:$I,$AN33)="○",$E33=AI$3),"▼",""))</f>
        <v/>
      </c>
      <c r="AJ33" s="31" t="str">
        <f aca="false">IF(OR($AN33=0,AJ$3=""),"",IF(AND(INDEX(工程マスタ!$I:$I,$AN33)="○",$E33=AJ$3),"▼",""))</f>
        <v/>
      </c>
      <c r="AK33" s="31" t="str">
        <f aca="false">IF(OR($AN33=0,AK$3=""),"",IF(AND(INDEX(工程マスタ!$I:$I,$AN33)="○",$E33=AK$3),"▼",""))</f>
        <v/>
      </c>
      <c r="AL33" s="31" t="str">
        <f aca="false">IF(OR($AN33=0,AL$3=""),"",IF(AND(INDEX(工程マスタ!$I:$I,$AN33)="○",$E33=AL$3),"▼",""))</f>
        <v/>
      </c>
      <c r="AN33" s="27" t="n">
        <f aca="false" t="array" ref="AN33:AN33">IFERROR(SMALL(IF((工程マスタ!$K$5:$K$154&gt;0)*(工程マスタ!$K$5:$K$154&lt;=$AN$2)*(工程マスタ!$L$5:$L$154&gt;=$AN$1),ROW(工程マスタ!$C$5:$C$154)),27),0)</f>
        <v>0</v>
      </c>
      <c r="AO33" s="27" t="n">
        <f aca="false">IF($AN33=0,0,INDEX(工程マスタ!$M:$M,$AN33))</f>
        <v>0</v>
      </c>
    </row>
    <row r="34" customFormat="false" ht="15" hidden="false" customHeight="false" outlineLevel="0" collapsed="false">
      <c r="A34" s="28" t="str">
        <f aca="false">IF($AN34=0,"",IF(INDEX(工程マスタ!$A:$A,$AN34)="","",INDEX(工程マスタ!$A:$A,$AN34)))</f>
        <v/>
      </c>
      <c r="B34" s="21" t="str">
        <f aca="false">IF($AN34=0,"",IF(INDEX(工程マスタ!$B:$B,$AN34)="","",INDEX(工程マスタ!$B:$B,$AN34)))</f>
        <v/>
      </c>
      <c r="C34" s="21" t="str">
        <f aca="false">IF($AN34=0,"",IF(INDEX(工程マスタ!$C:$C,$AN34)="","",INDEX(工程マスタ!$C:$C,$AN34)))</f>
        <v/>
      </c>
      <c r="D34" s="21" t="str">
        <f aca="false">IF($AN34=0,"",IF(INDEX(工程マスタ!$D:$D,$AN34)="","",INDEX(工程マスタ!$D:$D,$AN34)))</f>
        <v/>
      </c>
      <c r="E34" s="29" t="str">
        <f aca="false">IF($AN34=0,"",IF(INDEX(工程マスタ!$E:$E,$AN34)="","",INDEX(工程マスタ!$E:$E,$AN34)))</f>
        <v/>
      </c>
      <c r="F34" s="29" t="str">
        <f aca="false">IF($AN34=0,"",IF(INDEX(工程マスタ!$F:$F,$AN34)="","",INDEX(工程マスタ!$F:$F,$AN34)))</f>
        <v/>
      </c>
      <c r="G34" s="30" t="str">
        <f aca="false">IF($AN34=0,"",IF(INDEX(工程マスタ!$H:$H,$AN34)="","",INDEX(工程マスタ!$H:$H,$AN34)))</f>
        <v/>
      </c>
      <c r="H34" s="31" t="str">
        <f aca="false">IF(OR($AN34=0,H$3=""),"",IF(AND(INDEX(工程マスタ!$I:$I,$AN34)="○",$E34=H$3),"▼",""))</f>
        <v/>
      </c>
      <c r="I34" s="31" t="str">
        <f aca="false">IF(OR($AN34=0,I$3=""),"",IF(AND(INDEX(工程マスタ!$I:$I,$AN34)="○",$E34=I$3),"▼",""))</f>
        <v/>
      </c>
      <c r="J34" s="31" t="str">
        <f aca="false">IF(OR($AN34=0,J$3=""),"",IF(AND(INDEX(工程マスタ!$I:$I,$AN34)="○",$E34=J$3),"▼",""))</f>
        <v/>
      </c>
      <c r="K34" s="31" t="str">
        <f aca="false">IF(OR($AN34=0,K$3=""),"",IF(AND(INDEX(工程マスタ!$I:$I,$AN34)="○",$E34=K$3),"▼",""))</f>
        <v/>
      </c>
      <c r="L34" s="31" t="str">
        <f aca="false">IF(OR($AN34=0,L$3=""),"",IF(AND(INDEX(工程マスタ!$I:$I,$AN34)="○",$E34=L$3),"▼",""))</f>
        <v/>
      </c>
      <c r="M34" s="31" t="str">
        <f aca="false">IF(OR($AN34=0,M$3=""),"",IF(AND(INDEX(工程マスタ!$I:$I,$AN34)="○",$E34=M$3),"▼",""))</f>
        <v/>
      </c>
      <c r="N34" s="31" t="str">
        <f aca="false">IF(OR($AN34=0,N$3=""),"",IF(AND(INDEX(工程マスタ!$I:$I,$AN34)="○",$E34=N$3),"▼",""))</f>
        <v/>
      </c>
      <c r="O34" s="31" t="str">
        <f aca="false">IF(OR($AN34=0,O$3=""),"",IF(AND(INDEX(工程マスタ!$I:$I,$AN34)="○",$E34=O$3),"▼",""))</f>
        <v/>
      </c>
      <c r="P34" s="31" t="str">
        <f aca="false">IF(OR($AN34=0,P$3=""),"",IF(AND(INDEX(工程マスタ!$I:$I,$AN34)="○",$E34=P$3),"▼",""))</f>
        <v/>
      </c>
      <c r="Q34" s="31" t="str">
        <f aca="false">IF(OR($AN34=0,Q$3=""),"",IF(AND(INDEX(工程マスタ!$I:$I,$AN34)="○",$E34=Q$3),"▼",""))</f>
        <v/>
      </c>
      <c r="R34" s="31" t="str">
        <f aca="false">IF(OR($AN34=0,R$3=""),"",IF(AND(INDEX(工程マスタ!$I:$I,$AN34)="○",$E34=R$3),"▼",""))</f>
        <v/>
      </c>
      <c r="S34" s="31" t="str">
        <f aca="false">IF(OR($AN34=0,S$3=""),"",IF(AND(INDEX(工程マスタ!$I:$I,$AN34)="○",$E34=S$3),"▼",""))</f>
        <v/>
      </c>
      <c r="T34" s="31" t="str">
        <f aca="false">IF(OR($AN34=0,T$3=""),"",IF(AND(INDEX(工程マスタ!$I:$I,$AN34)="○",$E34=T$3),"▼",""))</f>
        <v/>
      </c>
      <c r="U34" s="31" t="str">
        <f aca="false">IF(OR($AN34=0,U$3=""),"",IF(AND(INDEX(工程マスタ!$I:$I,$AN34)="○",$E34=U$3),"▼",""))</f>
        <v/>
      </c>
      <c r="V34" s="31" t="str">
        <f aca="false">IF(OR($AN34=0,V$3=""),"",IF(AND(INDEX(工程マスタ!$I:$I,$AN34)="○",$E34=V$3),"▼",""))</f>
        <v/>
      </c>
      <c r="W34" s="31" t="str">
        <f aca="false">IF(OR($AN34=0,W$3=""),"",IF(AND(INDEX(工程マスタ!$I:$I,$AN34)="○",$E34=W$3),"▼",""))</f>
        <v/>
      </c>
      <c r="X34" s="31" t="str">
        <f aca="false">IF(OR($AN34=0,X$3=""),"",IF(AND(INDEX(工程マスタ!$I:$I,$AN34)="○",$E34=X$3),"▼",""))</f>
        <v/>
      </c>
      <c r="Y34" s="31" t="str">
        <f aca="false">IF(OR($AN34=0,Y$3=""),"",IF(AND(INDEX(工程マスタ!$I:$I,$AN34)="○",$E34=Y$3),"▼",""))</f>
        <v/>
      </c>
      <c r="Z34" s="31" t="str">
        <f aca="false">IF(OR($AN34=0,Z$3=""),"",IF(AND(INDEX(工程マスタ!$I:$I,$AN34)="○",$E34=Z$3),"▼",""))</f>
        <v/>
      </c>
      <c r="AA34" s="31" t="str">
        <f aca="false">IF(OR($AN34=0,AA$3=""),"",IF(AND(INDEX(工程マスタ!$I:$I,$AN34)="○",$E34=AA$3),"▼",""))</f>
        <v/>
      </c>
      <c r="AB34" s="31" t="str">
        <f aca="false">IF(OR($AN34=0,AB$3=""),"",IF(AND(INDEX(工程マスタ!$I:$I,$AN34)="○",$E34=AB$3),"▼",""))</f>
        <v/>
      </c>
      <c r="AC34" s="31" t="str">
        <f aca="false">IF(OR($AN34=0,AC$3=""),"",IF(AND(INDEX(工程マスタ!$I:$I,$AN34)="○",$E34=AC$3),"▼",""))</f>
        <v/>
      </c>
      <c r="AD34" s="31" t="str">
        <f aca="false">IF(OR($AN34=0,AD$3=""),"",IF(AND(INDEX(工程マスタ!$I:$I,$AN34)="○",$E34=AD$3),"▼",""))</f>
        <v/>
      </c>
      <c r="AE34" s="31" t="str">
        <f aca="false">IF(OR($AN34=0,AE$3=""),"",IF(AND(INDEX(工程マスタ!$I:$I,$AN34)="○",$E34=AE$3),"▼",""))</f>
        <v/>
      </c>
      <c r="AF34" s="31" t="str">
        <f aca="false">IF(OR($AN34=0,AF$3=""),"",IF(AND(INDEX(工程マスタ!$I:$I,$AN34)="○",$E34=AF$3),"▼",""))</f>
        <v/>
      </c>
      <c r="AG34" s="31" t="str">
        <f aca="false">IF(OR($AN34=0,AG$3=""),"",IF(AND(INDEX(工程マスタ!$I:$I,$AN34)="○",$E34=AG$3),"▼",""))</f>
        <v/>
      </c>
      <c r="AH34" s="31" t="str">
        <f aca="false">IF(OR($AN34=0,AH$3=""),"",IF(AND(INDEX(工程マスタ!$I:$I,$AN34)="○",$E34=AH$3),"▼",""))</f>
        <v/>
      </c>
      <c r="AI34" s="31" t="str">
        <f aca="false">IF(OR($AN34=0,AI$3=""),"",IF(AND(INDEX(工程マスタ!$I:$I,$AN34)="○",$E34=AI$3),"▼",""))</f>
        <v/>
      </c>
      <c r="AJ34" s="31" t="str">
        <f aca="false">IF(OR($AN34=0,AJ$3=""),"",IF(AND(INDEX(工程マスタ!$I:$I,$AN34)="○",$E34=AJ$3),"▼",""))</f>
        <v/>
      </c>
      <c r="AK34" s="31" t="str">
        <f aca="false">IF(OR($AN34=0,AK$3=""),"",IF(AND(INDEX(工程マスタ!$I:$I,$AN34)="○",$E34=AK$3),"▼",""))</f>
        <v/>
      </c>
      <c r="AL34" s="31" t="str">
        <f aca="false">IF(OR($AN34=0,AL$3=""),"",IF(AND(INDEX(工程マスタ!$I:$I,$AN34)="○",$E34=AL$3),"▼",""))</f>
        <v/>
      </c>
      <c r="AN34" s="27" t="n">
        <f aca="false" t="array" ref="AN34:AN34">IFERROR(SMALL(IF((工程マスタ!$K$5:$K$154&gt;0)*(工程マスタ!$K$5:$K$154&lt;=$AN$2)*(工程マスタ!$L$5:$L$154&gt;=$AN$1),ROW(工程マスタ!$C$5:$C$154)),28),0)</f>
        <v>0</v>
      </c>
      <c r="AO34" s="27" t="n">
        <f aca="false">IF($AN34=0,0,INDEX(工程マスタ!$M:$M,$AN34))</f>
        <v>0</v>
      </c>
    </row>
    <row r="35" customFormat="false" ht="15" hidden="false" customHeight="false" outlineLevel="0" collapsed="false">
      <c r="A35" s="28" t="str">
        <f aca="false">IF($AN35=0,"",IF(INDEX(工程マスタ!$A:$A,$AN35)="","",INDEX(工程マスタ!$A:$A,$AN35)))</f>
        <v/>
      </c>
      <c r="B35" s="21" t="str">
        <f aca="false">IF($AN35=0,"",IF(INDEX(工程マスタ!$B:$B,$AN35)="","",INDEX(工程マスタ!$B:$B,$AN35)))</f>
        <v/>
      </c>
      <c r="C35" s="21" t="str">
        <f aca="false">IF($AN35=0,"",IF(INDEX(工程マスタ!$C:$C,$AN35)="","",INDEX(工程マスタ!$C:$C,$AN35)))</f>
        <v/>
      </c>
      <c r="D35" s="21" t="str">
        <f aca="false">IF($AN35=0,"",IF(INDEX(工程マスタ!$D:$D,$AN35)="","",INDEX(工程マスタ!$D:$D,$AN35)))</f>
        <v/>
      </c>
      <c r="E35" s="29" t="str">
        <f aca="false">IF($AN35=0,"",IF(INDEX(工程マスタ!$E:$E,$AN35)="","",INDEX(工程マスタ!$E:$E,$AN35)))</f>
        <v/>
      </c>
      <c r="F35" s="29" t="str">
        <f aca="false">IF($AN35=0,"",IF(INDEX(工程マスタ!$F:$F,$AN35)="","",INDEX(工程マスタ!$F:$F,$AN35)))</f>
        <v/>
      </c>
      <c r="G35" s="30" t="str">
        <f aca="false">IF($AN35=0,"",IF(INDEX(工程マスタ!$H:$H,$AN35)="","",INDEX(工程マスタ!$H:$H,$AN35)))</f>
        <v/>
      </c>
      <c r="H35" s="31" t="str">
        <f aca="false">IF(OR($AN35=0,H$3=""),"",IF(AND(INDEX(工程マスタ!$I:$I,$AN35)="○",$E35=H$3),"▼",""))</f>
        <v/>
      </c>
      <c r="I35" s="31" t="str">
        <f aca="false">IF(OR($AN35=0,I$3=""),"",IF(AND(INDEX(工程マスタ!$I:$I,$AN35)="○",$E35=I$3),"▼",""))</f>
        <v/>
      </c>
      <c r="J35" s="31" t="str">
        <f aca="false">IF(OR($AN35=0,J$3=""),"",IF(AND(INDEX(工程マスタ!$I:$I,$AN35)="○",$E35=J$3),"▼",""))</f>
        <v/>
      </c>
      <c r="K35" s="31" t="str">
        <f aca="false">IF(OR($AN35=0,K$3=""),"",IF(AND(INDEX(工程マスタ!$I:$I,$AN35)="○",$E35=K$3),"▼",""))</f>
        <v/>
      </c>
      <c r="L35" s="31" t="str">
        <f aca="false">IF(OR($AN35=0,L$3=""),"",IF(AND(INDEX(工程マスタ!$I:$I,$AN35)="○",$E35=L$3),"▼",""))</f>
        <v/>
      </c>
      <c r="M35" s="31" t="str">
        <f aca="false">IF(OR($AN35=0,M$3=""),"",IF(AND(INDEX(工程マスタ!$I:$I,$AN35)="○",$E35=M$3),"▼",""))</f>
        <v/>
      </c>
      <c r="N35" s="31" t="str">
        <f aca="false">IF(OR($AN35=0,N$3=""),"",IF(AND(INDEX(工程マスタ!$I:$I,$AN35)="○",$E35=N$3),"▼",""))</f>
        <v/>
      </c>
      <c r="O35" s="31" t="str">
        <f aca="false">IF(OR($AN35=0,O$3=""),"",IF(AND(INDEX(工程マスタ!$I:$I,$AN35)="○",$E35=O$3),"▼",""))</f>
        <v/>
      </c>
      <c r="P35" s="31" t="str">
        <f aca="false">IF(OR($AN35=0,P$3=""),"",IF(AND(INDEX(工程マスタ!$I:$I,$AN35)="○",$E35=P$3),"▼",""))</f>
        <v/>
      </c>
      <c r="Q35" s="31" t="str">
        <f aca="false">IF(OR($AN35=0,Q$3=""),"",IF(AND(INDEX(工程マスタ!$I:$I,$AN35)="○",$E35=Q$3),"▼",""))</f>
        <v/>
      </c>
      <c r="R35" s="31" t="str">
        <f aca="false">IF(OR($AN35=0,R$3=""),"",IF(AND(INDEX(工程マスタ!$I:$I,$AN35)="○",$E35=R$3),"▼",""))</f>
        <v/>
      </c>
      <c r="S35" s="31" t="str">
        <f aca="false">IF(OR($AN35=0,S$3=""),"",IF(AND(INDEX(工程マスタ!$I:$I,$AN35)="○",$E35=S$3),"▼",""))</f>
        <v/>
      </c>
      <c r="T35" s="31" t="str">
        <f aca="false">IF(OR($AN35=0,T$3=""),"",IF(AND(INDEX(工程マスタ!$I:$I,$AN35)="○",$E35=T$3),"▼",""))</f>
        <v/>
      </c>
      <c r="U35" s="31" t="str">
        <f aca="false">IF(OR($AN35=0,U$3=""),"",IF(AND(INDEX(工程マスタ!$I:$I,$AN35)="○",$E35=U$3),"▼",""))</f>
        <v/>
      </c>
      <c r="V35" s="31" t="str">
        <f aca="false">IF(OR($AN35=0,V$3=""),"",IF(AND(INDEX(工程マスタ!$I:$I,$AN35)="○",$E35=V$3),"▼",""))</f>
        <v/>
      </c>
      <c r="W35" s="31" t="str">
        <f aca="false">IF(OR($AN35=0,W$3=""),"",IF(AND(INDEX(工程マスタ!$I:$I,$AN35)="○",$E35=W$3),"▼",""))</f>
        <v/>
      </c>
      <c r="X35" s="31" t="str">
        <f aca="false">IF(OR($AN35=0,X$3=""),"",IF(AND(INDEX(工程マスタ!$I:$I,$AN35)="○",$E35=X$3),"▼",""))</f>
        <v/>
      </c>
      <c r="Y35" s="31" t="str">
        <f aca="false">IF(OR($AN35=0,Y$3=""),"",IF(AND(INDEX(工程マスタ!$I:$I,$AN35)="○",$E35=Y$3),"▼",""))</f>
        <v/>
      </c>
      <c r="Z35" s="31" t="str">
        <f aca="false">IF(OR($AN35=0,Z$3=""),"",IF(AND(INDEX(工程マスタ!$I:$I,$AN35)="○",$E35=Z$3),"▼",""))</f>
        <v/>
      </c>
      <c r="AA35" s="31" t="str">
        <f aca="false">IF(OR($AN35=0,AA$3=""),"",IF(AND(INDEX(工程マスタ!$I:$I,$AN35)="○",$E35=AA$3),"▼",""))</f>
        <v/>
      </c>
      <c r="AB35" s="31" t="str">
        <f aca="false">IF(OR($AN35=0,AB$3=""),"",IF(AND(INDEX(工程マスタ!$I:$I,$AN35)="○",$E35=AB$3),"▼",""))</f>
        <v/>
      </c>
      <c r="AC35" s="31" t="str">
        <f aca="false">IF(OR($AN35=0,AC$3=""),"",IF(AND(INDEX(工程マスタ!$I:$I,$AN35)="○",$E35=AC$3),"▼",""))</f>
        <v/>
      </c>
      <c r="AD35" s="31" t="str">
        <f aca="false">IF(OR($AN35=0,AD$3=""),"",IF(AND(INDEX(工程マスタ!$I:$I,$AN35)="○",$E35=AD$3),"▼",""))</f>
        <v/>
      </c>
      <c r="AE35" s="31" t="str">
        <f aca="false">IF(OR($AN35=0,AE$3=""),"",IF(AND(INDEX(工程マスタ!$I:$I,$AN35)="○",$E35=AE$3),"▼",""))</f>
        <v/>
      </c>
      <c r="AF35" s="31" t="str">
        <f aca="false">IF(OR($AN35=0,AF$3=""),"",IF(AND(INDEX(工程マスタ!$I:$I,$AN35)="○",$E35=AF$3),"▼",""))</f>
        <v/>
      </c>
      <c r="AG35" s="31" t="str">
        <f aca="false">IF(OR($AN35=0,AG$3=""),"",IF(AND(INDEX(工程マスタ!$I:$I,$AN35)="○",$E35=AG$3),"▼",""))</f>
        <v/>
      </c>
      <c r="AH35" s="31" t="str">
        <f aca="false">IF(OR($AN35=0,AH$3=""),"",IF(AND(INDEX(工程マスタ!$I:$I,$AN35)="○",$E35=AH$3),"▼",""))</f>
        <v/>
      </c>
      <c r="AI35" s="31" t="str">
        <f aca="false">IF(OR($AN35=0,AI$3=""),"",IF(AND(INDEX(工程マスタ!$I:$I,$AN35)="○",$E35=AI$3),"▼",""))</f>
        <v/>
      </c>
      <c r="AJ35" s="31" t="str">
        <f aca="false">IF(OR($AN35=0,AJ$3=""),"",IF(AND(INDEX(工程マスタ!$I:$I,$AN35)="○",$E35=AJ$3),"▼",""))</f>
        <v/>
      </c>
      <c r="AK35" s="31" t="str">
        <f aca="false">IF(OR($AN35=0,AK$3=""),"",IF(AND(INDEX(工程マスタ!$I:$I,$AN35)="○",$E35=AK$3),"▼",""))</f>
        <v/>
      </c>
      <c r="AL35" s="31" t="str">
        <f aca="false">IF(OR($AN35=0,AL$3=""),"",IF(AND(INDEX(工程マスタ!$I:$I,$AN35)="○",$E35=AL$3),"▼",""))</f>
        <v/>
      </c>
      <c r="AN35" s="27" t="n">
        <f aca="false" t="array" ref="AN35:AN35">IFERROR(SMALL(IF((工程マスタ!$K$5:$K$154&gt;0)*(工程マスタ!$K$5:$K$154&lt;=$AN$2)*(工程マスタ!$L$5:$L$154&gt;=$AN$1),ROW(工程マスタ!$C$5:$C$154)),29),0)</f>
        <v>0</v>
      </c>
      <c r="AO35" s="27" t="n">
        <f aca="false">IF($AN35=0,0,INDEX(工程マスタ!$M:$M,$AN35))</f>
        <v>0</v>
      </c>
    </row>
    <row r="36" customFormat="false" ht="15" hidden="false" customHeight="false" outlineLevel="0" collapsed="false">
      <c r="A36" s="28" t="str">
        <f aca="false">IF($AN36=0,"",IF(INDEX(工程マスタ!$A:$A,$AN36)="","",INDEX(工程マスタ!$A:$A,$AN36)))</f>
        <v/>
      </c>
      <c r="B36" s="21" t="str">
        <f aca="false">IF($AN36=0,"",IF(INDEX(工程マスタ!$B:$B,$AN36)="","",INDEX(工程マスタ!$B:$B,$AN36)))</f>
        <v/>
      </c>
      <c r="C36" s="21" t="str">
        <f aca="false">IF($AN36=0,"",IF(INDEX(工程マスタ!$C:$C,$AN36)="","",INDEX(工程マスタ!$C:$C,$AN36)))</f>
        <v/>
      </c>
      <c r="D36" s="21" t="str">
        <f aca="false">IF($AN36=0,"",IF(INDEX(工程マスタ!$D:$D,$AN36)="","",INDEX(工程マスタ!$D:$D,$AN36)))</f>
        <v/>
      </c>
      <c r="E36" s="29" t="str">
        <f aca="false">IF($AN36=0,"",IF(INDEX(工程マスタ!$E:$E,$AN36)="","",INDEX(工程マスタ!$E:$E,$AN36)))</f>
        <v/>
      </c>
      <c r="F36" s="29" t="str">
        <f aca="false">IF($AN36=0,"",IF(INDEX(工程マスタ!$F:$F,$AN36)="","",INDEX(工程マスタ!$F:$F,$AN36)))</f>
        <v/>
      </c>
      <c r="G36" s="30" t="str">
        <f aca="false">IF($AN36=0,"",IF(INDEX(工程マスタ!$H:$H,$AN36)="","",INDEX(工程マスタ!$H:$H,$AN36)))</f>
        <v/>
      </c>
      <c r="H36" s="31" t="str">
        <f aca="false">IF(OR($AN36=0,H$3=""),"",IF(AND(INDEX(工程マスタ!$I:$I,$AN36)="○",$E36=H$3),"▼",""))</f>
        <v/>
      </c>
      <c r="I36" s="31" t="str">
        <f aca="false">IF(OR($AN36=0,I$3=""),"",IF(AND(INDEX(工程マスタ!$I:$I,$AN36)="○",$E36=I$3),"▼",""))</f>
        <v/>
      </c>
      <c r="J36" s="31" t="str">
        <f aca="false">IF(OR($AN36=0,J$3=""),"",IF(AND(INDEX(工程マスタ!$I:$I,$AN36)="○",$E36=J$3),"▼",""))</f>
        <v/>
      </c>
      <c r="K36" s="31" t="str">
        <f aca="false">IF(OR($AN36=0,K$3=""),"",IF(AND(INDEX(工程マスタ!$I:$I,$AN36)="○",$E36=K$3),"▼",""))</f>
        <v/>
      </c>
      <c r="L36" s="31" t="str">
        <f aca="false">IF(OR($AN36=0,L$3=""),"",IF(AND(INDEX(工程マスタ!$I:$I,$AN36)="○",$E36=L$3),"▼",""))</f>
        <v/>
      </c>
      <c r="M36" s="31" t="str">
        <f aca="false">IF(OR($AN36=0,M$3=""),"",IF(AND(INDEX(工程マスタ!$I:$I,$AN36)="○",$E36=M$3),"▼",""))</f>
        <v/>
      </c>
      <c r="N36" s="31" t="str">
        <f aca="false">IF(OR($AN36=0,N$3=""),"",IF(AND(INDEX(工程マスタ!$I:$I,$AN36)="○",$E36=N$3),"▼",""))</f>
        <v/>
      </c>
      <c r="O36" s="31" t="str">
        <f aca="false">IF(OR($AN36=0,O$3=""),"",IF(AND(INDEX(工程マスタ!$I:$I,$AN36)="○",$E36=O$3),"▼",""))</f>
        <v/>
      </c>
      <c r="P36" s="31" t="str">
        <f aca="false">IF(OR($AN36=0,P$3=""),"",IF(AND(INDEX(工程マスタ!$I:$I,$AN36)="○",$E36=P$3),"▼",""))</f>
        <v/>
      </c>
      <c r="Q36" s="31" t="str">
        <f aca="false">IF(OR($AN36=0,Q$3=""),"",IF(AND(INDEX(工程マスタ!$I:$I,$AN36)="○",$E36=Q$3),"▼",""))</f>
        <v/>
      </c>
      <c r="R36" s="31" t="str">
        <f aca="false">IF(OR($AN36=0,R$3=""),"",IF(AND(INDEX(工程マスタ!$I:$I,$AN36)="○",$E36=R$3),"▼",""))</f>
        <v/>
      </c>
      <c r="S36" s="31" t="str">
        <f aca="false">IF(OR($AN36=0,S$3=""),"",IF(AND(INDEX(工程マスタ!$I:$I,$AN36)="○",$E36=S$3),"▼",""))</f>
        <v/>
      </c>
      <c r="T36" s="31" t="str">
        <f aca="false">IF(OR($AN36=0,T$3=""),"",IF(AND(INDEX(工程マスタ!$I:$I,$AN36)="○",$E36=T$3),"▼",""))</f>
        <v/>
      </c>
      <c r="U36" s="31" t="str">
        <f aca="false">IF(OR($AN36=0,U$3=""),"",IF(AND(INDEX(工程マスタ!$I:$I,$AN36)="○",$E36=U$3),"▼",""))</f>
        <v/>
      </c>
      <c r="V36" s="31" t="str">
        <f aca="false">IF(OR($AN36=0,V$3=""),"",IF(AND(INDEX(工程マスタ!$I:$I,$AN36)="○",$E36=V$3),"▼",""))</f>
        <v/>
      </c>
      <c r="W36" s="31" t="str">
        <f aca="false">IF(OR($AN36=0,W$3=""),"",IF(AND(INDEX(工程マスタ!$I:$I,$AN36)="○",$E36=W$3),"▼",""))</f>
        <v/>
      </c>
      <c r="X36" s="31" t="str">
        <f aca="false">IF(OR($AN36=0,X$3=""),"",IF(AND(INDEX(工程マスタ!$I:$I,$AN36)="○",$E36=X$3),"▼",""))</f>
        <v/>
      </c>
      <c r="Y36" s="31" t="str">
        <f aca="false">IF(OR($AN36=0,Y$3=""),"",IF(AND(INDEX(工程マスタ!$I:$I,$AN36)="○",$E36=Y$3),"▼",""))</f>
        <v/>
      </c>
      <c r="Z36" s="31" t="str">
        <f aca="false">IF(OR($AN36=0,Z$3=""),"",IF(AND(INDEX(工程マスタ!$I:$I,$AN36)="○",$E36=Z$3),"▼",""))</f>
        <v/>
      </c>
      <c r="AA36" s="31" t="str">
        <f aca="false">IF(OR($AN36=0,AA$3=""),"",IF(AND(INDEX(工程マスタ!$I:$I,$AN36)="○",$E36=AA$3),"▼",""))</f>
        <v/>
      </c>
      <c r="AB36" s="31" t="str">
        <f aca="false">IF(OR($AN36=0,AB$3=""),"",IF(AND(INDEX(工程マスタ!$I:$I,$AN36)="○",$E36=AB$3),"▼",""))</f>
        <v/>
      </c>
      <c r="AC36" s="31" t="str">
        <f aca="false">IF(OR($AN36=0,AC$3=""),"",IF(AND(INDEX(工程マスタ!$I:$I,$AN36)="○",$E36=AC$3),"▼",""))</f>
        <v/>
      </c>
      <c r="AD36" s="31" t="str">
        <f aca="false">IF(OR($AN36=0,AD$3=""),"",IF(AND(INDEX(工程マスタ!$I:$I,$AN36)="○",$E36=AD$3),"▼",""))</f>
        <v/>
      </c>
      <c r="AE36" s="31" t="str">
        <f aca="false">IF(OR($AN36=0,AE$3=""),"",IF(AND(INDEX(工程マスタ!$I:$I,$AN36)="○",$E36=AE$3),"▼",""))</f>
        <v/>
      </c>
      <c r="AF36" s="31" t="str">
        <f aca="false">IF(OR($AN36=0,AF$3=""),"",IF(AND(INDEX(工程マスタ!$I:$I,$AN36)="○",$E36=AF$3),"▼",""))</f>
        <v/>
      </c>
      <c r="AG36" s="31" t="str">
        <f aca="false">IF(OR($AN36=0,AG$3=""),"",IF(AND(INDEX(工程マスタ!$I:$I,$AN36)="○",$E36=AG$3),"▼",""))</f>
        <v/>
      </c>
      <c r="AH36" s="31" t="str">
        <f aca="false">IF(OR($AN36=0,AH$3=""),"",IF(AND(INDEX(工程マスタ!$I:$I,$AN36)="○",$E36=AH$3),"▼",""))</f>
        <v/>
      </c>
      <c r="AI36" s="31" t="str">
        <f aca="false">IF(OR($AN36=0,AI$3=""),"",IF(AND(INDEX(工程マスタ!$I:$I,$AN36)="○",$E36=AI$3),"▼",""))</f>
        <v/>
      </c>
      <c r="AJ36" s="31" t="str">
        <f aca="false">IF(OR($AN36=0,AJ$3=""),"",IF(AND(INDEX(工程マスタ!$I:$I,$AN36)="○",$E36=AJ$3),"▼",""))</f>
        <v/>
      </c>
      <c r="AK36" s="31" t="str">
        <f aca="false">IF(OR($AN36=0,AK$3=""),"",IF(AND(INDEX(工程マスタ!$I:$I,$AN36)="○",$E36=AK$3),"▼",""))</f>
        <v/>
      </c>
      <c r="AL36" s="31" t="str">
        <f aca="false">IF(OR($AN36=0,AL$3=""),"",IF(AND(INDEX(工程マスタ!$I:$I,$AN36)="○",$E36=AL$3),"▼",""))</f>
        <v/>
      </c>
      <c r="AN36" s="27" t="n">
        <f aca="false" t="array" ref="AN36:AN36">IFERROR(SMALL(IF((工程マスタ!$K$5:$K$154&gt;0)*(工程マスタ!$K$5:$K$154&lt;=$AN$2)*(工程マスタ!$L$5:$L$154&gt;=$AN$1),ROW(工程マスタ!$C$5:$C$154)),30),0)</f>
        <v>0</v>
      </c>
      <c r="AO36" s="27" t="n">
        <f aca="false">IF($AN36=0,0,INDEX(工程マスタ!$M:$M,$AN36))</f>
        <v>0</v>
      </c>
    </row>
    <row r="37" customFormat="false" ht="15" hidden="false" customHeight="false" outlineLevel="0" collapsed="false">
      <c r="A37" s="28" t="str">
        <f aca="false">IF($AN37=0,"",IF(INDEX(工程マスタ!$A:$A,$AN37)="","",INDEX(工程マスタ!$A:$A,$AN37)))</f>
        <v/>
      </c>
      <c r="B37" s="21" t="str">
        <f aca="false">IF($AN37=0,"",IF(INDEX(工程マスタ!$B:$B,$AN37)="","",INDEX(工程マスタ!$B:$B,$AN37)))</f>
        <v/>
      </c>
      <c r="C37" s="21" t="str">
        <f aca="false">IF($AN37=0,"",IF(INDEX(工程マスタ!$C:$C,$AN37)="","",INDEX(工程マスタ!$C:$C,$AN37)))</f>
        <v/>
      </c>
      <c r="D37" s="21" t="str">
        <f aca="false">IF($AN37=0,"",IF(INDEX(工程マスタ!$D:$D,$AN37)="","",INDEX(工程マスタ!$D:$D,$AN37)))</f>
        <v/>
      </c>
      <c r="E37" s="29" t="str">
        <f aca="false">IF($AN37=0,"",IF(INDEX(工程マスタ!$E:$E,$AN37)="","",INDEX(工程マスタ!$E:$E,$AN37)))</f>
        <v/>
      </c>
      <c r="F37" s="29" t="str">
        <f aca="false">IF($AN37=0,"",IF(INDEX(工程マスタ!$F:$F,$AN37)="","",INDEX(工程マスタ!$F:$F,$AN37)))</f>
        <v/>
      </c>
      <c r="G37" s="30" t="str">
        <f aca="false">IF($AN37=0,"",IF(INDEX(工程マスタ!$H:$H,$AN37)="","",INDEX(工程マスタ!$H:$H,$AN37)))</f>
        <v/>
      </c>
      <c r="H37" s="31" t="str">
        <f aca="false">IF(OR($AN37=0,H$3=""),"",IF(AND(INDEX(工程マスタ!$I:$I,$AN37)="○",$E37=H$3),"▼",""))</f>
        <v/>
      </c>
      <c r="I37" s="31" t="str">
        <f aca="false">IF(OR($AN37=0,I$3=""),"",IF(AND(INDEX(工程マスタ!$I:$I,$AN37)="○",$E37=I$3),"▼",""))</f>
        <v/>
      </c>
      <c r="J37" s="31" t="str">
        <f aca="false">IF(OR($AN37=0,J$3=""),"",IF(AND(INDEX(工程マスタ!$I:$I,$AN37)="○",$E37=J$3),"▼",""))</f>
        <v/>
      </c>
      <c r="K37" s="31" t="str">
        <f aca="false">IF(OR($AN37=0,K$3=""),"",IF(AND(INDEX(工程マスタ!$I:$I,$AN37)="○",$E37=K$3),"▼",""))</f>
        <v/>
      </c>
      <c r="L37" s="31" t="str">
        <f aca="false">IF(OR($AN37=0,L$3=""),"",IF(AND(INDEX(工程マスタ!$I:$I,$AN37)="○",$E37=L$3),"▼",""))</f>
        <v/>
      </c>
      <c r="M37" s="31" t="str">
        <f aca="false">IF(OR($AN37=0,M$3=""),"",IF(AND(INDEX(工程マスタ!$I:$I,$AN37)="○",$E37=M$3),"▼",""))</f>
        <v/>
      </c>
      <c r="N37" s="31" t="str">
        <f aca="false">IF(OR($AN37=0,N$3=""),"",IF(AND(INDEX(工程マスタ!$I:$I,$AN37)="○",$E37=N$3),"▼",""))</f>
        <v/>
      </c>
      <c r="O37" s="31" t="str">
        <f aca="false">IF(OR($AN37=0,O$3=""),"",IF(AND(INDEX(工程マスタ!$I:$I,$AN37)="○",$E37=O$3),"▼",""))</f>
        <v/>
      </c>
      <c r="P37" s="31" t="str">
        <f aca="false">IF(OR($AN37=0,P$3=""),"",IF(AND(INDEX(工程マスタ!$I:$I,$AN37)="○",$E37=P$3),"▼",""))</f>
        <v/>
      </c>
      <c r="Q37" s="31" t="str">
        <f aca="false">IF(OR($AN37=0,Q$3=""),"",IF(AND(INDEX(工程マスタ!$I:$I,$AN37)="○",$E37=Q$3),"▼",""))</f>
        <v/>
      </c>
      <c r="R37" s="31" t="str">
        <f aca="false">IF(OR($AN37=0,R$3=""),"",IF(AND(INDEX(工程マスタ!$I:$I,$AN37)="○",$E37=R$3),"▼",""))</f>
        <v/>
      </c>
      <c r="S37" s="31" t="str">
        <f aca="false">IF(OR($AN37=0,S$3=""),"",IF(AND(INDEX(工程マスタ!$I:$I,$AN37)="○",$E37=S$3),"▼",""))</f>
        <v/>
      </c>
      <c r="T37" s="31" t="str">
        <f aca="false">IF(OR($AN37=0,T$3=""),"",IF(AND(INDEX(工程マスタ!$I:$I,$AN37)="○",$E37=T$3),"▼",""))</f>
        <v/>
      </c>
      <c r="U37" s="31" t="str">
        <f aca="false">IF(OR($AN37=0,U$3=""),"",IF(AND(INDEX(工程マスタ!$I:$I,$AN37)="○",$E37=U$3),"▼",""))</f>
        <v/>
      </c>
      <c r="V37" s="31" t="str">
        <f aca="false">IF(OR($AN37=0,V$3=""),"",IF(AND(INDEX(工程マスタ!$I:$I,$AN37)="○",$E37=V$3),"▼",""))</f>
        <v/>
      </c>
      <c r="W37" s="31" t="str">
        <f aca="false">IF(OR($AN37=0,W$3=""),"",IF(AND(INDEX(工程マスタ!$I:$I,$AN37)="○",$E37=W$3),"▼",""))</f>
        <v/>
      </c>
      <c r="X37" s="31" t="str">
        <f aca="false">IF(OR($AN37=0,X$3=""),"",IF(AND(INDEX(工程マスタ!$I:$I,$AN37)="○",$E37=X$3),"▼",""))</f>
        <v/>
      </c>
      <c r="Y37" s="31" t="str">
        <f aca="false">IF(OR($AN37=0,Y$3=""),"",IF(AND(INDEX(工程マスタ!$I:$I,$AN37)="○",$E37=Y$3),"▼",""))</f>
        <v/>
      </c>
      <c r="Z37" s="31" t="str">
        <f aca="false">IF(OR($AN37=0,Z$3=""),"",IF(AND(INDEX(工程マスタ!$I:$I,$AN37)="○",$E37=Z$3),"▼",""))</f>
        <v/>
      </c>
      <c r="AA37" s="31" t="str">
        <f aca="false">IF(OR($AN37=0,AA$3=""),"",IF(AND(INDEX(工程マスタ!$I:$I,$AN37)="○",$E37=AA$3),"▼",""))</f>
        <v/>
      </c>
      <c r="AB37" s="31" t="str">
        <f aca="false">IF(OR($AN37=0,AB$3=""),"",IF(AND(INDEX(工程マスタ!$I:$I,$AN37)="○",$E37=AB$3),"▼",""))</f>
        <v/>
      </c>
      <c r="AC37" s="31" t="str">
        <f aca="false">IF(OR($AN37=0,AC$3=""),"",IF(AND(INDEX(工程マスタ!$I:$I,$AN37)="○",$E37=AC$3),"▼",""))</f>
        <v/>
      </c>
      <c r="AD37" s="31" t="str">
        <f aca="false">IF(OR($AN37=0,AD$3=""),"",IF(AND(INDEX(工程マスタ!$I:$I,$AN37)="○",$E37=AD$3),"▼",""))</f>
        <v/>
      </c>
      <c r="AE37" s="31" t="str">
        <f aca="false">IF(OR($AN37=0,AE$3=""),"",IF(AND(INDEX(工程マスタ!$I:$I,$AN37)="○",$E37=AE$3),"▼",""))</f>
        <v/>
      </c>
      <c r="AF37" s="31" t="str">
        <f aca="false">IF(OR($AN37=0,AF$3=""),"",IF(AND(INDEX(工程マスタ!$I:$I,$AN37)="○",$E37=AF$3),"▼",""))</f>
        <v/>
      </c>
      <c r="AG37" s="31" t="str">
        <f aca="false">IF(OR($AN37=0,AG$3=""),"",IF(AND(INDEX(工程マスタ!$I:$I,$AN37)="○",$E37=AG$3),"▼",""))</f>
        <v/>
      </c>
      <c r="AH37" s="31" t="str">
        <f aca="false">IF(OR($AN37=0,AH$3=""),"",IF(AND(INDEX(工程マスタ!$I:$I,$AN37)="○",$E37=AH$3),"▼",""))</f>
        <v/>
      </c>
      <c r="AI37" s="31" t="str">
        <f aca="false">IF(OR($AN37=0,AI$3=""),"",IF(AND(INDEX(工程マスタ!$I:$I,$AN37)="○",$E37=AI$3),"▼",""))</f>
        <v/>
      </c>
      <c r="AJ37" s="31" t="str">
        <f aca="false">IF(OR($AN37=0,AJ$3=""),"",IF(AND(INDEX(工程マスタ!$I:$I,$AN37)="○",$E37=AJ$3),"▼",""))</f>
        <v/>
      </c>
      <c r="AK37" s="31" t="str">
        <f aca="false">IF(OR($AN37=0,AK$3=""),"",IF(AND(INDEX(工程マスタ!$I:$I,$AN37)="○",$E37=AK$3),"▼",""))</f>
        <v/>
      </c>
      <c r="AL37" s="31" t="str">
        <f aca="false">IF(OR($AN37=0,AL$3=""),"",IF(AND(INDEX(工程マスタ!$I:$I,$AN37)="○",$E37=AL$3),"▼",""))</f>
        <v/>
      </c>
      <c r="AN37" s="27" t="n">
        <f aca="false" t="array" ref="AN37:AN37">IFERROR(SMALL(IF((工程マスタ!$K$5:$K$154&gt;0)*(工程マスタ!$K$5:$K$154&lt;=$AN$2)*(工程マスタ!$L$5:$L$154&gt;=$AN$1),ROW(工程マスタ!$C$5:$C$154)),31),0)</f>
        <v>0</v>
      </c>
      <c r="AO37" s="27" t="n">
        <f aca="false">IF($AN37=0,0,INDEX(工程マスタ!$M:$M,$AN37))</f>
        <v>0</v>
      </c>
    </row>
    <row r="38" customFormat="false" ht="15" hidden="false" customHeight="false" outlineLevel="0" collapsed="false">
      <c r="A38" s="28" t="str">
        <f aca="false">IF($AN38=0,"",IF(INDEX(工程マスタ!$A:$A,$AN38)="","",INDEX(工程マスタ!$A:$A,$AN38)))</f>
        <v/>
      </c>
      <c r="B38" s="21" t="str">
        <f aca="false">IF($AN38=0,"",IF(INDEX(工程マスタ!$B:$B,$AN38)="","",INDEX(工程マスタ!$B:$B,$AN38)))</f>
        <v/>
      </c>
      <c r="C38" s="21" t="str">
        <f aca="false">IF($AN38=0,"",IF(INDEX(工程マスタ!$C:$C,$AN38)="","",INDEX(工程マスタ!$C:$C,$AN38)))</f>
        <v/>
      </c>
      <c r="D38" s="21" t="str">
        <f aca="false">IF($AN38=0,"",IF(INDEX(工程マスタ!$D:$D,$AN38)="","",INDEX(工程マスタ!$D:$D,$AN38)))</f>
        <v/>
      </c>
      <c r="E38" s="29" t="str">
        <f aca="false">IF($AN38=0,"",IF(INDEX(工程マスタ!$E:$E,$AN38)="","",INDEX(工程マスタ!$E:$E,$AN38)))</f>
        <v/>
      </c>
      <c r="F38" s="29" t="str">
        <f aca="false">IF($AN38=0,"",IF(INDEX(工程マスタ!$F:$F,$AN38)="","",INDEX(工程マスタ!$F:$F,$AN38)))</f>
        <v/>
      </c>
      <c r="G38" s="30" t="str">
        <f aca="false">IF($AN38=0,"",IF(INDEX(工程マスタ!$H:$H,$AN38)="","",INDEX(工程マスタ!$H:$H,$AN38)))</f>
        <v/>
      </c>
      <c r="H38" s="31" t="str">
        <f aca="false">IF(OR($AN38=0,H$3=""),"",IF(AND(INDEX(工程マスタ!$I:$I,$AN38)="○",$E38=H$3),"▼",""))</f>
        <v/>
      </c>
      <c r="I38" s="31" t="str">
        <f aca="false">IF(OR($AN38=0,I$3=""),"",IF(AND(INDEX(工程マスタ!$I:$I,$AN38)="○",$E38=I$3),"▼",""))</f>
        <v/>
      </c>
      <c r="J38" s="31" t="str">
        <f aca="false">IF(OR($AN38=0,J$3=""),"",IF(AND(INDEX(工程マスタ!$I:$I,$AN38)="○",$E38=J$3),"▼",""))</f>
        <v/>
      </c>
      <c r="K38" s="31" t="str">
        <f aca="false">IF(OR($AN38=0,K$3=""),"",IF(AND(INDEX(工程マスタ!$I:$I,$AN38)="○",$E38=K$3),"▼",""))</f>
        <v/>
      </c>
      <c r="L38" s="31" t="str">
        <f aca="false">IF(OR($AN38=0,L$3=""),"",IF(AND(INDEX(工程マスタ!$I:$I,$AN38)="○",$E38=L$3),"▼",""))</f>
        <v/>
      </c>
      <c r="M38" s="31" t="str">
        <f aca="false">IF(OR($AN38=0,M$3=""),"",IF(AND(INDEX(工程マスタ!$I:$I,$AN38)="○",$E38=M$3),"▼",""))</f>
        <v/>
      </c>
      <c r="N38" s="31" t="str">
        <f aca="false">IF(OR($AN38=0,N$3=""),"",IF(AND(INDEX(工程マスタ!$I:$I,$AN38)="○",$E38=N$3),"▼",""))</f>
        <v/>
      </c>
      <c r="O38" s="31" t="str">
        <f aca="false">IF(OR($AN38=0,O$3=""),"",IF(AND(INDEX(工程マスタ!$I:$I,$AN38)="○",$E38=O$3),"▼",""))</f>
        <v/>
      </c>
      <c r="P38" s="31" t="str">
        <f aca="false">IF(OR($AN38=0,P$3=""),"",IF(AND(INDEX(工程マスタ!$I:$I,$AN38)="○",$E38=P$3),"▼",""))</f>
        <v/>
      </c>
      <c r="Q38" s="31" t="str">
        <f aca="false">IF(OR($AN38=0,Q$3=""),"",IF(AND(INDEX(工程マスタ!$I:$I,$AN38)="○",$E38=Q$3),"▼",""))</f>
        <v/>
      </c>
      <c r="R38" s="31" t="str">
        <f aca="false">IF(OR($AN38=0,R$3=""),"",IF(AND(INDEX(工程マスタ!$I:$I,$AN38)="○",$E38=R$3),"▼",""))</f>
        <v/>
      </c>
      <c r="S38" s="31" t="str">
        <f aca="false">IF(OR($AN38=0,S$3=""),"",IF(AND(INDEX(工程マスタ!$I:$I,$AN38)="○",$E38=S$3),"▼",""))</f>
        <v/>
      </c>
      <c r="T38" s="31" t="str">
        <f aca="false">IF(OR($AN38=0,T$3=""),"",IF(AND(INDEX(工程マスタ!$I:$I,$AN38)="○",$E38=T$3),"▼",""))</f>
        <v/>
      </c>
      <c r="U38" s="31" t="str">
        <f aca="false">IF(OR($AN38=0,U$3=""),"",IF(AND(INDEX(工程マスタ!$I:$I,$AN38)="○",$E38=U$3),"▼",""))</f>
        <v/>
      </c>
      <c r="V38" s="31" t="str">
        <f aca="false">IF(OR($AN38=0,V$3=""),"",IF(AND(INDEX(工程マスタ!$I:$I,$AN38)="○",$E38=V$3),"▼",""))</f>
        <v/>
      </c>
      <c r="W38" s="31" t="str">
        <f aca="false">IF(OR($AN38=0,W$3=""),"",IF(AND(INDEX(工程マスタ!$I:$I,$AN38)="○",$E38=W$3),"▼",""))</f>
        <v/>
      </c>
      <c r="X38" s="31" t="str">
        <f aca="false">IF(OR($AN38=0,X$3=""),"",IF(AND(INDEX(工程マスタ!$I:$I,$AN38)="○",$E38=X$3),"▼",""))</f>
        <v/>
      </c>
      <c r="Y38" s="31" t="str">
        <f aca="false">IF(OR($AN38=0,Y$3=""),"",IF(AND(INDEX(工程マスタ!$I:$I,$AN38)="○",$E38=Y$3),"▼",""))</f>
        <v/>
      </c>
      <c r="Z38" s="31" t="str">
        <f aca="false">IF(OR($AN38=0,Z$3=""),"",IF(AND(INDEX(工程マスタ!$I:$I,$AN38)="○",$E38=Z$3),"▼",""))</f>
        <v/>
      </c>
      <c r="AA38" s="31" t="str">
        <f aca="false">IF(OR($AN38=0,AA$3=""),"",IF(AND(INDEX(工程マスタ!$I:$I,$AN38)="○",$E38=AA$3),"▼",""))</f>
        <v/>
      </c>
      <c r="AB38" s="31" t="str">
        <f aca="false">IF(OR($AN38=0,AB$3=""),"",IF(AND(INDEX(工程マスタ!$I:$I,$AN38)="○",$E38=AB$3),"▼",""))</f>
        <v/>
      </c>
      <c r="AC38" s="31" t="str">
        <f aca="false">IF(OR($AN38=0,AC$3=""),"",IF(AND(INDEX(工程マスタ!$I:$I,$AN38)="○",$E38=AC$3),"▼",""))</f>
        <v/>
      </c>
      <c r="AD38" s="31" t="str">
        <f aca="false">IF(OR($AN38=0,AD$3=""),"",IF(AND(INDEX(工程マスタ!$I:$I,$AN38)="○",$E38=AD$3),"▼",""))</f>
        <v/>
      </c>
      <c r="AE38" s="31" t="str">
        <f aca="false">IF(OR($AN38=0,AE$3=""),"",IF(AND(INDEX(工程マスタ!$I:$I,$AN38)="○",$E38=AE$3),"▼",""))</f>
        <v/>
      </c>
      <c r="AF38" s="31" t="str">
        <f aca="false">IF(OR($AN38=0,AF$3=""),"",IF(AND(INDEX(工程マスタ!$I:$I,$AN38)="○",$E38=AF$3),"▼",""))</f>
        <v/>
      </c>
      <c r="AG38" s="31" t="str">
        <f aca="false">IF(OR($AN38=0,AG$3=""),"",IF(AND(INDEX(工程マスタ!$I:$I,$AN38)="○",$E38=AG$3),"▼",""))</f>
        <v/>
      </c>
      <c r="AH38" s="31" t="str">
        <f aca="false">IF(OR($AN38=0,AH$3=""),"",IF(AND(INDEX(工程マスタ!$I:$I,$AN38)="○",$E38=AH$3),"▼",""))</f>
        <v/>
      </c>
      <c r="AI38" s="31" t="str">
        <f aca="false">IF(OR($AN38=0,AI$3=""),"",IF(AND(INDEX(工程マスタ!$I:$I,$AN38)="○",$E38=AI$3),"▼",""))</f>
        <v/>
      </c>
      <c r="AJ38" s="31" t="str">
        <f aca="false">IF(OR($AN38=0,AJ$3=""),"",IF(AND(INDEX(工程マスタ!$I:$I,$AN38)="○",$E38=AJ$3),"▼",""))</f>
        <v/>
      </c>
      <c r="AK38" s="31" t="str">
        <f aca="false">IF(OR($AN38=0,AK$3=""),"",IF(AND(INDEX(工程マスタ!$I:$I,$AN38)="○",$E38=AK$3),"▼",""))</f>
        <v/>
      </c>
      <c r="AL38" s="31" t="str">
        <f aca="false">IF(OR($AN38=0,AL$3=""),"",IF(AND(INDEX(工程マスタ!$I:$I,$AN38)="○",$E38=AL$3),"▼",""))</f>
        <v/>
      </c>
      <c r="AN38" s="27" t="n">
        <f aca="false" t="array" ref="AN38:AN38">IFERROR(SMALL(IF((工程マスタ!$K$5:$K$154&gt;0)*(工程マスタ!$K$5:$K$154&lt;=$AN$2)*(工程マスタ!$L$5:$L$154&gt;=$AN$1),ROW(工程マスタ!$C$5:$C$154)),32),0)</f>
        <v>0</v>
      </c>
      <c r="AO38" s="27" t="n">
        <f aca="false">IF($AN38=0,0,INDEX(工程マスタ!$M:$M,$AN38))</f>
        <v>0</v>
      </c>
    </row>
    <row r="39" customFormat="false" ht="15" hidden="false" customHeight="false" outlineLevel="0" collapsed="false">
      <c r="A39" s="28" t="str">
        <f aca="false">IF($AN39=0,"",IF(INDEX(工程マスタ!$A:$A,$AN39)="","",INDEX(工程マスタ!$A:$A,$AN39)))</f>
        <v/>
      </c>
      <c r="B39" s="21" t="str">
        <f aca="false">IF($AN39=0,"",IF(INDEX(工程マスタ!$B:$B,$AN39)="","",INDEX(工程マスタ!$B:$B,$AN39)))</f>
        <v/>
      </c>
      <c r="C39" s="21" t="str">
        <f aca="false">IF($AN39=0,"",IF(INDEX(工程マスタ!$C:$C,$AN39)="","",INDEX(工程マスタ!$C:$C,$AN39)))</f>
        <v/>
      </c>
      <c r="D39" s="21" t="str">
        <f aca="false">IF($AN39=0,"",IF(INDEX(工程マスタ!$D:$D,$AN39)="","",INDEX(工程マスタ!$D:$D,$AN39)))</f>
        <v/>
      </c>
      <c r="E39" s="29" t="str">
        <f aca="false">IF($AN39=0,"",IF(INDEX(工程マスタ!$E:$E,$AN39)="","",INDEX(工程マスタ!$E:$E,$AN39)))</f>
        <v/>
      </c>
      <c r="F39" s="29" t="str">
        <f aca="false">IF($AN39=0,"",IF(INDEX(工程マスタ!$F:$F,$AN39)="","",INDEX(工程マスタ!$F:$F,$AN39)))</f>
        <v/>
      </c>
      <c r="G39" s="30" t="str">
        <f aca="false">IF($AN39=0,"",IF(INDEX(工程マスタ!$H:$H,$AN39)="","",INDEX(工程マスタ!$H:$H,$AN39)))</f>
        <v/>
      </c>
      <c r="H39" s="31" t="str">
        <f aca="false">IF(OR($AN39=0,H$3=""),"",IF(AND(INDEX(工程マスタ!$I:$I,$AN39)="○",$E39=H$3),"▼",""))</f>
        <v/>
      </c>
      <c r="I39" s="31" t="str">
        <f aca="false">IF(OR($AN39=0,I$3=""),"",IF(AND(INDEX(工程マスタ!$I:$I,$AN39)="○",$E39=I$3),"▼",""))</f>
        <v/>
      </c>
      <c r="J39" s="31" t="str">
        <f aca="false">IF(OR($AN39=0,J$3=""),"",IF(AND(INDEX(工程マスタ!$I:$I,$AN39)="○",$E39=J$3),"▼",""))</f>
        <v/>
      </c>
      <c r="K39" s="31" t="str">
        <f aca="false">IF(OR($AN39=0,K$3=""),"",IF(AND(INDEX(工程マスタ!$I:$I,$AN39)="○",$E39=K$3),"▼",""))</f>
        <v/>
      </c>
      <c r="L39" s="31" t="str">
        <f aca="false">IF(OR($AN39=0,L$3=""),"",IF(AND(INDEX(工程マスタ!$I:$I,$AN39)="○",$E39=L$3),"▼",""))</f>
        <v/>
      </c>
      <c r="M39" s="31" t="str">
        <f aca="false">IF(OR($AN39=0,M$3=""),"",IF(AND(INDEX(工程マスタ!$I:$I,$AN39)="○",$E39=M$3),"▼",""))</f>
        <v/>
      </c>
      <c r="N39" s="31" t="str">
        <f aca="false">IF(OR($AN39=0,N$3=""),"",IF(AND(INDEX(工程マスタ!$I:$I,$AN39)="○",$E39=N$3),"▼",""))</f>
        <v/>
      </c>
      <c r="O39" s="31" t="str">
        <f aca="false">IF(OR($AN39=0,O$3=""),"",IF(AND(INDEX(工程マスタ!$I:$I,$AN39)="○",$E39=O$3),"▼",""))</f>
        <v/>
      </c>
      <c r="P39" s="31" t="str">
        <f aca="false">IF(OR($AN39=0,P$3=""),"",IF(AND(INDEX(工程マスタ!$I:$I,$AN39)="○",$E39=P$3),"▼",""))</f>
        <v/>
      </c>
      <c r="Q39" s="31" t="str">
        <f aca="false">IF(OR($AN39=0,Q$3=""),"",IF(AND(INDEX(工程マスタ!$I:$I,$AN39)="○",$E39=Q$3),"▼",""))</f>
        <v/>
      </c>
      <c r="R39" s="31" t="str">
        <f aca="false">IF(OR($AN39=0,R$3=""),"",IF(AND(INDEX(工程マスタ!$I:$I,$AN39)="○",$E39=R$3),"▼",""))</f>
        <v/>
      </c>
      <c r="S39" s="31" t="str">
        <f aca="false">IF(OR($AN39=0,S$3=""),"",IF(AND(INDEX(工程マスタ!$I:$I,$AN39)="○",$E39=S$3),"▼",""))</f>
        <v/>
      </c>
      <c r="T39" s="31" t="str">
        <f aca="false">IF(OR($AN39=0,T$3=""),"",IF(AND(INDEX(工程マスタ!$I:$I,$AN39)="○",$E39=T$3),"▼",""))</f>
        <v/>
      </c>
      <c r="U39" s="31" t="str">
        <f aca="false">IF(OR($AN39=0,U$3=""),"",IF(AND(INDEX(工程マスタ!$I:$I,$AN39)="○",$E39=U$3),"▼",""))</f>
        <v/>
      </c>
      <c r="V39" s="31" t="str">
        <f aca="false">IF(OR($AN39=0,V$3=""),"",IF(AND(INDEX(工程マスタ!$I:$I,$AN39)="○",$E39=V$3),"▼",""))</f>
        <v/>
      </c>
      <c r="W39" s="31" t="str">
        <f aca="false">IF(OR($AN39=0,W$3=""),"",IF(AND(INDEX(工程マスタ!$I:$I,$AN39)="○",$E39=W$3),"▼",""))</f>
        <v/>
      </c>
      <c r="X39" s="31" t="str">
        <f aca="false">IF(OR($AN39=0,X$3=""),"",IF(AND(INDEX(工程マスタ!$I:$I,$AN39)="○",$E39=X$3),"▼",""))</f>
        <v/>
      </c>
      <c r="Y39" s="31" t="str">
        <f aca="false">IF(OR($AN39=0,Y$3=""),"",IF(AND(INDEX(工程マスタ!$I:$I,$AN39)="○",$E39=Y$3),"▼",""))</f>
        <v/>
      </c>
      <c r="Z39" s="31" t="str">
        <f aca="false">IF(OR($AN39=0,Z$3=""),"",IF(AND(INDEX(工程マスタ!$I:$I,$AN39)="○",$E39=Z$3),"▼",""))</f>
        <v/>
      </c>
      <c r="AA39" s="31" t="str">
        <f aca="false">IF(OR($AN39=0,AA$3=""),"",IF(AND(INDEX(工程マスタ!$I:$I,$AN39)="○",$E39=AA$3),"▼",""))</f>
        <v/>
      </c>
      <c r="AB39" s="31" t="str">
        <f aca="false">IF(OR($AN39=0,AB$3=""),"",IF(AND(INDEX(工程マスタ!$I:$I,$AN39)="○",$E39=AB$3),"▼",""))</f>
        <v/>
      </c>
      <c r="AC39" s="31" t="str">
        <f aca="false">IF(OR($AN39=0,AC$3=""),"",IF(AND(INDEX(工程マスタ!$I:$I,$AN39)="○",$E39=AC$3),"▼",""))</f>
        <v/>
      </c>
      <c r="AD39" s="31" t="str">
        <f aca="false">IF(OR($AN39=0,AD$3=""),"",IF(AND(INDEX(工程マスタ!$I:$I,$AN39)="○",$E39=AD$3),"▼",""))</f>
        <v/>
      </c>
      <c r="AE39" s="31" t="str">
        <f aca="false">IF(OR($AN39=0,AE$3=""),"",IF(AND(INDEX(工程マスタ!$I:$I,$AN39)="○",$E39=AE$3),"▼",""))</f>
        <v/>
      </c>
      <c r="AF39" s="31" t="str">
        <f aca="false">IF(OR($AN39=0,AF$3=""),"",IF(AND(INDEX(工程マスタ!$I:$I,$AN39)="○",$E39=AF$3),"▼",""))</f>
        <v/>
      </c>
      <c r="AG39" s="31" t="str">
        <f aca="false">IF(OR($AN39=0,AG$3=""),"",IF(AND(INDEX(工程マスタ!$I:$I,$AN39)="○",$E39=AG$3),"▼",""))</f>
        <v/>
      </c>
      <c r="AH39" s="31" t="str">
        <f aca="false">IF(OR($AN39=0,AH$3=""),"",IF(AND(INDEX(工程マスタ!$I:$I,$AN39)="○",$E39=AH$3),"▼",""))</f>
        <v/>
      </c>
      <c r="AI39" s="31" t="str">
        <f aca="false">IF(OR($AN39=0,AI$3=""),"",IF(AND(INDEX(工程マスタ!$I:$I,$AN39)="○",$E39=AI$3),"▼",""))</f>
        <v/>
      </c>
      <c r="AJ39" s="31" t="str">
        <f aca="false">IF(OR($AN39=0,AJ$3=""),"",IF(AND(INDEX(工程マスタ!$I:$I,$AN39)="○",$E39=AJ$3),"▼",""))</f>
        <v/>
      </c>
      <c r="AK39" s="31" t="str">
        <f aca="false">IF(OR($AN39=0,AK$3=""),"",IF(AND(INDEX(工程マスタ!$I:$I,$AN39)="○",$E39=AK$3),"▼",""))</f>
        <v/>
      </c>
      <c r="AL39" s="31" t="str">
        <f aca="false">IF(OR($AN39=0,AL$3=""),"",IF(AND(INDEX(工程マスタ!$I:$I,$AN39)="○",$E39=AL$3),"▼",""))</f>
        <v/>
      </c>
      <c r="AN39" s="27" t="n">
        <f aca="false" t="array" ref="AN39:AN39">IFERROR(SMALL(IF((工程マスタ!$K$5:$K$154&gt;0)*(工程マスタ!$K$5:$K$154&lt;=$AN$2)*(工程マスタ!$L$5:$L$154&gt;=$AN$1),ROW(工程マスタ!$C$5:$C$154)),33),0)</f>
        <v>0</v>
      </c>
      <c r="AO39" s="27" t="n">
        <f aca="false">IF($AN39=0,0,INDEX(工程マスタ!$M:$M,$AN39))</f>
        <v>0</v>
      </c>
    </row>
    <row r="40" customFormat="false" ht="15" hidden="false" customHeight="false" outlineLevel="0" collapsed="false">
      <c r="A40" s="28" t="str">
        <f aca="false">IF($AN40=0,"",IF(INDEX(工程マスタ!$A:$A,$AN40)="","",INDEX(工程マスタ!$A:$A,$AN40)))</f>
        <v/>
      </c>
      <c r="B40" s="21" t="str">
        <f aca="false">IF($AN40=0,"",IF(INDEX(工程マスタ!$B:$B,$AN40)="","",INDEX(工程マスタ!$B:$B,$AN40)))</f>
        <v/>
      </c>
      <c r="C40" s="21" t="str">
        <f aca="false">IF($AN40=0,"",IF(INDEX(工程マスタ!$C:$C,$AN40)="","",INDEX(工程マスタ!$C:$C,$AN40)))</f>
        <v/>
      </c>
      <c r="D40" s="21" t="str">
        <f aca="false">IF($AN40=0,"",IF(INDEX(工程マスタ!$D:$D,$AN40)="","",INDEX(工程マスタ!$D:$D,$AN40)))</f>
        <v/>
      </c>
      <c r="E40" s="29" t="str">
        <f aca="false">IF($AN40=0,"",IF(INDEX(工程マスタ!$E:$E,$AN40)="","",INDEX(工程マスタ!$E:$E,$AN40)))</f>
        <v/>
      </c>
      <c r="F40" s="29" t="str">
        <f aca="false">IF($AN40=0,"",IF(INDEX(工程マスタ!$F:$F,$AN40)="","",INDEX(工程マスタ!$F:$F,$AN40)))</f>
        <v/>
      </c>
      <c r="G40" s="30" t="str">
        <f aca="false">IF($AN40=0,"",IF(INDEX(工程マスタ!$H:$H,$AN40)="","",INDEX(工程マスタ!$H:$H,$AN40)))</f>
        <v/>
      </c>
      <c r="H40" s="31" t="str">
        <f aca="false">IF(OR($AN40=0,H$3=""),"",IF(AND(INDEX(工程マスタ!$I:$I,$AN40)="○",$E40=H$3),"▼",""))</f>
        <v/>
      </c>
      <c r="I40" s="31" t="str">
        <f aca="false">IF(OR($AN40=0,I$3=""),"",IF(AND(INDEX(工程マスタ!$I:$I,$AN40)="○",$E40=I$3),"▼",""))</f>
        <v/>
      </c>
      <c r="J40" s="31" t="str">
        <f aca="false">IF(OR($AN40=0,J$3=""),"",IF(AND(INDEX(工程マスタ!$I:$I,$AN40)="○",$E40=J$3),"▼",""))</f>
        <v/>
      </c>
      <c r="K40" s="31" t="str">
        <f aca="false">IF(OR($AN40=0,K$3=""),"",IF(AND(INDEX(工程マスタ!$I:$I,$AN40)="○",$E40=K$3),"▼",""))</f>
        <v/>
      </c>
      <c r="L40" s="31" t="str">
        <f aca="false">IF(OR($AN40=0,L$3=""),"",IF(AND(INDEX(工程マスタ!$I:$I,$AN40)="○",$E40=L$3),"▼",""))</f>
        <v/>
      </c>
      <c r="M40" s="31" t="str">
        <f aca="false">IF(OR($AN40=0,M$3=""),"",IF(AND(INDEX(工程マスタ!$I:$I,$AN40)="○",$E40=M$3),"▼",""))</f>
        <v/>
      </c>
      <c r="N40" s="31" t="str">
        <f aca="false">IF(OR($AN40=0,N$3=""),"",IF(AND(INDEX(工程マスタ!$I:$I,$AN40)="○",$E40=N$3),"▼",""))</f>
        <v/>
      </c>
      <c r="O40" s="31" t="str">
        <f aca="false">IF(OR($AN40=0,O$3=""),"",IF(AND(INDEX(工程マスタ!$I:$I,$AN40)="○",$E40=O$3),"▼",""))</f>
        <v/>
      </c>
      <c r="P40" s="31" t="str">
        <f aca="false">IF(OR($AN40=0,P$3=""),"",IF(AND(INDEX(工程マスタ!$I:$I,$AN40)="○",$E40=P$3),"▼",""))</f>
        <v/>
      </c>
      <c r="Q40" s="31" t="str">
        <f aca="false">IF(OR($AN40=0,Q$3=""),"",IF(AND(INDEX(工程マスタ!$I:$I,$AN40)="○",$E40=Q$3),"▼",""))</f>
        <v/>
      </c>
      <c r="R40" s="31" t="str">
        <f aca="false">IF(OR($AN40=0,R$3=""),"",IF(AND(INDEX(工程マスタ!$I:$I,$AN40)="○",$E40=R$3),"▼",""))</f>
        <v/>
      </c>
      <c r="S40" s="31" t="str">
        <f aca="false">IF(OR($AN40=0,S$3=""),"",IF(AND(INDEX(工程マスタ!$I:$I,$AN40)="○",$E40=S$3),"▼",""))</f>
        <v/>
      </c>
      <c r="T40" s="31" t="str">
        <f aca="false">IF(OR($AN40=0,T$3=""),"",IF(AND(INDEX(工程マスタ!$I:$I,$AN40)="○",$E40=T$3),"▼",""))</f>
        <v/>
      </c>
      <c r="U40" s="31" t="str">
        <f aca="false">IF(OR($AN40=0,U$3=""),"",IF(AND(INDEX(工程マスタ!$I:$I,$AN40)="○",$E40=U$3),"▼",""))</f>
        <v/>
      </c>
      <c r="V40" s="31" t="str">
        <f aca="false">IF(OR($AN40=0,V$3=""),"",IF(AND(INDEX(工程マスタ!$I:$I,$AN40)="○",$E40=V$3),"▼",""))</f>
        <v/>
      </c>
      <c r="W40" s="31" t="str">
        <f aca="false">IF(OR($AN40=0,W$3=""),"",IF(AND(INDEX(工程マスタ!$I:$I,$AN40)="○",$E40=W$3),"▼",""))</f>
        <v/>
      </c>
      <c r="X40" s="31" t="str">
        <f aca="false">IF(OR($AN40=0,X$3=""),"",IF(AND(INDEX(工程マスタ!$I:$I,$AN40)="○",$E40=X$3),"▼",""))</f>
        <v/>
      </c>
      <c r="Y40" s="31" t="str">
        <f aca="false">IF(OR($AN40=0,Y$3=""),"",IF(AND(INDEX(工程マスタ!$I:$I,$AN40)="○",$E40=Y$3),"▼",""))</f>
        <v/>
      </c>
      <c r="Z40" s="31" t="str">
        <f aca="false">IF(OR($AN40=0,Z$3=""),"",IF(AND(INDEX(工程マスタ!$I:$I,$AN40)="○",$E40=Z$3),"▼",""))</f>
        <v/>
      </c>
      <c r="AA40" s="31" t="str">
        <f aca="false">IF(OR($AN40=0,AA$3=""),"",IF(AND(INDEX(工程マスタ!$I:$I,$AN40)="○",$E40=AA$3),"▼",""))</f>
        <v/>
      </c>
      <c r="AB40" s="31" t="str">
        <f aca="false">IF(OR($AN40=0,AB$3=""),"",IF(AND(INDEX(工程マスタ!$I:$I,$AN40)="○",$E40=AB$3),"▼",""))</f>
        <v/>
      </c>
      <c r="AC40" s="31" t="str">
        <f aca="false">IF(OR($AN40=0,AC$3=""),"",IF(AND(INDEX(工程マスタ!$I:$I,$AN40)="○",$E40=AC$3),"▼",""))</f>
        <v/>
      </c>
      <c r="AD40" s="31" t="str">
        <f aca="false">IF(OR($AN40=0,AD$3=""),"",IF(AND(INDEX(工程マスタ!$I:$I,$AN40)="○",$E40=AD$3),"▼",""))</f>
        <v/>
      </c>
      <c r="AE40" s="31" t="str">
        <f aca="false">IF(OR($AN40=0,AE$3=""),"",IF(AND(INDEX(工程マスタ!$I:$I,$AN40)="○",$E40=AE$3),"▼",""))</f>
        <v/>
      </c>
      <c r="AF40" s="31" t="str">
        <f aca="false">IF(OR($AN40=0,AF$3=""),"",IF(AND(INDEX(工程マスタ!$I:$I,$AN40)="○",$E40=AF$3),"▼",""))</f>
        <v/>
      </c>
      <c r="AG40" s="31" t="str">
        <f aca="false">IF(OR($AN40=0,AG$3=""),"",IF(AND(INDEX(工程マスタ!$I:$I,$AN40)="○",$E40=AG$3),"▼",""))</f>
        <v/>
      </c>
      <c r="AH40" s="31" t="str">
        <f aca="false">IF(OR($AN40=0,AH$3=""),"",IF(AND(INDEX(工程マスタ!$I:$I,$AN40)="○",$E40=AH$3),"▼",""))</f>
        <v/>
      </c>
      <c r="AI40" s="31" t="str">
        <f aca="false">IF(OR($AN40=0,AI$3=""),"",IF(AND(INDEX(工程マスタ!$I:$I,$AN40)="○",$E40=AI$3),"▼",""))</f>
        <v/>
      </c>
      <c r="AJ40" s="31" t="str">
        <f aca="false">IF(OR($AN40=0,AJ$3=""),"",IF(AND(INDEX(工程マスタ!$I:$I,$AN40)="○",$E40=AJ$3),"▼",""))</f>
        <v/>
      </c>
      <c r="AK40" s="31" t="str">
        <f aca="false">IF(OR($AN40=0,AK$3=""),"",IF(AND(INDEX(工程マスタ!$I:$I,$AN40)="○",$E40=AK$3),"▼",""))</f>
        <v/>
      </c>
      <c r="AL40" s="31" t="str">
        <f aca="false">IF(OR($AN40=0,AL$3=""),"",IF(AND(INDEX(工程マスタ!$I:$I,$AN40)="○",$E40=AL$3),"▼",""))</f>
        <v/>
      </c>
      <c r="AN40" s="27" t="n">
        <f aca="false" t="array" ref="AN40:AN40">IFERROR(SMALL(IF((工程マスタ!$K$5:$K$154&gt;0)*(工程マスタ!$K$5:$K$154&lt;=$AN$2)*(工程マスタ!$L$5:$L$154&gt;=$AN$1),ROW(工程マスタ!$C$5:$C$154)),34),0)</f>
        <v>0</v>
      </c>
      <c r="AO40" s="27" t="n">
        <f aca="false">IF($AN40=0,0,INDEX(工程マスタ!$M:$M,$AN40))</f>
        <v>0</v>
      </c>
    </row>
    <row r="41" customFormat="false" ht="15" hidden="false" customHeight="false" outlineLevel="0" collapsed="false">
      <c r="A41" s="28" t="str">
        <f aca="false">IF($AN41=0,"",IF(INDEX(工程マスタ!$A:$A,$AN41)="","",INDEX(工程マスタ!$A:$A,$AN41)))</f>
        <v/>
      </c>
      <c r="B41" s="21" t="str">
        <f aca="false">IF($AN41=0,"",IF(INDEX(工程マスタ!$B:$B,$AN41)="","",INDEX(工程マスタ!$B:$B,$AN41)))</f>
        <v/>
      </c>
      <c r="C41" s="21" t="str">
        <f aca="false">IF($AN41=0,"",IF(INDEX(工程マスタ!$C:$C,$AN41)="","",INDEX(工程マスタ!$C:$C,$AN41)))</f>
        <v/>
      </c>
      <c r="D41" s="21" t="str">
        <f aca="false">IF($AN41=0,"",IF(INDEX(工程マスタ!$D:$D,$AN41)="","",INDEX(工程マスタ!$D:$D,$AN41)))</f>
        <v/>
      </c>
      <c r="E41" s="29" t="str">
        <f aca="false">IF($AN41=0,"",IF(INDEX(工程マスタ!$E:$E,$AN41)="","",INDEX(工程マスタ!$E:$E,$AN41)))</f>
        <v/>
      </c>
      <c r="F41" s="29" t="str">
        <f aca="false">IF($AN41=0,"",IF(INDEX(工程マスタ!$F:$F,$AN41)="","",INDEX(工程マスタ!$F:$F,$AN41)))</f>
        <v/>
      </c>
      <c r="G41" s="30" t="str">
        <f aca="false">IF($AN41=0,"",IF(INDEX(工程マスタ!$H:$H,$AN41)="","",INDEX(工程マスタ!$H:$H,$AN41)))</f>
        <v/>
      </c>
      <c r="H41" s="31" t="str">
        <f aca="false">IF(OR($AN41=0,H$3=""),"",IF(AND(INDEX(工程マスタ!$I:$I,$AN41)="○",$E41=H$3),"▼",""))</f>
        <v/>
      </c>
      <c r="I41" s="31" t="str">
        <f aca="false">IF(OR($AN41=0,I$3=""),"",IF(AND(INDEX(工程マスタ!$I:$I,$AN41)="○",$E41=I$3),"▼",""))</f>
        <v/>
      </c>
      <c r="J41" s="31" t="str">
        <f aca="false">IF(OR($AN41=0,J$3=""),"",IF(AND(INDEX(工程マスタ!$I:$I,$AN41)="○",$E41=J$3),"▼",""))</f>
        <v/>
      </c>
      <c r="K41" s="31" t="str">
        <f aca="false">IF(OR($AN41=0,K$3=""),"",IF(AND(INDEX(工程マスタ!$I:$I,$AN41)="○",$E41=K$3),"▼",""))</f>
        <v/>
      </c>
      <c r="L41" s="31" t="str">
        <f aca="false">IF(OR($AN41=0,L$3=""),"",IF(AND(INDEX(工程マスタ!$I:$I,$AN41)="○",$E41=L$3),"▼",""))</f>
        <v/>
      </c>
      <c r="M41" s="31" t="str">
        <f aca="false">IF(OR($AN41=0,M$3=""),"",IF(AND(INDEX(工程マスタ!$I:$I,$AN41)="○",$E41=M$3),"▼",""))</f>
        <v/>
      </c>
      <c r="N41" s="31" t="str">
        <f aca="false">IF(OR($AN41=0,N$3=""),"",IF(AND(INDEX(工程マスタ!$I:$I,$AN41)="○",$E41=N$3),"▼",""))</f>
        <v/>
      </c>
      <c r="O41" s="31" t="str">
        <f aca="false">IF(OR($AN41=0,O$3=""),"",IF(AND(INDEX(工程マスタ!$I:$I,$AN41)="○",$E41=O$3),"▼",""))</f>
        <v/>
      </c>
      <c r="P41" s="31" t="str">
        <f aca="false">IF(OR($AN41=0,P$3=""),"",IF(AND(INDEX(工程マスタ!$I:$I,$AN41)="○",$E41=P$3),"▼",""))</f>
        <v/>
      </c>
      <c r="Q41" s="31" t="str">
        <f aca="false">IF(OR($AN41=0,Q$3=""),"",IF(AND(INDEX(工程マスタ!$I:$I,$AN41)="○",$E41=Q$3),"▼",""))</f>
        <v/>
      </c>
      <c r="R41" s="31" t="str">
        <f aca="false">IF(OR($AN41=0,R$3=""),"",IF(AND(INDEX(工程マスタ!$I:$I,$AN41)="○",$E41=R$3),"▼",""))</f>
        <v/>
      </c>
      <c r="S41" s="31" t="str">
        <f aca="false">IF(OR($AN41=0,S$3=""),"",IF(AND(INDEX(工程マスタ!$I:$I,$AN41)="○",$E41=S$3),"▼",""))</f>
        <v/>
      </c>
      <c r="T41" s="31" t="str">
        <f aca="false">IF(OR($AN41=0,T$3=""),"",IF(AND(INDEX(工程マスタ!$I:$I,$AN41)="○",$E41=T$3),"▼",""))</f>
        <v/>
      </c>
      <c r="U41" s="31" t="str">
        <f aca="false">IF(OR($AN41=0,U$3=""),"",IF(AND(INDEX(工程マスタ!$I:$I,$AN41)="○",$E41=U$3),"▼",""))</f>
        <v/>
      </c>
      <c r="V41" s="31" t="str">
        <f aca="false">IF(OR($AN41=0,V$3=""),"",IF(AND(INDEX(工程マスタ!$I:$I,$AN41)="○",$E41=V$3),"▼",""))</f>
        <v/>
      </c>
      <c r="W41" s="31" t="str">
        <f aca="false">IF(OR($AN41=0,W$3=""),"",IF(AND(INDEX(工程マスタ!$I:$I,$AN41)="○",$E41=W$3),"▼",""))</f>
        <v/>
      </c>
      <c r="X41" s="31" t="str">
        <f aca="false">IF(OR($AN41=0,X$3=""),"",IF(AND(INDEX(工程マスタ!$I:$I,$AN41)="○",$E41=X$3),"▼",""))</f>
        <v/>
      </c>
      <c r="Y41" s="31" t="str">
        <f aca="false">IF(OR($AN41=0,Y$3=""),"",IF(AND(INDEX(工程マスタ!$I:$I,$AN41)="○",$E41=Y$3),"▼",""))</f>
        <v/>
      </c>
      <c r="Z41" s="31" t="str">
        <f aca="false">IF(OR($AN41=0,Z$3=""),"",IF(AND(INDEX(工程マスタ!$I:$I,$AN41)="○",$E41=Z$3),"▼",""))</f>
        <v/>
      </c>
      <c r="AA41" s="31" t="str">
        <f aca="false">IF(OR($AN41=0,AA$3=""),"",IF(AND(INDEX(工程マスタ!$I:$I,$AN41)="○",$E41=AA$3),"▼",""))</f>
        <v/>
      </c>
      <c r="AB41" s="31" t="str">
        <f aca="false">IF(OR($AN41=0,AB$3=""),"",IF(AND(INDEX(工程マスタ!$I:$I,$AN41)="○",$E41=AB$3),"▼",""))</f>
        <v/>
      </c>
      <c r="AC41" s="31" t="str">
        <f aca="false">IF(OR($AN41=0,AC$3=""),"",IF(AND(INDEX(工程マスタ!$I:$I,$AN41)="○",$E41=AC$3),"▼",""))</f>
        <v/>
      </c>
      <c r="AD41" s="31" t="str">
        <f aca="false">IF(OR($AN41=0,AD$3=""),"",IF(AND(INDEX(工程マスタ!$I:$I,$AN41)="○",$E41=AD$3),"▼",""))</f>
        <v/>
      </c>
      <c r="AE41" s="31" t="str">
        <f aca="false">IF(OR($AN41=0,AE$3=""),"",IF(AND(INDEX(工程マスタ!$I:$I,$AN41)="○",$E41=AE$3),"▼",""))</f>
        <v/>
      </c>
      <c r="AF41" s="31" t="str">
        <f aca="false">IF(OR($AN41=0,AF$3=""),"",IF(AND(INDEX(工程マスタ!$I:$I,$AN41)="○",$E41=AF$3),"▼",""))</f>
        <v/>
      </c>
      <c r="AG41" s="31" t="str">
        <f aca="false">IF(OR($AN41=0,AG$3=""),"",IF(AND(INDEX(工程マスタ!$I:$I,$AN41)="○",$E41=AG$3),"▼",""))</f>
        <v/>
      </c>
      <c r="AH41" s="31" t="str">
        <f aca="false">IF(OR($AN41=0,AH$3=""),"",IF(AND(INDEX(工程マスタ!$I:$I,$AN41)="○",$E41=AH$3),"▼",""))</f>
        <v/>
      </c>
      <c r="AI41" s="31" t="str">
        <f aca="false">IF(OR($AN41=0,AI$3=""),"",IF(AND(INDEX(工程マスタ!$I:$I,$AN41)="○",$E41=AI$3),"▼",""))</f>
        <v/>
      </c>
      <c r="AJ41" s="31" t="str">
        <f aca="false">IF(OR($AN41=0,AJ$3=""),"",IF(AND(INDEX(工程マスタ!$I:$I,$AN41)="○",$E41=AJ$3),"▼",""))</f>
        <v/>
      </c>
      <c r="AK41" s="31" t="str">
        <f aca="false">IF(OR($AN41=0,AK$3=""),"",IF(AND(INDEX(工程マスタ!$I:$I,$AN41)="○",$E41=AK$3),"▼",""))</f>
        <v/>
      </c>
      <c r="AL41" s="31" t="str">
        <f aca="false">IF(OR($AN41=0,AL$3=""),"",IF(AND(INDEX(工程マスタ!$I:$I,$AN41)="○",$E41=AL$3),"▼",""))</f>
        <v/>
      </c>
      <c r="AN41" s="27" t="n">
        <f aca="false" t="array" ref="AN41:AN41">IFERROR(SMALL(IF((工程マスタ!$K$5:$K$154&gt;0)*(工程マスタ!$K$5:$K$154&lt;=$AN$2)*(工程マスタ!$L$5:$L$154&gt;=$AN$1),ROW(工程マスタ!$C$5:$C$154)),35),0)</f>
        <v>0</v>
      </c>
      <c r="AO41" s="27" t="n">
        <f aca="false">IF($AN41=0,0,INDEX(工程マスタ!$M:$M,$AN41))</f>
        <v>0</v>
      </c>
    </row>
    <row r="42" customFormat="false" ht="15" hidden="false" customHeight="false" outlineLevel="0" collapsed="false">
      <c r="A42" s="28" t="str">
        <f aca="false">IF($AN42=0,"",IF(INDEX(工程マスタ!$A:$A,$AN42)="","",INDEX(工程マスタ!$A:$A,$AN42)))</f>
        <v/>
      </c>
      <c r="B42" s="21" t="str">
        <f aca="false">IF($AN42=0,"",IF(INDEX(工程マスタ!$B:$B,$AN42)="","",INDEX(工程マスタ!$B:$B,$AN42)))</f>
        <v/>
      </c>
      <c r="C42" s="21" t="str">
        <f aca="false">IF($AN42=0,"",IF(INDEX(工程マスタ!$C:$C,$AN42)="","",INDEX(工程マスタ!$C:$C,$AN42)))</f>
        <v/>
      </c>
      <c r="D42" s="21" t="str">
        <f aca="false">IF($AN42=0,"",IF(INDEX(工程マスタ!$D:$D,$AN42)="","",INDEX(工程マスタ!$D:$D,$AN42)))</f>
        <v/>
      </c>
      <c r="E42" s="29" t="str">
        <f aca="false">IF($AN42=0,"",IF(INDEX(工程マスタ!$E:$E,$AN42)="","",INDEX(工程マスタ!$E:$E,$AN42)))</f>
        <v/>
      </c>
      <c r="F42" s="29" t="str">
        <f aca="false">IF($AN42=0,"",IF(INDEX(工程マスタ!$F:$F,$AN42)="","",INDEX(工程マスタ!$F:$F,$AN42)))</f>
        <v/>
      </c>
      <c r="G42" s="30" t="str">
        <f aca="false">IF($AN42=0,"",IF(INDEX(工程マスタ!$H:$H,$AN42)="","",INDEX(工程マスタ!$H:$H,$AN42)))</f>
        <v/>
      </c>
      <c r="H42" s="31" t="str">
        <f aca="false">IF(OR($AN42=0,H$3=""),"",IF(AND(INDEX(工程マスタ!$I:$I,$AN42)="○",$E42=H$3),"▼",""))</f>
        <v/>
      </c>
      <c r="I42" s="31" t="str">
        <f aca="false">IF(OR($AN42=0,I$3=""),"",IF(AND(INDEX(工程マスタ!$I:$I,$AN42)="○",$E42=I$3),"▼",""))</f>
        <v/>
      </c>
      <c r="J42" s="31" t="str">
        <f aca="false">IF(OR($AN42=0,J$3=""),"",IF(AND(INDEX(工程マスタ!$I:$I,$AN42)="○",$E42=J$3),"▼",""))</f>
        <v/>
      </c>
      <c r="K42" s="31" t="str">
        <f aca="false">IF(OR($AN42=0,K$3=""),"",IF(AND(INDEX(工程マスタ!$I:$I,$AN42)="○",$E42=K$3),"▼",""))</f>
        <v/>
      </c>
      <c r="L42" s="31" t="str">
        <f aca="false">IF(OR($AN42=0,L$3=""),"",IF(AND(INDEX(工程マスタ!$I:$I,$AN42)="○",$E42=L$3),"▼",""))</f>
        <v/>
      </c>
      <c r="M42" s="31" t="str">
        <f aca="false">IF(OR($AN42=0,M$3=""),"",IF(AND(INDEX(工程マスタ!$I:$I,$AN42)="○",$E42=M$3),"▼",""))</f>
        <v/>
      </c>
      <c r="N42" s="31" t="str">
        <f aca="false">IF(OR($AN42=0,N$3=""),"",IF(AND(INDEX(工程マスタ!$I:$I,$AN42)="○",$E42=N$3),"▼",""))</f>
        <v/>
      </c>
      <c r="O42" s="31" t="str">
        <f aca="false">IF(OR($AN42=0,O$3=""),"",IF(AND(INDEX(工程マスタ!$I:$I,$AN42)="○",$E42=O$3),"▼",""))</f>
        <v/>
      </c>
      <c r="P42" s="31" t="str">
        <f aca="false">IF(OR($AN42=0,P$3=""),"",IF(AND(INDEX(工程マスタ!$I:$I,$AN42)="○",$E42=P$3),"▼",""))</f>
        <v/>
      </c>
      <c r="Q42" s="31" t="str">
        <f aca="false">IF(OR($AN42=0,Q$3=""),"",IF(AND(INDEX(工程マスタ!$I:$I,$AN42)="○",$E42=Q$3),"▼",""))</f>
        <v/>
      </c>
      <c r="R42" s="31" t="str">
        <f aca="false">IF(OR($AN42=0,R$3=""),"",IF(AND(INDEX(工程マスタ!$I:$I,$AN42)="○",$E42=R$3),"▼",""))</f>
        <v/>
      </c>
      <c r="S42" s="31" t="str">
        <f aca="false">IF(OR($AN42=0,S$3=""),"",IF(AND(INDEX(工程マスタ!$I:$I,$AN42)="○",$E42=S$3),"▼",""))</f>
        <v/>
      </c>
      <c r="T42" s="31" t="str">
        <f aca="false">IF(OR($AN42=0,T$3=""),"",IF(AND(INDEX(工程マスタ!$I:$I,$AN42)="○",$E42=T$3),"▼",""))</f>
        <v/>
      </c>
      <c r="U42" s="31" t="str">
        <f aca="false">IF(OR($AN42=0,U$3=""),"",IF(AND(INDEX(工程マスタ!$I:$I,$AN42)="○",$E42=U$3),"▼",""))</f>
        <v/>
      </c>
      <c r="V42" s="31" t="str">
        <f aca="false">IF(OR($AN42=0,V$3=""),"",IF(AND(INDEX(工程マスタ!$I:$I,$AN42)="○",$E42=V$3),"▼",""))</f>
        <v/>
      </c>
      <c r="W42" s="31" t="str">
        <f aca="false">IF(OR($AN42=0,W$3=""),"",IF(AND(INDEX(工程マスタ!$I:$I,$AN42)="○",$E42=W$3),"▼",""))</f>
        <v/>
      </c>
      <c r="X42" s="31" t="str">
        <f aca="false">IF(OR($AN42=0,X$3=""),"",IF(AND(INDEX(工程マスタ!$I:$I,$AN42)="○",$E42=X$3),"▼",""))</f>
        <v/>
      </c>
      <c r="Y42" s="31" t="str">
        <f aca="false">IF(OR($AN42=0,Y$3=""),"",IF(AND(INDEX(工程マスタ!$I:$I,$AN42)="○",$E42=Y$3),"▼",""))</f>
        <v/>
      </c>
      <c r="Z42" s="31" t="str">
        <f aca="false">IF(OR($AN42=0,Z$3=""),"",IF(AND(INDEX(工程マスタ!$I:$I,$AN42)="○",$E42=Z$3),"▼",""))</f>
        <v/>
      </c>
      <c r="AA42" s="31" t="str">
        <f aca="false">IF(OR($AN42=0,AA$3=""),"",IF(AND(INDEX(工程マスタ!$I:$I,$AN42)="○",$E42=AA$3),"▼",""))</f>
        <v/>
      </c>
      <c r="AB42" s="31" t="str">
        <f aca="false">IF(OR($AN42=0,AB$3=""),"",IF(AND(INDEX(工程マスタ!$I:$I,$AN42)="○",$E42=AB$3),"▼",""))</f>
        <v/>
      </c>
      <c r="AC42" s="31" t="str">
        <f aca="false">IF(OR($AN42=0,AC$3=""),"",IF(AND(INDEX(工程マスタ!$I:$I,$AN42)="○",$E42=AC$3),"▼",""))</f>
        <v/>
      </c>
      <c r="AD42" s="31" t="str">
        <f aca="false">IF(OR($AN42=0,AD$3=""),"",IF(AND(INDEX(工程マスタ!$I:$I,$AN42)="○",$E42=AD$3),"▼",""))</f>
        <v/>
      </c>
      <c r="AE42" s="31" t="str">
        <f aca="false">IF(OR($AN42=0,AE$3=""),"",IF(AND(INDEX(工程マスタ!$I:$I,$AN42)="○",$E42=AE$3),"▼",""))</f>
        <v/>
      </c>
      <c r="AF42" s="31" t="str">
        <f aca="false">IF(OR($AN42=0,AF$3=""),"",IF(AND(INDEX(工程マスタ!$I:$I,$AN42)="○",$E42=AF$3),"▼",""))</f>
        <v/>
      </c>
      <c r="AG42" s="31" t="str">
        <f aca="false">IF(OR($AN42=0,AG$3=""),"",IF(AND(INDEX(工程マスタ!$I:$I,$AN42)="○",$E42=AG$3),"▼",""))</f>
        <v/>
      </c>
      <c r="AH42" s="31" t="str">
        <f aca="false">IF(OR($AN42=0,AH$3=""),"",IF(AND(INDEX(工程マスタ!$I:$I,$AN42)="○",$E42=AH$3),"▼",""))</f>
        <v/>
      </c>
      <c r="AI42" s="31" t="str">
        <f aca="false">IF(OR($AN42=0,AI$3=""),"",IF(AND(INDEX(工程マスタ!$I:$I,$AN42)="○",$E42=AI$3),"▼",""))</f>
        <v/>
      </c>
      <c r="AJ42" s="31" t="str">
        <f aca="false">IF(OR($AN42=0,AJ$3=""),"",IF(AND(INDEX(工程マスタ!$I:$I,$AN42)="○",$E42=AJ$3),"▼",""))</f>
        <v/>
      </c>
      <c r="AK42" s="31" t="str">
        <f aca="false">IF(OR($AN42=0,AK$3=""),"",IF(AND(INDEX(工程マスタ!$I:$I,$AN42)="○",$E42=AK$3),"▼",""))</f>
        <v/>
      </c>
      <c r="AL42" s="31" t="str">
        <f aca="false">IF(OR($AN42=0,AL$3=""),"",IF(AND(INDEX(工程マスタ!$I:$I,$AN42)="○",$E42=AL$3),"▼",""))</f>
        <v/>
      </c>
      <c r="AN42" s="27" t="n">
        <f aca="false" t="array" ref="AN42:AN42">IFERROR(SMALL(IF((工程マスタ!$K$5:$K$154&gt;0)*(工程マスタ!$K$5:$K$154&lt;=$AN$2)*(工程マスタ!$L$5:$L$154&gt;=$AN$1),ROW(工程マスタ!$C$5:$C$154)),36),0)</f>
        <v>0</v>
      </c>
      <c r="AO42" s="27" t="n">
        <f aca="false">IF($AN42=0,0,INDEX(工程マスタ!$M:$M,$AN42))</f>
        <v>0</v>
      </c>
    </row>
    <row r="43" customFormat="false" ht="15" hidden="false" customHeight="false" outlineLevel="0" collapsed="false">
      <c r="A43" s="28" t="str">
        <f aca="false">IF($AN43=0,"",IF(INDEX(工程マスタ!$A:$A,$AN43)="","",INDEX(工程マスタ!$A:$A,$AN43)))</f>
        <v/>
      </c>
      <c r="B43" s="21" t="str">
        <f aca="false">IF($AN43=0,"",IF(INDEX(工程マスタ!$B:$B,$AN43)="","",INDEX(工程マスタ!$B:$B,$AN43)))</f>
        <v/>
      </c>
      <c r="C43" s="21" t="str">
        <f aca="false">IF($AN43=0,"",IF(INDEX(工程マスタ!$C:$C,$AN43)="","",INDEX(工程マスタ!$C:$C,$AN43)))</f>
        <v/>
      </c>
      <c r="D43" s="21" t="str">
        <f aca="false">IF($AN43=0,"",IF(INDEX(工程マスタ!$D:$D,$AN43)="","",INDEX(工程マスタ!$D:$D,$AN43)))</f>
        <v/>
      </c>
      <c r="E43" s="29" t="str">
        <f aca="false">IF($AN43=0,"",IF(INDEX(工程マスタ!$E:$E,$AN43)="","",INDEX(工程マスタ!$E:$E,$AN43)))</f>
        <v/>
      </c>
      <c r="F43" s="29" t="str">
        <f aca="false">IF($AN43=0,"",IF(INDEX(工程マスタ!$F:$F,$AN43)="","",INDEX(工程マスタ!$F:$F,$AN43)))</f>
        <v/>
      </c>
      <c r="G43" s="30" t="str">
        <f aca="false">IF($AN43=0,"",IF(INDEX(工程マスタ!$H:$H,$AN43)="","",INDEX(工程マスタ!$H:$H,$AN43)))</f>
        <v/>
      </c>
      <c r="H43" s="31" t="str">
        <f aca="false">IF(OR($AN43=0,H$3=""),"",IF(AND(INDEX(工程マスタ!$I:$I,$AN43)="○",$E43=H$3),"▼",""))</f>
        <v/>
      </c>
      <c r="I43" s="31" t="str">
        <f aca="false">IF(OR($AN43=0,I$3=""),"",IF(AND(INDEX(工程マスタ!$I:$I,$AN43)="○",$E43=I$3),"▼",""))</f>
        <v/>
      </c>
      <c r="J43" s="31" t="str">
        <f aca="false">IF(OR($AN43=0,J$3=""),"",IF(AND(INDEX(工程マスタ!$I:$I,$AN43)="○",$E43=J$3),"▼",""))</f>
        <v/>
      </c>
      <c r="K43" s="31" t="str">
        <f aca="false">IF(OR($AN43=0,K$3=""),"",IF(AND(INDEX(工程マスタ!$I:$I,$AN43)="○",$E43=K$3),"▼",""))</f>
        <v/>
      </c>
      <c r="L43" s="31" t="str">
        <f aca="false">IF(OR($AN43=0,L$3=""),"",IF(AND(INDEX(工程マスタ!$I:$I,$AN43)="○",$E43=L$3),"▼",""))</f>
        <v/>
      </c>
      <c r="M43" s="31" t="str">
        <f aca="false">IF(OR($AN43=0,M$3=""),"",IF(AND(INDEX(工程マスタ!$I:$I,$AN43)="○",$E43=M$3),"▼",""))</f>
        <v/>
      </c>
      <c r="N43" s="31" t="str">
        <f aca="false">IF(OR($AN43=0,N$3=""),"",IF(AND(INDEX(工程マスタ!$I:$I,$AN43)="○",$E43=N$3),"▼",""))</f>
        <v/>
      </c>
      <c r="O43" s="31" t="str">
        <f aca="false">IF(OR($AN43=0,O$3=""),"",IF(AND(INDEX(工程マスタ!$I:$I,$AN43)="○",$E43=O$3),"▼",""))</f>
        <v/>
      </c>
      <c r="P43" s="31" t="str">
        <f aca="false">IF(OR($AN43=0,P$3=""),"",IF(AND(INDEX(工程マスタ!$I:$I,$AN43)="○",$E43=P$3),"▼",""))</f>
        <v/>
      </c>
      <c r="Q43" s="31" t="str">
        <f aca="false">IF(OR($AN43=0,Q$3=""),"",IF(AND(INDEX(工程マスタ!$I:$I,$AN43)="○",$E43=Q$3),"▼",""))</f>
        <v/>
      </c>
      <c r="R43" s="31" t="str">
        <f aca="false">IF(OR($AN43=0,R$3=""),"",IF(AND(INDEX(工程マスタ!$I:$I,$AN43)="○",$E43=R$3),"▼",""))</f>
        <v/>
      </c>
      <c r="S43" s="31" t="str">
        <f aca="false">IF(OR($AN43=0,S$3=""),"",IF(AND(INDEX(工程マスタ!$I:$I,$AN43)="○",$E43=S$3),"▼",""))</f>
        <v/>
      </c>
      <c r="T43" s="31" t="str">
        <f aca="false">IF(OR($AN43=0,T$3=""),"",IF(AND(INDEX(工程マスタ!$I:$I,$AN43)="○",$E43=T$3),"▼",""))</f>
        <v/>
      </c>
      <c r="U43" s="31" t="str">
        <f aca="false">IF(OR($AN43=0,U$3=""),"",IF(AND(INDEX(工程マスタ!$I:$I,$AN43)="○",$E43=U$3),"▼",""))</f>
        <v/>
      </c>
      <c r="V43" s="31" t="str">
        <f aca="false">IF(OR($AN43=0,V$3=""),"",IF(AND(INDEX(工程マスタ!$I:$I,$AN43)="○",$E43=V$3),"▼",""))</f>
        <v/>
      </c>
      <c r="W43" s="31" t="str">
        <f aca="false">IF(OR($AN43=0,W$3=""),"",IF(AND(INDEX(工程マスタ!$I:$I,$AN43)="○",$E43=W$3),"▼",""))</f>
        <v/>
      </c>
      <c r="X43" s="31" t="str">
        <f aca="false">IF(OR($AN43=0,X$3=""),"",IF(AND(INDEX(工程マスタ!$I:$I,$AN43)="○",$E43=X$3),"▼",""))</f>
        <v/>
      </c>
      <c r="Y43" s="31" t="str">
        <f aca="false">IF(OR($AN43=0,Y$3=""),"",IF(AND(INDEX(工程マスタ!$I:$I,$AN43)="○",$E43=Y$3),"▼",""))</f>
        <v/>
      </c>
      <c r="Z43" s="31" t="str">
        <f aca="false">IF(OR($AN43=0,Z$3=""),"",IF(AND(INDEX(工程マスタ!$I:$I,$AN43)="○",$E43=Z$3),"▼",""))</f>
        <v/>
      </c>
      <c r="AA43" s="31" t="str">
        <f aca="false">IF(OR($AN43=0,AA$3=""),"",IF(AND(INDEX(工程マスタ!$I:$I,$AN43)="○",$E43=AA$3),"▼",""))</f>
        <v/>
      </c>
      <c r="AB43" s="31" t="str">
        <f aca="false">IF(OR($AN43=0,AB$3=""),"",IF(AND(INDEX(工程マスタ!$I:$I,$AN43)="○",$E43=AB$3),"▼",""))</f>
        <v/>
      </c>
      <c r="AC43" s="31" t="str">
        <f aca="false">IF(OR($AN43=0,AC$3=""),"",IF(AND(INDEX(工程マスタ!$I:$I,$AN43)="○",$E43=AC$3),"▼",""))</f>
        <v/>
      </c>
      <c r="AD43" s="31" t="str">
        <f aca="false">IF(OR($AN43=0,AD$3=""),"",IF(AND(INDEX(工程マスタ!$I:$I,$AN43)="○",$E43=AD$3),"▼",""))</f>
        <v/>
      </c>
      <c r="AE43" s="31" t="str">
        <f aca="false">IF(OR($AN43=0,AE$3=""),"",IF(AND(INDEX(工程マスタ!$I:$I,$AN43)="○",$E43=AE$3),"▼",""))</f>
        <v/>
      </c>
      <c r="AF43" s="31" t="str">
        <f aca="false">IF(OR($AN43=0,AF$3=""),"",IF(AND(INDEX(工程マスタ!$I:$I,$AN43)="○",$E43=AF$3),"▼",""))</f>
        <v/>
      </c>
      <c r="AG43" s="31" t="str">
        <f aca="false">IF(OR($AN43=0,AG$3=""),"",IF(AND(INDEX(工程マスタ!$I:$I,$AN43)="○",$E43=AG$3),"▼",""))</f>
        <v/>
      </c>
      <c r="AH43" s="31" t="str">
        <f aca="false">IF(OR($AN43=0,AH$3=""),"",IF(AND(INDEX(工程マスタ!$I:$I,$AN43)="○",$E43=AH$3),"▼",""))</f>
        <v/>
      </c>
      <c r="AI43" s="31" t="str">
        <f aca="false">IF(OR($AN43=0,AI$3=""),"",IF(AND(INDEX(工程マスタ!$I:$I,$AN43)="○",$E43=AI$3),"▼",""))</f>
        <v/>
      </c>
      <c r="AJ43" s="31" t="str">
        <f aca="false">IF(OR($AN43=0,AJ$3=""),"",IF(AND(INDEX(工程マスタ!$I:$I,$AN43)="○",$E43=AJ$3),"▼",""))</f>
        <v/>
      </c>
      <c r="AK43" s="31" t="str">
        <f aca="false">IF(OR($AN43=0,AK$3=""),"",IF(AND(INDEX(工程マスタ!$I:$I,$AN43)="○",$E43=AK$3),"▼",""))</f>
        <v/>
      </c>
      <c r="AL43" s="31" t="str">
        <f aca="false">IF(OR($AN43=0,AL$3=""),"",IF(AND(INDEX(工程マスタ!$I:$I,$AN43)="○",$E43=AL$3),"▼",""))</f>
        <v/>
      </c>
      <c r="AN43" s="27" t="n">
        <f aca="false" t="array" ref="AN43:AN43">IFERROR(SMALL(IF((工程マスタ!$K$5:$K$154&gt;0)*(工程マスタ!$K$5:$K$154&lt;=$AN$2)*(工程マスタ!$L$5:$L$154&gt;=$AN$1),ROW(工程マスタ!$C$5:$C$154)),37),0)</f>
        <v>0</v>
      </c>
      <c r="AO43" s="27" t="n">
        <f aca="false">IF($AN43=0,0,INDEX(工程マスタ!$M:$M,$AN43))</f>
        <v>0</v>
      </c>
    </row>
    <row r="44" customFormat="false" ht="15" hidden="false" customHeight="false" outlineLevel="0" collapsed="false">
      <c r="A44" s="28" t="str">
        <f aca="false">IF($AN44=0,"",IF(INDEX(工程マスタ!$A:$A,$AN44)="","",INDEX(工程マスタ!$A:$A,$AN44)))</f>
        <v/>
      </c>
      <c r="B44" s="21" t="str">
        <f aca="false">IF($AN44=0,"",IF(INDEX(工程マスタ!$B:$B,$AN44)="","",INDEX(工程マスタ!$B:$B,$AN44)))</f>
        <v/>
      </c>
      <c r="C44" s="21" t="str">
        <f aca="false">IF($AN44=0,"",IF(INDEX(工程マスタ!$C:$C,$AN44)="","",INDEX(工程マスタ!$C:$C,$AN44)))</f>
        <v/>
      </c>
      <c r="D44" s="21" t="str">
        <f aca="false">IF($AN44=0,"",IF(INDEX(工程マスタ!$D:$D,$AN44)="","",INDEX(工程マスタ!$D:$D,$AN44)))</f>
        <v/>
      </c>
      <c r="E44" s="29" t="str">
        <f aca="false">IF($AN44=0,"",IF(INDEX(工程マスタ!$E:$E,$AN44)="","",INDEX(工程マスタ!$E:$E,$AN44)))</f>
        <v/>
      </c>
      <c r="F44" s="29" t="str">
        <f aca="false">IF($AN44=0,"",IF(INDEX(工程マスタ!$F:$F,$AN44)="","",INDEX(工程マスタ!$F:$F,$AN44)))</f>
        <v/>
      </c>
      <c r="G44" s="30" t="str">
        <f aca="false">IF($AN44=0,"",IF(INDEX(工程マスタ!$H:$H,$AN44)="","",INDEX(工程マスタ!$H:$H,$AN44)))</f>
        <v/>
      </c>
      <c r="H44" s="31" t="str">
        <f aca="false">IF(OR($AN44=0,H$3=""),"",IF(AND(INDEX(工程マスタ!$I:$I,$AN44)="○",$E44=H$3),"▼",""))</f>
        <v/>
      </c>
      <c r="I44" s="31" t="str">
        <f aca="false">IF(OR($AN44=0,I$3=""),"",IF(AND(INDEX(工程マスタ!$I:$I,$AN44)="○",$E44=I$3),"▼",""))</f>
        <v/>
      </c>
      <c r="J44" s="31" t="str">
        <f aca="false">IF(OR($AN44=0,J$3=""),"",IF(AND(INDEX(工程マスタ!$I:$I,$AN44)="○",$E44=J$3),"▼",""))</f>
        <v/>
      </c>
      <c r="K44" s="31" t="str">
        <f aca="false">IF(OR($AN44=0,K$3=""),"",IF(AND(INDEX(工程マスタ!$I:$I,$AN44)="○",$E44=K$3),"▼",""))</f>
        <v/>
      </c>
      <c r="L44" s="31" t="str">
        <f aca="false">IF(OR($AN44=0,L$3=""),"",IF(AND(INDEX(工程マスタ!$I:$I,$AN44)="○",$E44=L$3),"▼",""))</f>
        <v/>
      </c>
      <c r="M44" s="31" t="str">
        <f aca="false">IF(OR($AN44=0,M$3=""),"",IF(AND(INDEX(工程マスタ!$I:$I,$AN44)="○",$E44=M$3),"▼",""))</f>
        <v/>
      </c>
      <c r="N44" s="31" t="str">
        <f aca="false">IF(OR($AN44=0,N$3=""),"",IF(AND(INDEX(工程マスタ!$I:$I,$AN44)="○",$E44=N$3),"▼",""))</f>
        <v/>
      </c>
      <c r="O44" s="31" t="str">
        <f aca="false">IF(OR($AN44=0,O$3=""),"",IF(AND(INDEX(工程マスタ!$I:$I,$AN44)="○",$E44=O$3),"▼",""))</f>
        <v/>
      </c>
      <c r="P44" s="31" t="str">
        <f aca="false">IF(OR($AN44=0,P$3=""),"",IF(AND(INDEX(工程マスタ!$I:$I,$AN44)="○",$E44=P$3),"▼",""))</f>
        <v/>
      </c>
      <c r="Q44" s="31" t="str">
        <f aca="false">IF(OR($AN44=0,Q$3=""),"",IF(AND(INDEX(工程マスタ!$I:$I,$AN44)="○",$E44=Q$3),"▼",""))</f>
        <v/>
      </c>
      <c r="R44" s="31" t="str">
        <f aca="false">IF(OR($AN44=0,R$3=""),"",IF(AND(INDEX(工程マスタ!$I:$I,$AN44)="○",$E44=R$3),"▼",""))</f>
        <v/>
      </c>
      <c r="S44" s="31" t="str">
        <f aca="false">IF(OR($AN44=0,S$3=""),"",IF(AND(INDEX(工程マスタ!$I:$I,$AN44)="○",$E44=S$3),"▼",""))</f>
        <v/>
      </c>
      <c r="T44" s="31" t="str">
        <f aca="false">IF(OR($AN44=0,T$3=""),"",IF(AND(INDEX(工程マスタ!$I:$I,$AN44)="○",$E44=T$3),"▼",""))</f>
        <v/>
      </c>
      <c r="U44" s="31" t="str">
        <f aca="false">IF(OR($AN44=0,U$3=""),"",IF(AND(INDEX(工程マスタ!$I:$I,$AN44)="○",$E44=U$3),"▼",""))</f>
        <v/>
      </c>
      <c r="V44" s="31" t="str">
        <f aca="false">IF(OR($AN44=0,V$3=""),"",IF(AND(INDEX(工程マスタ!$I:$I,$AN44)="○",$E44=V$3),"▼",""))</f>
        <v/>
      </c>
      <c r="W44" s="31" t="str">
        <f aca="false">IF(OR($AN44=0,W$3=""),"",IF(AND(INDEX(工程マスタ!$I:$I,$AN44)="○",$E44=W$3),"▼",""))</f>
        <v/>
      </c>
      <c r="X44" s="31" t="str">
        <f aca="false">IF(OR($AN44=0,X$3=""),"",IF(AND(INDEX(工程マスタ!$I:$I,$AN44)="○",$E44=X$3),"▼",""))</f>
        <v/>
      </c>
      <c r="Y44" s="31" t="str">
        <f aca="false">IF(OR($AN44=0,Y$3=""),"",IF(AND(INDEX(工程マスタ!$I:$I,$AN44)="○",$E44=Y$3),"▼",""))</f>
        <v/>
      </c>
      <c r="Z44" s="31" t="str">
        <f aca="false">IF(OR($AN44=0,Z$3=""),"",IF(AND(INDEX(工程マスタ!$I:$I,$AN44)="○",$E44=Z$3),"▼",""))</f>
        <v/>
      </c>
      <c r="AA44" s="31" t="str">
        <f aca="false">IF(OR($AN44=0,AA$3=""),"",IF(AND(INDEX(工程マスタ!$I:$I,$AN44)="○",$E44=AA$3),"▼",""))</f>
        <v/>
      </c>
      <c r="AB44" s="31" t="str">
        <f aca="false">IF(OR($AN44=0,AB$3=""),"",IF(AND(INDEX(工程マスタ!$I:$I,$AN44)="○",$E44=AB$3),"▼",""))</f>
        <v/>
      </c>
      <c r="AC44" s="31" t="str">
        <f aca="false">IF(OR($AN44=0,AC$3=""),"",IF(AND(INDEX(工程マスタ!$I:$I,$AN44)="○",$E44=AC$3),"▼",""))</f>
        <v/>
      </c>
      <c r="AD44" s="31" t="str">
        <f aca="false">IF(OR($AN44=0,AD$3=""),"",IF(AND(INDEX(工程マスタ!$I:$I,$AN44)="○",$E44=AD$3),"▼",""))</f>
        <v/>
      </c>
      <c r="AE44" s="31" t="str">
        <f aca="false">IF(OR($AN44=0,AE$3=""),"",IF(AND(INDEX(工程マスタ!$I:$I,$AN44)="○",$E44=AE$3),"▼",""))</f>
        <v/>
      </c>
      <c r="AF44" s="31" t="str">
        <f aca="false">IF(OR($AN44=0,AF$3=""),"",IF(AND(INDEX(工程マスタ!$I:$I,$AN44)="○",$E44=AF$3),"▼",""))</f>
        <v/>
      </c>
      <c r="AG44" s="31" t="str">
        <f aca="false">IF(OR($AN44=0,AG$3=""),"",IF(AND(INDEX(工程マスタ!$I:$I,$AN44)="○",$E44=AG$3),"▼",""))</f>
        <v/>
      </c>
      <c r="AH44" s="31" t="str">
        <f aca="false">IF(OR($AN44=0,AH$3=""),"",IF(AND(INDEX(工程マスタ!$I:$I,$AN44)="○",$E44=AH$3),"▼",""))</f>
        <v/>
      </c>
      <c r="AI44" s="31" t="str">
        <f aca="false">IF(OR($AN44=0,AI$3=""),"",IF(AND(INDEX(工程マスタ!$I:$I,$AN44)="○",$E44=AI$3),"▼",""))</f>
        <v/>
      </c>
      <c r="AJ44" s="31" t="str">
        <f aca="false">IF(OR($AN44=0,AJ$3=""),"",IF(AND(INDEX(工程マスタ!$I:$I,$AN44)="○",$E44=AJ$3),"▼",""))</f>
        <v/>
      </c>
      <c r="AK44" s="31" t="str">
        <f aca="false">IF(OR($AN44=0,AK$3=""),"",IF(AND(INDEX(工程マスタ!$I:$I,$AN44)="○",$E44=AK$3),"▼",""))</f>
        <v/>
      </c>
      <c r="AL44" s="31" t="str">
        <f aca="false">IF(OR($AN44=0,AL$3=""),"",IF(AND(INDEX(工程マスタ!$I:$I,$AN44)="○",$E44=AL$3),"▼",""))</f>
        <v/>
      </c>
      <c r="AN44" s="27" t="n">
        <f aca="false" t="array" ref="AN44:AN44">IFERROR(SMALL(IF((工程マスタ!$K$5:$K$154&gt;0)*(工程マスタ!$K$5:$K$154&lt;=$AN$2)*(工程マスタ!$L$5:$L$154&gt;=$AN$1),ROW(工程マスタ!$C$5:$C$154)),38),0)</f>
        <v>0</v>
      </c>
      <c r="AO44" s="27" t="n">
        <f aca="false">IF($AN44=0,0,INDEX(工程マスタ!$M:$M,$AN44))</f>
        <v>0</v>
      </c>
    </row>
    <row r="45" customFormat="false" ht="15" hidden="false" customHeight="false" outlineLevel="0" collapsed="false">
      <c r="A45" s="28" t="str">
        <f aca="false">IF($AN45=0,"",IF(INDEX(工程マスタ!$A:$A,$AN45)="","",INDEX(工程マスタ!$A:$A,$AN45)))</f>
        <v/>
      </c>
      <c r="B45" s="21" t="str">
        <f aca="false">IF($AN45=0,"",IF(INDEX(工程マスタ!$B:$B,$AN45)="","",INDEX(工程マスタ!$B:$B,$AN45)))</f>
        <v/>
      </c>
      <c r="C45" s="21" t="str">
        <f aca="false">IF($AN45=0,"",IF(INDEX(工程マスタ!$C:$C,$AN45)="","",INDEX(工程マスタ!$C:$C,$AN45)))</f>
        <v/>
      </c>
      <c r="D45" s="21" t="str">
        <f aca="false">IF($AN45=0,"",IF(INDEX(工程マスタ!$D:$D,$AN45)="","",INDEX(工程マスタ!$D:$D,$AN45)))</f>
        <v/>
      </c>
      <c r="E45" s="29" t="str">
        <f aca="false">IF($AN45=0,"",IF(INDEX(工程マスタ!$E:$E,$AN45)="","",INDEX(工程マスタ!$E:$E,$AN45)))</f>
        <v/>
      </c>
      <c r="F45" s="29" t="str">
        <f aca="false">IF($AN45=0,"",IF(INDEX(工程マスタ!$F:$F,$AN45)="","",INDEX(工程マスタ!$F:$F,$AN45)))</f>
        <v/>
      </c>
      <c r="G45" s="30" t="str">
        <f aca="false">IF($AN45=0,"",IF(INDEX(工程マスタ!$H:$H,$AN45)="","",INDEX(工程マスタ!$H:$H,$AN45)))</f>
        <v/>
      </c>
      <c r="H45" s="31" t="str">
        <f aca="false">IF(OR($AN45=0,H$3=""),"",IF(AND(INDEX(工程マスタ!$I:$I,$AN45)="○",$E45=H$3),"▼",""))</f>
        <v/>
      </c>
      <c r="I45" s="31" t="str">
        <f aca="false">IF(OR($AN45=0,I$3=""),"",IF(AND(INDEX(工程マスタ!$I:$I,$AN45)="○",$E45=I$3),"▼",""))</f>
        <v/>
      </c>
      <c r="J45" s="31" t="str">
        <f aca="false">IF(OR($AN45=0,J$3=""),"",IF(AND(INDEX(工程マスタ!$I:$I,$AN45)="○",$E45=J$3),"▼",""))</f>
        <v/>
      </c>
      <c r="K45" s="31" t="str">
        <f aca="false">IF(OR($AN45=0,K$3=""),"",IF(AND(INDEX(工程マスタ!$I:$I,$AN45)="○",$E45=K$3),"▼",""))</f>
        <v/>
      </c>
      <c r="L45" s="31" t="str">
        <f aca="false">IF(OR($AN45=0,L$3=""),"",IF(AND(INDEX(工程マスタ!$I:$I,$AN45)="○",$E45=L$3),"▼",""))</f>
        <v/>
      </c>
      <c r="M45" s="31" t="str">
        <f aca="false">IF(OR($AN45=0,M$3=""),"",IF(AND(INDEX(工程マスタ!$I:$I,$AN45)="○",$E45=M$3),"▼",""))</f>
        <v/>
      </c>
      <c r="N45" s="31" t="str">
        <f aca="false">IF(OR($AN45=0,N$3=""),"",IF(AND(INDEX(工程マスタ!$I:$I,$AN45)="○",$E45=N$3),"▼",""))</f>
        <v/>
      </c>
      <c r="O45" s="31" t="str">
        <f aca="false">IF(OR($AN45=0,O$3=""),"",IF(AND(INDEX(工程マスタ!$I:$I,$AN45)="○",$E45=O$3),"▼",""))</f>
        <v/>
      </c>
      <c r="P45" s="31" t="str">
        <f aca="false">IF(OR($AN45=0,P$3=""),"",IF(AND(INDEX(工程マスタ!$I:$I,$AN45)="○",$E45=P$3),"▼",""))</f>
        <v/>
      </c>
      <c r="Q45" s="31" t="str">
        <f aca="false">IF(OR($AN45=0,Q$3=""),"",IF(AND(INDEX(工程マスタ!$I:$I,$AN45)="○",$E45=Q$3),"▼",""))</f>
        <v/>
      </c>
      <c r="R45" s="31" t="str">
        <f aca="false">IF(OR($AN45=0,R$3=""),"",IF(AND(INDEX(工程マスタ!$I:$I,$AN45)="○",$E45=R$3),"▼",""))</f>
        <v/>
      </c>
      <c r="S45" s="31" t="str">
        <f aca="false">IF(OR($AN45=0,S$3=""),"",IF(AND(INDEX(工程マスタ!$I:$I,$AN45)="○",$E45=S$3),"▼",""))</f>
        <v/>
      </c>
      <c r="T45" s="31" t="str">
        <f aca="false">IF(OR($AN45=0,T$3=""),"",IF(AND(INDEX(工程マスタ!$I:$I,$AN45)="○",$E45=T$3),"▼",""))</f>
        <v/>
      </c>
      <c r="U45" s="31" t="str">
        <f aca="false">IF(OR($AN45=0,U$3=""),"",IF(AND(INDEX(工程マスタ!$I:$I,$AN45)="○",$E45=U$3),"▼",""))</f>
        <v/>
      </c>
      <c r="V45" s="31" t="str">
        <f aca="false">IF(OR($AN45=0,V$3=""),"",IF(AND(INDEX(工程マスタ!$I:$I,$AN45)="○",$E45=V$3),"▼",""))</f>
        <v/>
      </c>
      <c r="W45" s="31" t="str">
        <f aca="false">IF(OR($AN45=0,W$3=""),"",IF(AND(INDEX(工程マスタ!$I:$I,$AN45)="○",$E45=W$3),"▼",""))</f>
        <v/>
      </c>
      <c r="X45" s="31" t="str">
        <f aca="false">IF(OR($AN45=0,X$3=""),"",IF(AND(INDEX(工程マスタ!$I:$I,$AN45)="○",$E45=X$3),"▼",""))</f>
        <v/>
      </c>
      <c r="Y45" s="31" t="str">
        <f aca="false">IF(OR($AN45=0,Y$3=""),"",IF(AND(INDEX(工程マスタ!$I:$I,$AN45)="○",$E45=Y$3),"▼",""))</f>
        <v/>
      </c>
      <c r="Z45" s="31" t="str">
        <f aca="false">IF(OR($AN45=0,Z$3=""),"",IF(AND(INDEX(工程マスタ!$I:$I,$AN45)="○",$E45=Z$3),"▼",""))</f>
        <v/>
      </c>
      <c r="AA45" s="31" t="str">
        <f aca="false">IF(OR($AN45=0,AA$3=""),"",IF(AND(INDEX(工程マスタ!$I:$I,$AN45)="○",$E45=AA$3),"▼",""))</f>
        <v/>
      </c>
      <c r="AB45" s="31" t="str">
        <f aca="false">IF(OR($AN45=0,AB$3=""),"",IF(AND(INDEX(工程マスタ!$I:$I,$AN45)="○",$E45=AB$3),"▼",""))</f>
        <v/>
      </c>
      <c r="AC45" s="31" t="str">
        <f aca="false">IF(OR($AN45=0,AC$3=""),"",IF(AND(INDEX(工程マスタ!$I:$I,$AN45)="○",$E45=AC$3),"▼",""))</f>
        <v/>
      </c>
      <c r="AD45" s="31" t="str">
        <f aca="false">IF(OR($AN45=0,AD$3=""),"",IF(AND(INDEX(工程マスタ!$I:$I,$AN45)="○",$E45=AD$3),"▼",""))</f>
        <v/>
      </c>
      <c r="AE45" s="31" t="str">
        <f aca="false">IF(OR($AN45=0,AE$3=""),"",IF(AND(INDEX(工程マスタ!$I:$I,$AN45)="○",$E45=AE$3),"▼",""))</f>
        <v/>
      </c>
      <c r="AF45" s="31" t="str">
        <f aca="false">IF(OR($AN45=0,AF$3=""),"",IF(AND(INDEX(工程マスタ!$I:$I,$AN45)="○",$E45=AF$3),"▼",""))</f>
        <v/>
      </c>
      <c r="AG45" s="31" t="str">
        <f aca="false">IF(OR($AN45=0,AG$3=""),"",IF(AND(INDEX(工程マスタ!$I:$I,$AN45)="○",$E45=AG$3),"▼",""))</f>
        <v/>
      </c>
      <c r="AH45" s="31" t="str">
        <f aca="false">IF(OR($AN45=0,AH$3=""),"",IF(AND(INDEX(工程マスタ!$I:$I,$AN45)="○",$E45=AH$3),"▼",""))</f>
        <v/>
      </c>
      <c r="AI45" s="31" t="str">
        <f aca="false">IF(OR($AN45=0,AI$3=""),"",IF(AND(INDEX(工程マスタ!$I:$I,$AN45)="○",$E45=AI$3),"▼",""))</f>
        <v/>
      </c>
      <c r="AJ45" s="31" t="str">
        <f aca="false">IF(OR($AN45=0,AJ$3=""),"",IF(AND(INDEX(工程マスタ!$I:$I,$AN45)="○",$E45=AJ$3),"▼",""))</f>
        <v/>
      </c>
      <c r="AK45" s="31" t="str">
        <f aca="false">IF(OR($AN45=0,AK$3=""),"",IF(AND(INDEX(工程マスタ!$I:$I,$AN45)="○",$E45=AK$3),"▼",""))</f>
        <v/>
      </c>
      <c r="AL45" s="31" t="str">
        <f aca="false">IF(OR($AN45=0,AL$3=""),"",IF(AND(INDEX(工程マスタ!$I:$I,$AN45)="○",$E45=AL$3),"▼",""))</f>
        <v/>
      </c>
      <c r="AN45" s="27" t="n">
        <f aca="false" t="array" ref="AN45:AN45">IFERROR(SMALL(IF((工程マスタ!$K$5:$K$154&gt;0)*(工程マスタ!$K$5:$K$154&lt;=$AN$2)*(工程マスタ!$L$5:$L$154&gt;=$AN$1),ROW(工程マスタ!$C$5:$C$154)),39),0)</f>
        <v>0</v>
      </c>
      <c r="AO45" s="27" t="n">
        <f aca="false">IF($AN45=0,0,INDEX(工程マスタ!$M:$M,$AN45))</f>
        <v>0</v>
      </c>
    </row>
    <row r="46" customFormat="false" ht="15" hidden="false" customHeight="false" outlineLevel="0" collapsed="false">
      <c r="A46" s="28" t="str">
        <f aca="false">IF($AN46=0,"",IF(INDEX(工程マスタ!$A:$A,$AN46)="","",INDEX(工程マスタ!$A:$A,$AN46)))</f>
        <v/>
      </c>
      <c r="B46" s="21" t="str">
        <f aca="false">IF($AN46=0,"",IF(INDEX(工程マスタ!$B:$B,$AN46)="","",INDEX(工程マスタ!$B:$B,$AN46)))</f>
        <v/>
      </c>
      <c r="C46" s="21" t="str">
        <f aca="false">IF($AN46=0,"",IF(INDEX(工程マスタ!$C:$C,$AN46)="","",INDEX(工程マスタ!$C:$C,$AN46)))</f>
        <v/>
      </c>
      <c r="D46" s="21" t="str">
        <f aca="false">IF($AN46=0,"",IF(INDEX(工程マスタ!$D:$D,$AN46)="","",INDEX(工程マスタ!$D:$D,$AN46)))</f>
        <v/>
      </c>
      <c r="E46" s="29" t="str">
        <f aca="false">IF($AN46=0,"",IF(INDEX(工程マスタ!$E:$E,$AN46)="","",INDEX(工程マスタ!$E:$E,$AN46)))</f>
        <v/>
      </c>
      <c r="F46" s="29" t="str">
        <f aca="false">IF($AN46=0,"",IF(INDEX(工程マスタ!$F:$F,$AN46)="","",INDEX(工程マスタ!$F:$F,$AN46)))</f>
        <v/>
      </c>
      <c r="G46" s="30" t="str">
        <f aca="false">IF($AN46=0,"",IF(INDEX(工程マスタ!$H:$H,$AN46)="","",INDEX(工程マスタ!$H:$H,$AN46)))</f>
        <v/>
      </c>
      <c r="H46" s="31" t="str">
        <f aca="false">IF(OR($AN46=0,H$3=""),"",IF(AND(INDEX(工程マスタ!$I:$I,$AN46)="○",$E46=H$3),"▼",""))</f>
        <v/>
      </c>
      <c r="I46" s="31" t="str">
        <f aca="false">IF(OR($AN46=0,I$3=""),"",IF(AND(INDEX(工程マスタ!$I:$I,$AN46)="○",$E46=I$3),"▼",""))</f>
        <v/>
      </c>
      <c r="J46" s="31" t="str">
        <f aca="false">IF(OR($AN46=0,J$3=""),"",IF(AND(INDEX(工程マスタ!$I:$I,$AN46)="○",$E46=J$3),"▼",""))</f>
        <v/>
      </c>
      <c r="K46" s="31" t="str">
        <f aca="false">IF(OR($AN46=0,K$3=""),"",IF(AND(INDEX(工程マスタ!$I:$I,$AN46)="○",$E46=K$3),"▼",""))</f>
        <v/>
      </c>
      <c r="L46" s="31" t="str">
        <f aca="false">IF(OR($AN46=0,L$3=""),"",IF(AND(INDEX(工程マスタ!$I:$I,$AN46)="○",$E46=L$3),"▼",""))</f>
        <v/>
      </c>
      <c r="M46" s="31" t="str">
        <f aca="false">IF(OR($AN46=0,M$3=""),"",IF(AND(INDEX(工程マスタ!$I:$I,$AN46)="○",$E46=M$3),"▼",""))</f>
        <v/>
      </c>
      <c r="N46" s="31" t="str">
        <f aca="false">IF(OR($AN46=0,N$3=""),"",IF(AND(INDEX(工程マスタ!$I:$I,$AN46)="○",$E46=N$3),"▼",""))</f>
        <v/>
      </c>
      <c r="O46" s="31" t="str">
        <f aca="false">IF(OR($AN46=0,O$3=""),"",IF(AND(INDEX(工程マスタ!$I:$I,$AN46)="○",$E46=O$3),"▼",""))</f>
        <v/>
      </c>
      <c r="P46" s="31" t="str">
        <f aca="false">IF(OR($AN46=0,P$3=""),"",IF(AND(INDEX(工程マスタ!$I:$I,$AN46)="○",$E46=P$3),"▼",""))</f>
        <v/>
      </c>
      <c r="Q46" s="31" t="str">
        <f aca="false">IF(OR($AN46=0,Q$3=""),"",IF(AND(INDEX(工程マスタ!$I:$I,$AN46)="○",$E46=Q$3),"▼",""))</f>
        <v/>
      </c>
      <c r="R46" s="31" t="str">
        <f aca="false">IF(OR($AN46=0,R$3=""),"",IF(AND(INDEX(工程マスタ!$I:$I,$AN46)="○",$E46=R$3),"▼",""))</f>
        <v/>
      </c>
      <c r="S46" s="31" t="str">
        <f aca="false">IF(OR($AN46=0,S$3=""),"",IF(AND(INDEX(工程マスタ!$I:$I,$AN46)="○",$E46=S$3),"▼",""))</f>
        <v/>
      </c>
      <c r="T46" s="31" t="str">
        <f aca="false">IF(OR($AN46=0,T$3=""),"",IF(AND(INDEX(工程マスタ!$I:$I,$AN46)="○",$E46=T$3),"▼",""))</f>
        <v/>
      </c>
      <c r="U46" s="31" t="str">
        <f aca="false">IF(OR($AN46=0,U$3=""),"",IF(AND(INDEX(工程マスタ!$I:$I,$AN46)="○",$E46=U$3),"▼",""))</f>
        <v/>
      </c>
      <c r="V46" s="31" t="str">
        <f aca="false">IF(OR($AN46=0,V$3=""),"",IF(AND(INDEX(工程マスタ!$I:$I,$AN46)="○",$E46=V$3),"▼",""))</f>
        <v/>
      </c>
      <c r="W46" s="31" t="str">
        <f aca="false">IF(OR($AN46=0,W$3=""),"",IF(AND(INDEX(工程マスタ!$I:$I,$AN46)="○",$E46=W$3),"▼",""))</f>
        <v/>
      </c>
      <c r="X46" s="31" t="str">
        <f aca="false">IF(OR($AN46=0,X$3=""),"",IF(AND(INDEX(工程マスタ!$I:$I,$AN46)="○",$E46=X$3),"▼",""))</f>
        <v/>
      </c>
      <c r="Y46" s="31" t="str">
        <f aca="false">IF(OR($AN46=0,Y$3=""),"",IF(AND(INDEX(工程マスタ!$I:$I,$AN46)="○",$E46=Y$3),"▼",""))</f>
        <v/>
      </c>
      <c r="Z46" s="31" t="str">
        <f aca="false">IF(OR($AN46=0,Z$3=""),"",IF(AND(INDEX(工程マスタ!$I:$I,$AN46)="○",$E46=Z$3),"▼",""))</f>
        <v/>
      </c>
      <c r="AA46" s="31" t="str">
        <f aca="false">IF(OR($AN46=0,AA$3=""),"",IF(AND(INDEX(工程マスタ!$I:$I,$AN46)="○",$E46=AA$3),"▼",""))</f>
        <v/>
      </c>
      <c r="AB46" s="31" t="str">
        <f aca="false">IF(OR($AN46=0,AB$3=""),"",IF(AND(INDEX(工程マスタ!$I:$I,$AN46)="○",$E46=AB$3),"▼",""))</f>
        <v/>
      </c>
      <c r="AC46" s="31" t="str">
        <f aca="false">IF(OR($AN46=0,AC$3=""),"",IF(AND(INDEX(工程マスタ!$I:$I,$AN46)="○",$E46=AC$3),"▼",""))</f>
        <v/>
      </c>
      <c r="AD46" s="31" t="str">
        <f aca="false">IF(OR($AN46=0,AD$3=""),"",IF(AND(INDEX(工程マスタ!$I:$I,$AN46)="○",$E46=AD$3),"▼",""))</f>
        <v/>
      </c>
      <c r="AE46" s="31" t="str">
        <f aca="false">IF(OR($AN46=0,AE$3=""),"",IF(AND(INDEX(工程マスタ!$I:$I,$AN46)="○",$E46=AE$3),"▼",""))</f>
        <v/>
      </c>
      <c r="AF46" s="31" t="str">
        <f aca="false">IF(OR($AN46=0,AF$3=""),"",IF(AND(INDEX(工程マスタ!$I:$I,$AN46)="○",$E46=AF$3),"▼",""))</f>
        <v/>
      </c>
      <c r="AG46" s="31" t="str">
        <f aca="false">IF(OR($AN46=0,AG$3=""),"",IF(AND(INDEX(工程マスタ!$I:$I,$AN46)="○",$E46=AG$3),"▼",""))</f>
        <v/>
      </c>
      <c r="AH46" s="31" t="str">
        <f aca="false">IF(OR($AN46=0,AH$3=""),"",IF(AND(INDEX(工程マスタ!$I:$I,$AN46)="○",$E46=AH$3),"▼",""))</f>
        <v/>
      </c>
      <c r="AI46" s="31" t="str">
        <f aca="false">IF(OR($AN46=0,AI$3=""),"",IF(AND(INDEX(工程マスタ!$I:$I,$AN46)="○",$E46=AI$3),"▼",""))</f>
        <v/>
      </c>
      <c r="AJ46" s="31" t="str">
        <f aca="false">IF(OR($AN46=0,AJ$3=""),"",IF(AND(INDEX(工程マスタ!$I:$I,$AN46)="○",$E46=AJ$3),"▼",""))</f>
        <v/>
      </c>
      <c r="AK46" s="31" t="str">
        <f aca="false">IF(OR($AN46=0,AK$3=""),"",IF(AND(INDEX(工程マスタ!$I:$I,$AN46)="○",$E46=AK$3),"▼",""))</f>
        <v/>
      </c>
      <c r="AL46" s="31" t="str">
        <f aca="false">IF(OR($AN46=0,AL$3=""),"",IF(AND(INDEX(工程マスタ!$I:$I,$AN46)="○",$E46=AL$3),"▼",""))</f>
        <v/>
      </c>
      <c r="AN46" s="27" t="n">
        <f aca="false" t="array" ref="AN46:AN46">IFERROR(SMALL(IF((工程マスタ!$K$5:$K$154&gt;0)*(工程マスタ!$K$5:$K$154&lt;=$AN$2)*(工程マスタ!$L$5:$L$154&gt;=$AN$1),ROW(工程マスタ!$C$5:$C$154)),40),0)</f>
        <v>0</v>
      </c>
      <c r="AO46" s="27" t="n">
        <f aca="false">IF($AN46=0,0,INDEX(工程マスタ!$M:$M,$AN46))</f>
        <v>0</v>
      </c>
    </row>
    <row r="47" customFormat="false" ht="15" hidden="false" customHeight="false" outlineLevel="0" collapsed="false">
      <c r="A47" s="28" t="str">
        <f aca="false">IF($AN47=0,"",IF(INDEX(工程マスタ!$A:$A,$AN47)="","",INDEX(工程マスタ!$A:$A,$AN47)))</f>
        <v/>
      </c>
      <c r="B47" s="21" t="str">
        <f aca="false">IF($AN47=0,"",IF(INDEX(工程マスタ!$B:$B,$AN47)="","",INDEX(工程マスタ!$B:$B,$AN47)))</f>
        <v/>
      </c>
      <c r="C47" s="21" t="str">
        <f aca="false">IF($AN47=0,"",IF(INDEX(工程マスタ!$C:$C,$AN47)="","",INDEX(工程マスタ!$C:$C,$AN47)))</f>
        <v/>
      </c>
      <c r="D47" s="21" t="str">
        <f aca="false">IF($AN47=0,"",IF(INDEX(工程マスタ!$D:$D,$AN47)="","",INDEX(工程マスタ!$D:$D,$AN47)))</f>
        <v/>
      </c>
      <c r="E47" s="29" t="str">
        <f aca="false">IF($AN47=0,"",IF(INDEX(工程マスタ!$E:$E,$AN47)="","",INDEX(工程マスタ!$E:$E,$AN47)))</f>
        <v/>
      </c>
      <c r="F47" s="29" t="str">
        <f aca="false">IF($AN47=0,"",IF(INDEX(工程マスタ!$F:$F,$AN47)="","",INDEX(工程マスタ!$F:$F,$AN47)))</f>
        <v/>
      </c>
      <c r="G47" s="30" t="str">
        <f aca="false">IF($AN47=0,"",IF(INDEX(工程マスタ!$H:$H,$AN47)="","",INDEX(工程マスタ!$H:$H,$AN47)))</f>
        <v/>
      </c>
      <c r="H47" s="31" t="str">
        <f aca="false">IF(OR($AN47=0,H$3=""),"",IF(AND(INDEX(工程マスタ!$I:$I,$AN47)="○",$E47=H$3),"▼",""))</f>
        <v/>
      </c>
      <c r="I47" s="31" t="str">
        <f aca="false">IF(OR($AN47=0,I$3=""),"",IF(AND(INDEX(工程マスタ!$I:$I,$AN47)="○",$E47=I$3),"▼",""))</f>
        <v/>
      </c>
      <c r="J47" s="31" t="str">
        <f aca="false">IF(OR($AN47=0,J$3=""),"",IF(AND(INDEX(工程マスタ!$I:$I,$AN47)="○",$E47=J$3),"▼",""))</f>
        <v/>
      </c>
      <c r="K47" s="31" t="str">
        <f aca="false">IF(OR($AN47=0,K$3=""),"",IF(AND(INDEX(工程マスタ!$I:$I,$AN47)="○",$E47=K$3),"▼",""))</f>
        <v/>
      </c>
      <c r="L47" s="31" t="str">
        <f aca="false">IF(OR($AN47=0,L$3=""),"",IF(AND(INDEX(工程マスタ!$I:$I,$AN47)="○",$E47=L$3),"▼",""))</f>
        <v/>
      </c>
      <c r="M47" s="31" t="str">
        <f aca="false">IF(OR($AN47=0,M$3=""),"",IF(AND(INDEX(工程マスタ!$I:$I,$AN47)="○",$E47=M$3),"▼",""))</f>
        <v/>
      </c>
      <c r="N47" s="31" t="str">
        <f aca="false">IF(OR($AN47=0,N$3=""),"",IF(AND(INDEX(工程マスタ!$I:$I,$AN47)="○",$E47=N$3),"▼",""))</f>
        <v/>
      </c>
      <c r="O47" s="31" t="str">
        <f aca="false">IF(OR($AN47=0,O$3=""),"",IF(AND(INDEX(工程マスタ!$I:$I,$AN47)="○",$E47=O$3),"▼",""))</f>
        <v/>
      </c>
      <c r="P47" s="31" t="str">
        <f aca="false">IF(OR($AN47=0,P$3=""),"",IF(AND(INDEX(工程マスタ!$I:$I,$AN47)="○",$E47=P$3),"▼",""))</f>
        <v/>
      </c>
      <c r="Q47" s="31" t="str">
        <f aca="false">IF(OR($AN47=0,Q$3=""),"",IF(AND(INDEX(工程マスタ!$I:$I,$AN47)="○",$E47=Q$3),"▼",""))</f>
        <v/>
      </c>
      <c r="R47" s="31" t="str">
        <f aca="false">IF(OR($AN47=0,R$3=""),"",IF(AND(INDEX(工程マスタ!$I:$I,$AN47)="○",$E47=R$3),"▼",""))</f>
        <v/>
      </c>
      <c r="S47" s="31" t="str">
        <f aca="false">IF(OR($AN47=0,S$3=""),"",IF(AND(INDEX(工程マスタ!$I:$I,$AN47)="○",$E47=S$3),"▼",""))</f>
        <v/>
      </c>
      <c r="T47" s="31" t="str">
        <f aca="false">IF(OR($AN47=0,T$3=""),"",IF(AND(INDEX(工程マスタ!$I:$I,$AN47)="○",$E47=T$3),"▼",""))</f>
        <v/>
      </c>
      <c r="U47" s="31" t="str">
        <f aca="false">IF(OR($AN47=0,U$3=""),"",IF(AND(INDEX(工程マスタ!$I:$I,$AN47)="○",$E47=U$3),"▼",""))</f>
        <v/>
      </c>
      <c r="V47" s="31" t="str">
        <f aca="false">IF(OR($AN47=0,V$3=""),"",IF(AND(INDEX(工程マスタ!$I:$I,$AN47)="○",$E47=V$3),"▼",""))</f>
        <v/>
      </c>
      <c r="W47" s="31" t="str">
        <f aca="false">IF(OR($AN47=0,W$3=""),"",IF(AND(INDEX(工程マスタ!$I:$I,$AN47)="○",$E47=W$3),"▼",""))</f>
        <v/>
      </c>
      <c r="X47" s="31" t="str">
        <f aca="false">IF(OR($AN47=0,X$3=""),"",IF(AND(INDEX(工程マスタ!$I:$I,$AN47)="○",$E47=X$3),"▼",""))</f>
        <v/>
      </c>
      <c r="Y47" s="31" t="str">
        <f aca="false">IF(OR($AN47=0,Y$3=""),"",IF(AND(INDEX(工程マスタ!$I:$I,$AN47)="○",$E47=Y$3),"▼",""))</f>
        <v/>
      </c>
      <c r="Z47" s="31" t="str">
        <f aca="false">IF(OR($AN47=0,Z$3=""),"",IF(AND(INDEX(工程マスタ!$I:$I,$AN47)="○",$E47=Z$3),"▼",""))</f>
        <v/>
      </c>
      <c r="AA47" s="31" t="str">
        <f aca="false">IF(OR($AN47=0,AA$3=""),"",IF(AND(INDEX(工程マスタ!$I:$I,$AN47)="○",$E47=AA$3),"▼",""))</f>
        <v/>
      </c>
      <c r="AB47" s="31" t="str">
        <f aca="false">IF(OR($AN47=0,AB$3=""),"",IF(AND(INDEX(工程マスタ!$I:$I,$AN47)="○",$E47=AB$3),"▼",""))</f>
        <v/>
      </c>
      <c r="AC47" s="31" t="str">
        <f aca="false">IF(OR($AN47=0,AC$3=""),"",IF(AND(INDEX(工程マスタ!$I:$I,$AN47)="○",$E47=AC$3),"▼",""))</f>
        <v/>
      </c>
      <c r="AD47" s="31" t="str">
        <f aca="false">IF(OR($AN47=0,AD$3=""),"",IF(AND(INDEX(工程マスタ!$I:$I,$AN47)="○",$E47=AD$3),"▼",""))</f>
        <v/>
      </c>
      <c r="AE47" s="31" t="str">
        <f aca="false">IF(OR($AN47=0,AE$3=""),"",IF(AND(INDEX(工程マスタ!$I:$I,$AN47)="○",$E47=AE$3),"▼",""))</f>
        <v/>
      </c>
      <c r="AF47" s="31" t="str">
        <f aca="false">IF(OR($AN47=0,AF$3=""),"",IF(AND(INDEX(工程マスタ!$I:$I,$AN47)="○",$E47=AF$3),"▼",""))</f>
        <v/>
      </c>
      <c r="AG47" s="31" t="str">
        <f aca="false">IF(OR($AN47=0,AG$3=""),"",IF(AND(INDEX(工程マスタ!$I:$I,$AN47)="○",$E47=AG$3),"▼",""))</f>
        <v/>
      </c>
      <c r="AH47" s="31" t="str">
        <f aca="false">IF(OR($AN47=0,AH$3=""),"",IF(AND(INDEX(工程マスタ!$I:$I,$AN47)="○",$E47=AH$3),"▼",""))</f>
        <v/>
      </c>
      <c r="AI47" s="31" t="str">
        <f aca="false">IF(OR($AN47=0,AI$3=""),"",IF(AND(INDEX(工程マスタ!$I:$I,$AN47)="○",$E47=AI$3),"▼",""))</f>
        <v/>
      </c>
      <c r="AJ47" s="31" t="str">
        <f aca="false">IF(OR($AN47=0,AJ$3=""),"",IF(AND(INDEX(工程マスタ!$I:$I,$AN47)="○",$E47=AJ$3),"▼",""))</f>
        <v/>
      </c>
      <c r="AK47" s="31" t="str">
        <f aca="false">IF(OR($AN47=0,AK$3=""),"",IF(AND(INDEX(工程マスタ!$I:$I,$AN47)="○",$E47=AK$3),"▼",""))</f>
        <v/>
      </c>
      <c r="AL47" s="31" t="str">
        <f aca="false">IF(OR($AN47=0,AL$3=""),"",IF(AND(INDEX(工程マスタ!$I:$I,$AN47)="○",$E47=AL$3),"▼",""))</f>
        <v/>
      </c>
      <c r="AN47" s="27" t="n">
        <f aca="false" t="array" ref="AN47:AN47">IFERROR(SMALL(IF((工程マスタ!$K$5:$K$154&gt;0)*(工程マスタ!$K$5:$K$154&lt;=$AN$2)*(工程マスタ!$L$5:$L$154&gt;=$AN$1),ROW(工程マスタ!$C$5:$C$154)),41),0)</f>
        <v>0</v>
      </c>
      <c r="AO47" s="27" t="n">
        <f aca="false">IF($AN47=0,0,INDEX(工程マスタ!$M:$M,$AN47))</f>
        <v>0</v>
      </c>
    </row>
    <row r="48" customFormat="false" ht="15" hidden="false" customHeight="false" outlineLevel="0" collapsed="false">
      <c r="A48" s="28" t="str">
        <f aca="false">IF($AN48=0,"",IF(INDEX(工程マスタ!$A:$A,$AN48)="","",INDEX(工程マスタ!$A:$A,$AN48)))</f>
        <v/>
      </c>
      <c r="B48" s="21" t="str">
        <f aca="false">IF($AN48=0,"",IF(INDEX(工程マスタ!$B:$B,$AN48)="","",INDEX(工程マスタ!$B:$B,$AN48)))</f>
        <v/>
      </c>
      <c r="C48" s="21" t="str">
        <f aca="false">IF($AN48=0,"",IF(INDEX(工程マスタ!$C:$C,$AN48)="","",INDEX(工程マスタ!$C:$C,$AN48)))</f>
        <v/>
      </c>
      <c r="D48" s="21" t="str">
        <f aca="false">IF($AN48=0,"",IF(INDEX(工程マスタ!$D:$D,$AN48)="","",INDEX(工程マスタ!$D:$D,$AN48)))</f>
        <v/>
      </c>
      <c r="E48" s="29" t="str">
        <f aca="false">IF($AN48=0,"",IF(INDEX(工程マスタ!$E:$E,$AN48)="","",INDEX(工程マスタ!$E:$E,$AN48)))</f>
        <v/>
      </c>
      <c r="F48" s="29" t="str">
        <f aca="false">IF($AN48=0,"",IF(INDEX(工程マスタ!$F:$F,$AN48)="","",INDEX(工程マスタ!$F:$F,$AN48)))</f>
        <v/>
      </c>
      <c r="G48" s="30" t="str">
        <f aca="false">IF($AN48=0,"",IF(INDEX(工程マスタ!$H:$H,$AN48)="","",INDEX(工程マスタ!$H:$H,$AN48)))</f>
        <v/>
      </c>
      <c r="H48" s="31" t="str">
        <f aca="false">IF(OR($AN48=0,H$3=""),"",IF(AND(INDEX(工程マスタ!$I:$I,$AN48)="○",$E48=H$3),"▼",""))</f>
        <v/>
      </c>
      <c r="I48" s="31" t="str">
        <f aca="false">IF(OR($AN48=0,I$3=""),"",IF(AND(INDEX(工程マスタ!$I:$I,$AN48)="○",$E48=I$3),"▼",""))</f>
        <v/>
      </c>
      <c r="J48" s="31" t="str">
        <f aca="false">IF(OR($AN48=0,J$3=""),"",IF(AND(INDEX(工程マスタ!$I:$I,$AN48)="○",$E48=J$3),"▼",""))</f>
        <v/>
      </c>
      <c r="K48" s="31" t="str">
        <f aca="false">IF(OR($AN48=0,K$3=""),"",IF(AND(INDEX(工程マスタ!$I:$I,$AN48)="○",$E48=K$3),"▼",""))</f>
        <v/>
      </c>
      <c r="L48" s="31" t="str">
        <f aca="false">IF(OR($AN48=0,L$3=""),"",IF(AND(INDEX(工程マスタ!$I:$I,$AN48)="○",$E48=L$3),"▼",""))</f>
        <v/>
      </c>
      <c r="M48" s="31" t="str">
        <f aca="false">IF(OR($AN48=0,M$3=""),"",IF(AND(INDEX(工程マスタ!$I:$I,$AN48)="○",$E48=M$3),"▼",""))</f>
        <v/>
      </c>
      <c r="N48" s="31" t="str">
        <f aca="false">IF(OR($AN48=0,N$3=""),"",IF(AND(INDEX(工程マスタ!$I:$I,$AN48)="○",$E48=N$3),"▼",""))</f>
        <v/>
      </c>
      <c r="O48" s="31" t="str">
        <f aca="false">IF(OR($AN48=0,O$3=""),"",IF(AND(INDEX(工程マスタ!$I:$I,$AN48)="○",$E48=O$3),"▼",""))</f>
        <v/>
      </c>
      <c r="P48" s="31" t="str">
        <f aca="false">IF(OR($AN48=0,P$3=""),"",IF(AND(INDEX(工程マスタ!$I:$I,$AN48)="○",$E48=P$3),"▼",""))</f>
        <v/>
      </c>
      <c r="Q48" s="31" t="str">
        <f aca="false">IF(OR($AN48=0,Q$3=""),"",IF(AND(INDEX(工程マスタ!$I:$I,$AN48)="○",$E48=Q$3),"▼",""))</f>
        <v/>
      </c>
      <c r="R48" s="31" t="str">
        <f aca="false">IF(OR($AN48=0,R$3=""),"",IF(AND(INDEX(工程マスタ!$I:$I,$AN48)="○",$E48=R$3),"▼",""))</f>
        <v/>
      </c>
      <c r="S48" s="31" t="str">
        <f aca="false">IF(OR($AN48=0,S$3=""),"",IF(AND(INDEX(工程マスタ!$I:$I,$AN48)="○",$E48=S$3),"▼",""))</f>
        <v/>
      </c>
      <c r="T48" s="31" t="str">
        <f aca="false">IF(OR($AN48=0,T$3=""),"",IF(AND(INDEX(工程マスタ!$I:$I,$AN48)="○",$E48=T$3),"▼",""))</f>
        <v/>
      </c>
      <c r="U48" s="31" t="str">
        <f aca="false">IF(OR($AN48=0,U$3=""),"",IF(AND(INDEX(工程マスタ!$I:$I,$AN48)="○",$E48=U$3),"▼",""))</f>
        <v/>
      </c>
      <c r="V48" s="31" t="str">
        <f aca="false">IF(OR($AN48=0,V$3=""),"",IF(AND(INDEX(工程マスタ!$I:$I,$AN48)="○",$E48=V$3),"▼",""))</f>
        <v/>
      </c>
      <c r="W48" s="31" t="str">
        <f aca="false">IF(OR($AN48=0,W$3=""),"",IF(AND(INDEX(工程マスタ!$I:$I,$AN48)="○",$E48=W$3),"▼",""))</f>
        <v/>
      </c>
      <c r="X48" s="31" t="str">
        <f aca="false">IF(OR($AN48=0,X$3=""),"",IF(AND(INDEX(工程マスタ!$I:$I,$AN48)="○",$E48=X$3),"▼",""))</f>
        <v/>
      </c>
      <c r="Y48" s="31" t="str">
        <f aca="false">IF(OR($AN48=0,Y$3=""),"",IF(AND(INDEX(工程マスタ!$I:$I,$AN48)="○",$E48=Y$3),"▼",""))</f>
        <v/>
      </c>
      <c r="Z48" s="31" t="str">
        <f aca="false">IF(OR($AN48=0,Z$3=""),"",IF(AND(INDEX(工程マスタ!$I:$I,$AN48)="○",$E48=Z$3),"▼",""))</f>
        <v/>
      </c>
      <c r="AA48" s="31" t="str">
        <f aca="false">IF(OR($AN48=0,AA$3=""),"",IF(AND(INDEX(工程マスタ!$I:$I,$AN48)="○",$E48=AA$3),"▼",""))</f>
        <v/>
      </c>
      <c r="AB48" s="31" t="str">
        <f aca="false">IF(OR($AN48=0,AB$3=""),"",IF(AND(INDEX(工程マスタ!$I:$I,$AN48)="○",$E48=AB$3),"▼",""))</f>
        <v/>
      </c>
      <c r="AC48" s="31" t="str">
        <f aca="false">IF(OR($AN48=0,AC$3=""),"",IF(AND(INDEX(工程マスタ!$I:$I,$AN48)="○",$E48=AC$3),"▼",""))</f>
        <v/>
      </c>
      <c r="AD48" s="31" t="str">
        <f aca="false">IF(OR($AN48=0,AD$3=""),"",IF(AND(INDEX(工程マスタ!$I:$I,$AN48)="○",$E48=AD$3),"▼",""))</f>
        <v/>
      </c>
      <c r="AE48" s="31" t="str">
        <f aca="false">IF(OR($AN48=0,AE$3=""),"",IF(AND(INDEX(工程マスタ!$I:$I,$AN48)="○",$E48=AE$3),"▼",""))</f>
        <v/>
      </c>
      <c r="AF48" s="31" t="str">
        <f aca="false">IF(OR($AN48=0,AF$3=""),"",IF(AND(INDEX(工程マスタ!$I:$I,$AN48)="○",$E48=AF$3),"▼",""))</f>
        <v/>
      </c>
      <c r="AG48" s="31" t="str">
        <f aca="false">IF(OR($AN48=0,AG$3=""),"",IF(AND(INDEX(工程マスタ!$I:$I,$AN48)="○",$E48=AG$3),"▼",""))</f>
        <v/>
      </c>
      <c r="AH48" s="31" t="str">
        <f aca="false">IF(OR($AN48=0,AH$3=""),"",IF(AND(INDEX(工程マスタ!$I:$I,$AN48)="○",$E48=AH$3),"▼",""))</f>
        <v/>
      </c>
      <c r="AI48" s="31" t="str">
        <f aca="false">IF(OR($AN48=0,AI$3=""),"",IF(AND(INDEX(工程マスタ!$I:$I,$AN48)="○",$E48=AI$3),"▼",""))</f>
        <v/>
      </c>
      <c r="AJ48" s="31" t="str">
        <f aca="false">IF(OR($AN48=0,AJ$3=""),"",IF(AND(INDEX(工程マスタ!$I:$I,$AN48)="○",$E48=AJ$3),"▼",""))</f>
        <v/>
      </c>
      <c r="AK48" s="31" t="str">
        <f aca="false">IF(OR($AN48=0,AK$3=""),"",IF(AND(INDEX(工程マスタ!$I:$I,$AN48)="○",$E48=AK$3),"▼",""))</f>
        <v/>
      </c>
      <c r="AL48" s="31" t="str">
        <f aca="false">IF(OR($AN48=0,AL$3=""),"",IF(AND(INDEX(工程マスタ!$I:$I,$AN48)="○",$E48=AL$3),"▼",""))</f>
        <v/>
      </c>
      <c r="AN48" s="27" t="n">
        <f aca="false" t="array" ref="AN48:AN48">IFERROR(SMALL(IF((工程マスタ!$K$5:$K$154&gt;0)*(工程マスタ!$K$5:$K$154&lt;=$AN$2)*(工程マスタ!$L$5:$L$154&gt;=$AN$1),ROW(工程マスタ!$C$5:$C$154)),42),0)</f>
        <v>0</v>
      </c>
      <c r="AO48" s="27" t="n">
        <f aca="false">IF($AN48=0,0,INDEX(工程マスタ!$M:$M,$AN48))</f>
        <v>0</v>
      </c>
    </row>
    <row r="49" customFormat="false" ht="15" hidden="false" customHeight="false" outlineLevel="0" collapsed="false">
      <c r="A49" s="28" t="str">
        <f aca="false">IF($AN49=0,"",IF(INDEX(工程マスタ!$A:$A,$AN49)="","",INDEX(工程マスタ!$A:$A,$AN49)))</f>
        <v/>
      </c>
      <c r="B49" s="21" t="str">
        <f aca="false">IF($AN49=0,"",IF(INDEX(工程マスタ!$B:$B,$AN49)="","",INDEX(工程マスタ!$B:$B,$AN49)))</f>
        <v/>
      </c>
      <c r="C49" s="21" t="str">
        <f aca="false">IF($AN49=0,"",IF(INDEX(工程マスタ!$C:$C,$AN49)="","",INDEX(工程マスタ!$C:$C,$AN49)))</f>
        <v/>
      </c>
      <c r="D49" s="21" t="str">
        <f aca="false">IF($AN49=0,"",IF(INDEX(工程マスタ!$D:$D,$AN49)="","",INDEX(工程マスタ!$D:$D,$AN49)))</f>
        <v/>
      </c>
      <c r="E49" s="29" t="str">
        <f aca="false">IF($AN49=0,"",IF(INDEX(工程マスタ!$E:$E,$AN49)="","",INDEX(工程マスタ!$E:$E,$AN49)))</f>
        <v/>
      </c>
      <c r="F49" s="29" t="str">
        <f aca="false">IF($AN49=0,"",IF(INDEX(工程マスタ!$F:$F,$AN49)="","",INDEX(工程マスタ!$F:$F,$AN49)))</f>
        <v/>
      </c>
      <c r="G49" s="30" t="str">
        <f aca="false">IF($AN49=0,"",IF(INDEX(工程マスタ!$H:$H,$AN49)="","",INDEX(工程マスタ!$H:$H,$AN49)))</f>
        <v/>
      </c>
      <c r="H49" s="31" t="str">
        <f aca="false">IF(OR($AN49=0,H$3=""),"",IF(AND(INDEX(工程マスタ!$I:$I,$AN49)="○",$E49=H$3),"▼",""))</f>
        <v/>
      </c>
      <c r="I49" s="31" t="str">
        <f aca="false">IF(OR($AN49=0,I$3=""),"",IF(AND(INDEX(工程マスタ!$I:$I,$AN49)="○",$E49=I$3),"▼",""))</f>
        <v/>
      </c>
      <c r="J49" s="31" t="str">
        <f aca="false">IF(OR($AN49=0,J$3=""),"",IF(AND(INDEX(工程マスタ!$I:$I,$AN49)="○",$E49=J$3),"▼",""))</f>
        <v/>
      </c>
      <c r="K49" s="31" t="str">
        <f aca="false">IF(OR($AN49=0,K$3=""),"",IF(AND(INDEX(工程マスタ!$I:$I,$AN49)="○",$E49=K$3),"▼",""))</f>
        <v/>
      </c>
      <c r="L49" s="31" t="str">
        <f aca="false">IF(OR($AN49=0,L$3=""),"",IF(AND(INDEX(工程マスタ!$I:$I,$AN49)="○",$E49=L$3),"▼",""))</f>
        <v/>
      </c>
      <c r="M49" s="31" t="str">
        <f aca="false">IF(OR($AN49=0,M$3=""),"",IF(AND(INDEX(工程マスタ!$I:$I,$AN49)="○",$E49=M$3),"▼",""))</f>
        <v/>
      </c>
      <c r="N49" s="31" t="str">
        <f aca="false">IF(OR($AN49=0,N$3=""),"",IF(AND(INDEX(工程マスタ!$I:$I,$AN49)="○",$E49=N$3),"▼",""))</f>
        <v/>
      </c>
      <c r="O49" s="31" t="str">
        <f aca="false">IF(OR($AN49=0,O$3=""),"",IF(AND(INDEX(工程マスタ!$I:$I,$AN49)="○",$E49=O$3),"▼",""))</f>
        <v/>
      </c>
      <c r="P49" s="31" t="str">
        <f aca="false">IF(OR($AN49=0,P$3=""),"",IF(AND(INDEX(工程マスタ!$I:$I,$AN49)="○",$E49=P$3),"▼",""))</f>
        <v/>
      </c>
      <c r="Q49" s="31" t="str">
        <f aca="false">IF(OR($AN49=0,Q$3=""),"",IF(AND(INDEX(工程マスタ!$I:$I,$AN49)="○",$E49=Q$3),"▼",""))</f>
        <v/>
      </c>
      <c r="R49" s="31" t="str">
        <f aca="false">IF(OR($AN49=0,R$3=""),"",IF(AND(INDEX(工程マスタ!$I:$I,$AN49)="○",$E49=R$3),"▼",""))</f>
        <v/>
      </c>
      <c r="S49" s="31" t="str">
        <f aca="false">IF(OR($AN49=0,S$3=""),"",IF(AND(INDEX(工程マスタ!$I:$I,$AN49)="○",$E49=S$3),"▼",""))</f>
        <v/>
      </c>
      <c r="T49" s="31" t="str">
        <f aca="false">IF(OR($AN49=0,T$3=""),"",IF(AND(INDEX(工程マスタ!$I:$I,$AN49)="○",$E49=T$3),"▼",""))</f>
        <v/>
      </c>
      <c r="U49" s="31" t="str">
        <f aca="false">IF(OR($AN49=0,U$3=""),"",IF(AND(INDEX(工程マスタ!$I:$I,$AN49)="○",$E49=U$3),"▼",""))</f>
        <v/>
      </c>
      <c r="V49" s="31" t="str">
        <f aca="false">IF(OR($AN49=0,V$3=""),"",IF(AND(INDEX(工程マスタ!$I:$I,$AN49)="○",$E49=V$3),"▼",""))</f>
        <v/>
      </c>
      <c r="W49" s="31" t="str">
        <f aca="false">IF(OR($AN49=0,W$3=""),"",IF(AND(INDEX(工程マスタ!$I:$I,$AN49)="○",$E49=W$3),"▼",""))</f>
        <v/>
      </c>
      <c r="X49" s="31" t="str">
        <f aca="false">IF(OR($AN49=0,X$3=""),"",IF(AND(INDEX(工程マスタ!$I:$I,$AN49)="○",$E49=X$3),"▼",""))</f>
        <v/>
      </c>
      <c r="Y49" s="31" t="str">
        <f aca="false">IF(OR($AN49=0,Y$3=""),"",IF(AND(INDEX(工程マスタ!$I:$I,$AN49)="○",$E49=Y$3),"▼",""))</f>
        <v/>
      </c>
      <c r="Z49" s="31" t="str">
        <f aca="false">IF(OR($AN49=0,Z$3=""),"",IF(AND(INDEX(工程マスタ!$I:$I,$AN49)="○",$E49=Z$3),"▼",""))</f>
        <v/>
      </c>
      <c r="AA49" s="31" t="str">
        <f aca="false">IF(OR($AN49=0,AA$3=""),"",IF(AND(INDEX(工程マスタ!$I:$I,$AN49)="○",$E49=AA$3),"▼",""))</f>
        <v/>
      </c>
      <c r="AB49" s="31" t="str">
        <f aca="false">IF(OR($AN49=0,AB$3=""),"",IF(AND(INDEX(工程マスタ!$I:$I,$AN49)="○",$E49=AB$3),"▼",""))</f>
        <v/>
      </c>
      <c r="AC49" s="31" t="str">
        <f aca="false">IF(OR($AN49=0,AC$3=""),"",IF(AND(INDEX(工程マスタ!$I:$I,$AN49)="○",$E49=AC$3),"▼",""))</f>
        <v/>
      </c>
      <c r="AD49" s="31" t="str">
        <f aca="false">IF(OR($AN49=0,AD$3=""),"",IF(AND(INDEX(工程マスタ!$I:$I,$AN49)="○",$E49=AD$3),"▼",""))</f>
        <v/>
      </c>
      <c r="AE49" s="31" t="str">
        <f aca="false">IF(OR($AN49=0,AE$3=""),"",IF(AND(INDEX(工程マスタ!$I:$I,$AN49)="○",$E49=AE$3),"▼",""))</f>
        <v/>
      </c>
      <c r="AF49" s="31" t="str">
        <f aca="false">IF(OR($AN49=0,AF$3=""),"",IF(AND(INDEX(工程マスタ!$I:$I,$AN49)="○",$E49=AF$3),"▼",""))</f>
        <v/>
      </c>
      <c r="AG49" s="31" t="str">
        <f aca="false">IF(OR($AN49=0,AG$3=""),"",IF(AND(INDEX(工程マスタ!$I:$I,$AN49)="○",$E49=AG$3),"▼",""))</f>
        <v/>
      </c>
      <c r="AH49" s="31" t="str">
        <f aca="false">IF(OR($AN49=0,AH$3=""),"",IF(AND(INDEX(工程マスタ!$I:$I,$AN49)="○",$E49=AH$3),"▼",""))</f>
        <v/>
      </c>
      <c r="AI49" s="31" t="str">
        <f aca="false">IF(OR($AN49=0,AI$3=""),"",IF(AND(INDEX(工程マスタ!$I:$I,$AN49)="○",$E49=AI$3),"▼",""))</f>
        <v/>
      </c>
      <c r="AJ49" s="31" t="str">
        <f aca="false">IF(OR($AN49=0,AJ$3=""),"",IF(AND(INDEX(工程マスタ!$I:$I,$AN49)="○",$E49=AJ$3),"▼",""))</f>
        <v/>
      </c>
      <c r="AK49" s="31" t="str">
        <f aca="false">IF(OR($AN49=0,AK$3=""),"",IF(AND(INDEX(工程マスタ!$I:$I,$AN49)="○",$E49=AK$3),"▼",""))</f>
        <v/>
      </c>
      <c r="AL49" s="31" t="str">
        <f aca="false">IF(OR($AN49=0,AL$3=""),"",IF(AND(INDEX(工程マスタ!$I:$I,$AN49)="○",$E49=AL$3),"▼",""))</f>
        <v/>
      </c>
      <c r="AN49" s="27" t="n">
        <f aca="false" t="array" ref="AN49:AN49">IFERROR(SMALL(IF((工程マスタ!$K$5:$K$154&gt;0)*(工程マスタ!$K$5:$K$154&lt;=$AN$2)*(工程マスタ!$L$5:$L$154&gt;=$AN$1),ROW(工程マスタ!$C$5:$C$154)),43),0)</f>
        <v>0</v>
      </c>
      <c r="AO49" s="27" t="n">
        <f aca="false">IF($AN49=0,0,INDEX(工程マスタ!$M:$M,$AN49))</f>
        <v>0</v>
      </c>
    </row>
    <row r="50" customFormat="false" ht="15" hidden="false" customHeight="false" outlineLevel="0" collapsed="false">
      <c r="A50" s="28" t="str">
        <f aca="false">IF($AN50=0,"",IF(INDEX(工程マスタ!$A:$A,$AN50)="","",INDEX(工程マスタ!$A:$A,$AN50)))</f>
        <v/>
      </c>
      <c r="B50" s="21" t="str">
        <f aca="false">IF($AN50=0,"",IF(INDEX(工程マスタ!$B:$B,$AN50)="","",INDEX(工程マスタ!$B:$B,$AN50)))</f>
        <v/>
      </c>
      <c r="C50" s="21" t="str">
        <f aca="false">IF($AN50=0,"",IF(INDEX(工程マスタ!$C:$C,$AN50)="","",INDEX(工程マスタ!$C:$C,$AN50)))</f>
        <v/>
      </c>
      <c r="D50" s="21" t="str">
        <f aca="false">IF($AN50=0,"",IF(INDEX(工程マスタ!$D:$D,$AN50)="","",INDEX(工程マスタ!$D:$D,$AN50)))</f>
        <v/>
      </c>
      <c r="E50" s="29" t="str">
        <f aca="false">IF($AN50=0,"",IF(INDEX(工程マスタ!$E:$E,$AN50)="","",INDEX(工程マスタ!$E:$E,$AN50)))</f>
        <v/>
      </c>
      <c r="F50" s="29" t="str">
        <f aca="false">IF($AN50=0,"",IF(INDEX(工程マスタ!$F:$F,$AN50)="","",INDEX(工程マスタ!$F:$F,$AN50)))</f>
        <v/>
      </c>
      <c r="G50" s="30" t="str">
        <f aca="false">IF($AN50=0,"",IF(INDEX(工程マスタ!$H:$H,$AN50)="","",INDEX(工程マスタ!$H:$H,$AN50)))</f>
        <v/>
      </c>
      <c r="H50" s="31" t="str">
        <f aca="false">IF(OR($AN50=0,H$3=""),"",IF(AND(INDEX(工程マスタ!$I:$I,$AN50)="○",$E50=H$3),"▼",""))</f>
        <v/>
      </c>
      <c r="I50" s="31" t="str">
        <f aca="false">IF(OR($AN50=0,I$3=""),"",IF(AND(INDEX(工程マスタ!$I:$I,$AN50)="○",$E50=I$3),"▼",""))</f>
        <v/>
      </c>
      <c r="J50" s="31" t="str">
        <f aca="false">IF(OR($AN50=0,J$3=""),"",IF(AND(INDEX(工程マスタ!$I:$I,$AN50)="○",$E50=J$3),"▼",""))</f>
        <v/>
      </c>
      <c r="K50" s="31" t="str">
        <f aca="false">IF(OR($AN50=0,K$3=""),"",IF(AND(INDEX(工程マスタ!$I:$I,$AN50)="○",$E50=K$3),"▼",""))</f>
        <v/>
      </c>
      <c r="L50" s="31" t="str">
        <f aca="false">IF(OR($AN50=0,L$3=""),"",IF(AND(INDEX(工程マスタ!$I:$I,$AN50)="○",$E50=L$3),"▼",""))</f>
        <v/>
      </c>
      <c r="M50" s="31" t="str">
        <f aca="false">IF(OR($AN50=0,M$3=""),"",IF(AND(INDEX(工程マスタ!$I:$I,$AN50)="○",$E50=M$3),"▼",""))</f>
        <v/>
      </c>
      <c r="N50" s="31" t="str">
        <f aca="false">IF(OR($AN50=0,N$3=""),"",IF(AND(INDEX(工程マスタ!$I:$I,$AN50)="○",$E50=N$3),"▼",""))</f>
        <v/>
      </c>
      <c r="O50" s="31" t="str">
        <f aca="false">IF(OR($AN50=0,O$3=""),"",IF(AND(INDEX(工程マスタ!$I:$I,$AN50)="○",$E50=O$3),"▼",""))</f>
        <v/>
      </c>
      <c r="P50" s="31" t="str">
        <f aca="false">IF(OR($AN50=0,P$3=""),"",IF(AND(INDEX(工程マスタ!$I:$I,$AN50)="○",$E50=P$3),"▼",""))</f>
        <v/>
      </c>
      <c r="Q50" s="31" t="str">
        <f aca="false">IF(OR($AN50=0,Q$3=""),"",IF(AND(INDEX(工程マスタ!$I:$I,$AN50)="○",$E50=Q$3),"▼",""))</f>
        <v/>
      </c>
      <c r="R50" s="31" t="str">
        <f aca="false">IF(OR($AN50=0,R$3=""),"",IF(AND(INDEX(工程マスタ!$I:$I,$AN50)="○",$E50=R$3),"▼",""))</f>
        <v/>
      </c>
      <c r="S50" s="31" t="str">
        <f aca="false">IF(OR($AN50=0,S$3=""),"",IF(AND(INDEX(工程マスタ!$I:$I,$AN50)="○",$E50=S$3),"▼",""))</f>
        <v/>
      </c>
      <c r="T50" s="31" t="str">
        <f aca="false">IF(OR($AN50=0,T$3=""),"",IF(AND(INDEX(工程マスタ!$I:$I,$AN50)="○",$E50=T$3),"▼",""))</f>
        <v/>
      </c>
      <c r="U50" s="31" t="str">
        <f aca="false">IF(OR($AN50=0,U$3=""),"",IF(AND(INDEX(工程マスタ!$I:$I,$AN50)="○",$E50=U$3),"▼",""))</f>
        <v/>
      </c>
      <c r="V50" s="31" t="str">
        <f aca="false">IF(OR($AN50=0,V$3=""),"",IF(AND(INDEX(工程マスタ!$I:$I,$AN50)="○",$E50=V$3),"▼",""))</f>
        <v/>
      </c>
      <c r="W50" s="31" t="str">
        <f aca="false">IF(OR($AN50=0,W$3=""),"",IF(AND(INDEX(工程マスタ!$I:$I,$AN50)="○",$E50=W$3),"▼",""))</f>
        <v/>
      </c>
      <c r="X50" s="31" t="str">
        <f aca="false">IF(OR($AN50=0,X$3=""),"",IF(AND(INDEX(工程マスタ!$I:$I,$AN50)="○",$E50=X$3),"▼",""))</f>
        <v/>
      </c>
      <c r="Y50" s="31" t="str">
        <f aca="false">IF(OR($AN50=0,Y$3=""),"",IF(AND(INDEX(工程マスタ!$I:$I,$AN50)="○",$E50=Y$3),"▼",""))</f>
        <v/>
      </c>
      <c r="Z50" s="31" t="str">
        <f aca="false">IF(OR($AN50=0,Z$3=""),"",IF(AND(INDEX(工程マスタ!$I:$I,$AN50)="○",$E50=Z$3),"▼",""))</f>
        <v/>
      </c>
      <c r="AA50" s="31" t="str">
        <f aca="false">IF(OR($AN50=0,AA$3=""),"",IF(AND(INDEX(工程マスタ!$I:$I,$AN50)="○",$E50=AA$3),"▼",""))</f>
        <v/>
      </c>
      <c r="AB50" s="31" t="str">
        <f aca="false">IF(OR($AN50=0,AB$3=""),"",IF(AND(INDEX(工程マスタ!$I:$I,$AN50)="○",$E50=AB$3),"▼",""))</f>
        <v/>
      </c>
      <c r="AC50" s="31" t="str">
        <f aca="false">IF(OR($AN50=0,AC$3=""),"",IF(AND(INDEX(工程マスタ!$I:$I,$AN50)="○",$E50=AC$3),"▼",""))</f>
        <v/>
      </c>
      <c r="AD50" s="31" t="str">
        <f aca="false">IF(OR($AN50=0,AD$3=""),"",IF(AND(INDEX(工程マスタ!$I:$I,$AN50)="○",$E50=AD$3),"▼",""))</f>
        <v/>
      </c>
      <c r="AE50" s="31" t="str">
        <f aca="false">IF(OR($AN50=0,AE$3=""),"",IF(AND(INDEX(工程マスタ!$I:$I,$AN50)="○",$E50=AE$3),"▼",""))</f>
        <v/>
      </c>
      <c r="AF50" s="31" t="str">
        <f aca="false">IF(OR($AN50=0,AF$3=""),"",IF(AND(INDEX(工程マスタ!$I:$I,$AN50)="○",$E50=AF$3),"▼",""))</f>
        <v/>
      </c>
      <c r="AG50" s="31" t="str">
        <f aca="false">IF(OR($AN50=0,AG$3=""),"",IF(AND(INDEX(工程マスタ!$I:$I,$AN50)="○",$E50=AG$3),"▼",""))</f>
        <v/>
      </c>
      <c r="AH50" s="31" t="str">
        <f aca="false">IF(OR($AN50=0,AH$3=""),"",IF(AND(INDEX(工程マスタ!$I:$I,$AN50)="○",$E50=AH$3),"▼",""))</f>
        <v/>
      </c>
      <c r="AI50" s="31" t="str">
        <f aca="false">IF(OR($AN50=0,AI$3=""),"",IF(AND(INDEX(工程マスタ!$I:$I,$AN50)="○",$E50=AI$3),"▼",""))</f>
        <v/>
      </c>
      <c r="AJ50" s="31" t="str">
        <f aca="false">IF(OR($AN50=0,AJ$3=""),"",IF(AND(INDEX(工程マスタ!$I:$I,$AN50)="○",$E50=AJ$3),"▼",""))</f>
        <v/>
      </c>
      <c r="AK50" s="31" t="str">
        <f aca="false">IF(OR($AN50=0,AK$3=""),"",IF(AND(INDEX(工程マスタ!$I:$I,$AN50)="○",$E50=AK$3),"▼",""))</f>
        <v/>
      </c>
      <c r="AL50" s="31" t="str">
        <f aca="false">IF(OR($AN50=0,AL$3=""),"",IF(AND(INDEX(工程マスタ!$I:$I,$AN50)="○",$E50=AL$3),"▼",""))</f>
        <v/>
      </c>
      <c r="AN50" s="27" t="n">
        <f aca="false" t="array" ref="AN50:AN50">IFERROR(SMALL(IF((工程マスタ!$K$5:$K$154&gt;0)*(工程マスタ!$K$5:$K$154&lt;=$AN$2)*(工程マスタ!$L$5:$L$154&gt;=$AN$1),ROW(工程マスタ!$C$5:$C$154)),44),0)</f>
        <v>0</v>
      </c>
      <c r="AO50" s="27" t="n">
        <f aca="false">IF($AN50=0,0,INDEX(工程マスタ!$M:$M,$AN50))</f>
        <v>0</v>
      </c>
    </row>
    <row r="51" customFormat="false" ht="15" hidden="false" customHeight="false" outlineLevel="0" collapsed="false">
      <c r="A51" s="28" t="str">
        <f aca="false">IF($AN51=0,"",IF(INDEX(工程マスタ!$A:$A,$AN51)="","",INDEX(工程マスタ!$A:$A,$AN51)))</f>
        <v/>
      </c>
      <c r="B51" s="21" t="str">
        <f aca="false">IF($AN51=0,"",IF(INDEX(工程マスタ!$B:$B,$AN51)="","",INDEX(工程マスタ!$B:$B,$AN51)))</f>
        <v/>
      </c>
      <c r="C51" s="21" t="str">
        <f aca="false">IF($AN51=0,"",IF(INDEX(工程マスタ!$C:$C,$AN51)="","",INDEX(工程マスタ!$C:$C,$AN51)))</f>
        <v/>
      </c>
      <c r="D51" s="21" t="str">
        <f aca="false">IF($AN51=0,"",IF(INDEX(工程マスタ!$D:$D,$AN51)="","",INDEX(工程マスタ!$D:$D,$AN51)))</f>
        <v/>
      </c>
      <c r="E51" s="29" t="str">
        <f aca="false">IF($AN51=0,"",IF(INDEX(工程マスタ!$E:$E,$AN51)="","",INDEX(工程マスタ!$E:$E,$AN51)))</f>
        <v/>
      </c>
      <c r="F51" s="29" t="str">
        <f aca="false">IF($AN51=0,"",IF(INDEX(工程マスタ!$F:$F,$AN51)="","",INDEX(工程マスタ!$F:$F,$AN51)))</f>
        <v/>
      </c>
      <c r="G51" s="30" t="str">
        <f aca="false">IF($AN51=0,"",IF(INDEX(工程マスタ!$H:$H,$AN51)="","",INDEX(工程マスタ!$H:$H,$AN51)))</f>
        <v/>
      </c>
      <c r="H51" s="31" t="str">
        <f aca="false">IF(OR($AN51=0,H$3=""),"",IF(AND(INDEX(工程マスタ!$I:$I,$AN51)="○",$E51=H$3),"▼",""))</f>
        <v/>
      </c>
      <c r="I51" s="31" t="str">
        <f aca="false">IF(OR($AN51=0,I$3=""),"",IF(AND(INDEX(工程マスタ!$I:$I,$AN51)="○",$E51=I$3),"▼",""))</f>
        <v/>
      </c>
      <c r="J51" s="31" t="str">
        <f aca="false">IF(OR($AN51=0,J$3=""),"",IF(AND(INDEX(工程マスタ!$I:$I,$AN51)="○",$E51=J$3),"▼",""))</f>
        <v/>
      </c>
      <c r="K51" s="31" t="str">
        <f aca="false">IF(OR($AN51=0,K$3=""),"",IF(AND(INDEX(工程マスタ!$I:$I,$AN51)="○",$E51=K$3),"▼",""))</f>
        <v/>
      </c>
      <c r="L51" s="31" t="str">
        <f aca="false">IF(OR($AN51=0,L$3=""),"",IF(AND(INDEX(工程マスタ!$I:$I,$AN51)="○",$E51=L$3),"▼",""))</f>
        <v/>
      </c>
      <c r="M51" s="31" t="str">
        <f aca="false">IF(OR($AN51=0,M$3=""),"",IF(AND(INDEX(工程マスタ!$I:$I,$AN51)="○",$E51=M$3),"▼",""))</f>
        <v/>
      </c>
      <c r="N51" s="31" t="str">
        <f aca="false">IF(OR($AN51=0,N$3=""),"",IF(AND(INDEX(工程マスタ!$I:$I,$AN51)="○",$E51=N$3),"▼",""))</f>
        <v/>
      </c>
      <c r="O51" s="31" t="str">
        <f aca="false">IF(OR($AN51=0,O$3=""),"",IF(AND(INDEX(工程マスタ!$I:$I,$AN51)="○",$E51=O$3),"▼",""))</f>
        <v/>
      </c>
      <c r="P51" s="31" t="str">
        <f aca="false">IF(OR($AN51=0,P$3=""),"",IF(AND(INDEX(工程マスタ!$I:$I,$AN51)="○",$E51=P$3),"▼",""))</f>
        <v/>
      </c>
      <c r="Q51" s="31" t="str">
        <f aca="false">IF(OR($AN51=0,Q$3=""),"",IF(AND(INDEX(工程マスタ!$I:$I,$AN51)="○",$E51=Q$3),"▼",""))</f>
        <v/>
      </c>
      <c r="R51" s="31" t="str">
        <f aca="false">IF(OR($AN51=0,R$3=""),"",IF(AND(INDEX(工程マスタ!$I:$I,$AN51)="○",$E51=R$3),"▼",""))</f>
        <v/>
      </c>
      <c r="S51" s="31" t="str">
        <f aca="false">IF(OR($AN51=0,S$3=""),"",IF(AND(INDEX(工程マスタ!$I:$I,$AN51)="○",$E51=S$3),"▼",""))</f>
        <v/>
      </c>
      <c r="T51" s="31" t="str">
        <f aca="false">IF(OR($AN51=0,T$3=""),"",IF(AND(INDEX(工程マスタ!$I:$I,$AN51)="○",$E51=T$3),"▼",""))</f>
        <v/>
      </c>
      <c r="U51" s="31" t="str">
        <f aca="false">IF(OR($AN51=0,U$3=""),"",IF(AND(INDEX(工程マスタ!$I:$I,$AN51)="○",$E51=U$3),"▼",""))</f>
        <v/>
      </c>
      <c r="V51" s="31" t="str">
        <f aca="false">IF(OR($AN51=0,V$3=""),"",IF(AND(INDEX(工程マスタ!$I:$I,$AN51)="○",$E51=V$3),"▼",""))</f>
        <v/>
      </c>
      <c r="W51" s="31" t="str">
        <f aca="false">IF(OR($AN51=0,W$3=""),"",IF(AND(INDEX(工程マスタ!$I:$I,$AN51)="○",$E51=W$3),"▼",""))</f>
        <v/>
      </c>
      <c r="X51" s="31" t="str">
        <f aca="false">IF(OR($AN51=0,X$3=""),"",IF(AND(INDEX(工程マスタ!$I:$I,$AN51)="○",$E51=X$3),"▼",""))</f>
        <v/>
      </c>
      <c r="Y51" s="31" t="str">
        <f aca="false">IF(OR($AN51=0,Y$3=""),"",IF(AND(INDEX(工程マスタ!$I:$I,$AN51)="○",$E51=Y$3),"▼",""))</f>
        <v/>
      </c>
      <c r="Z51" s="31" t="str">
        <f aca="false">IF(OR($AN51=0,Z$3=""),"",IF(AND(INDEX(工程マスタ!$I:$I,$AN51)="○",$E51=Z$3),"▼",""))</f>
        <v/>
      </c>
      <c r="AA51" s="31" t="str">
        <f aca="false">IF(OR($AN51=0,AA$3=""),"",IF(AND(INDEX(工程マスタ!$I:$I,$AN51)="○",$E51=AA$3),"▼",""))</f>
        <v/>
      </c>
      <c r="AB51" s="31" t="str">
        <f aca="false">IF(OR($AN51=0,AB$3=""),"",IF(AND(INDEX(工程マスタ!$I:$I,$AN51)="○",$E51=AB$3),"▼",""))</f>
        <v/>
      </c>
      <c r="AC51" s="31" t="str">
        <f aca="false">IF(OR($AN51=0,AC$3=""),"",IF(AND(INDEX(工程マスタ!$I:$I,$AN51)="○",$E51=AC$3),"▼",""))</f>
        <v/>
      </c>
      <c r="AD51" s="31" t="str">
        <f aca="false">IF(OR($AN51=0,AD$3=""),"",IF(AND(INDEX(工程マスタ!$I:$I,$AN51)="○",$E51=AD$3),"▼",""))</f>
        <v/>
      </c>
      <c r="AE51" s="31" t="str">
        <f aca="false">IF(OR($AN51=0,AE$3=""),"",IF(AND(INDEX(工程マスタ!$I:$I,$AN51)="○",$E51=AE$3),"▼",""))</f>
        <v/>
      </c>
      <c r="AF51" s="31" t="str">
        <f aca="false">IF(OR($AN51=0,AF$3=""),"",IF(AND(INDEX(工程マスタ!$I:$I,$AN51)="○",$E51=AF$3),"▼",""))</f>
        <v/>
      </c>
      <c r="AG51" s="31" t="str">
        <f aca="false">IF(OR($AN51=0,AG$3=""),"",IF(AND(INDEX(工程マスタ!$I:$I,$AN51)="○",$E51=AG$3),"▼",""))</f>
        <v/>
      </c>
      <c r="AH51" s="31" t="str">
        <f aca="false">IF(OR($AN51=0,AH$3=""),"",IF(AND(INDEX(工程マスタ!$I:$I,$AN51)="○",$E51=AH$3),"▼",""))</f>
        <v/>
      </c>
      <c r="AI51" s="31" t="str">
        <f aca="false">IF(OR($AN51=0,AI$3=""),"",IF(AND(INDEX(工程マスタ!$I:$I,$AN51)="○",$E51=AI$3),"▼",""))</f>
        <v/>
      </c>
      <c r="AJ51" s="31" t="str">
        <f aca="false">IF(OR($AN51=0,AJ$3=""),"",IF(AND(INDEX(工程マスタ!$I:$I,$AN51)="○",$E51=AJ$3),"▼",""))</f>
        <v/>
      </c>
      <c r="AK51" s="31" t="str">
        <f aca="false">IF(OR($AN51=0,AK$3=""),"",IF(AND(INDEX(工程マスタ!$I:$I,$AN51)="○",$E51=AK$3),"▼",""))</f>
        <v/>
      </c>
      <c r="AL51" s="31" t="str">
        <f aca="false">IF(OR($AN51=0,AL$3=""),"",IF(AND(INDEX(工程マスタ!$I:$I,$AN51)="○",$E51=AL$3),"▼",""))</f>
        <v/>
      </c>
      <c r="AN51" s="27" t="n">
        <f aca="false" t="array" ref="AN51:AN51">IFERROR(SMALL(IF((工程マスタ!$K$5:$K$154&gt;0)*(工程マスタ!$K$5:$K$154&lt;=$AN$2)*(工程マスタ!$L$5:$L$154&gt;=$AN$1),ROW(工程マスタ!$C$5:$C$154)),45),0)</f>
        <v>0</v>
      </c>
      <c r="AO51" s="27" t="n">
        <f aca="false">IF($AN51=0,0,INDEX(工程マスタ!$M:$M,$AN51))</f>
        <v>0</v>
      </c>
    </row>
    <row r="52" customFormat="false" ht="15" hidden="false" customHeight="false" outlineLevel="0" collapsed="false">
      <c r="A52" s="28" t="str">
        <f aca="false">IF($AN52=0,"",IF(INDEX(工程マスタ!$A:$A,$AN52)="","",INDEX(工程マスタ!$A:$A,$AN52)))</f>
        <v/>
      </c>
      <c r="B52" s="21" t="str">
        <f aca="false">IF($AN52=0,"",IF(INDEX(工程マスタ!$B:$B,$AN52)="","",INDEX(工程マスタ!$B:$B,$AN52)))</f>
        <v/>
      </c>
      <c r="C52" s="21" t="str">
        <f aca="false">IF($AN52=0,"",IF(INDEX(工程マスタ!$C:$C,$AN52)="","",INDEX(工程マスタ!$C:$C,$AN52)))</f>
        <v/>
      </c>
      <c r="D52" s="21" t="str">
        <f aca="false">IF($AN52=0,"",IF(INDEX(工程マスタ!$D:$D,$AN52)="","",INDEX(工程マスタ!$D:$D,$AN52)))</f>
        <v/>
      </c>
      <c r="E52" s="29" t="str">
        <f aca="false">IF($AN52=0,"",IF(INDEX(工程マスタ!$E:$E,$AN52)="","",INDEX(工程マスタ!$E:$E,$AN52)))</f>
        <v/>
      </c>
      <c r="F52" s="29" t="str">
        <f aca="false">IF($AN52=0,"",IF(INDEX(工程マスタ!$F:$F,$AN52)="","",INDEX(工程マスタ!$F:$F,$AN52)))</f>
        <v/>
      </c>
      <c r="G52" s="30" t="str">
        <f aca="false">IF($AN52=0,"",IF(INDEX(工程マスタ!$H:$H,$AN52)="","",INDEX(工程マスタ!$H:$H,$AN52)))</f>
        <v/>
      </c>
      <c r="H52" s="31" t="str">
        <f aca="false">IF(OR($AN52=0,H$3=""),"",IF(AND(INDEX(工程マスタ!$I:$I,$AN52)="○",$E52=H$3),"▼",""))</f>
        <v/>
      </c>
      <c r="I52" s="31" t="str">
        <f aca="false">IF(OR($AN52=0,I$3=""),"",IF(AND(INDEX(工程マスタ!$I:$I,$AN52)="○",$E52=I$3),"▼",""))</f>
        <v/>
      </c>
      <c r="J52" s="31" t="str">
        <f aca="false">IF(OR($AN52=0,J$3=""),"",IF(AND(INDEX(工程マスタ!$I:$I,$AN52)="○",$E52=J$3),"▼",""))</f>
        <v/>
      </c>
      <c r="K52" s="31" t="str">
        <f aca="false">IF(OR($AN52=0,K$3=""),"",IF(AND(INDEX(工程マスタ!$I:$I,$AN52)="○",$E52=K$3),"▼",""))</f>
        <v/>
      </c>
      <c r="L52" s="31" t="str">
        <f aca="false">IF(OR($AN52=0,L$3=""),"",IF(AND(INDEX(工程マスタ!$I:$I,$AN52)="○",$E52=L$3),"▼",""))</f>
        <v/>
      </c>
      <c r="M52" s="31" t="str">
        <f aca="false">IF(OR($AN52=0,M$3=""),"",IF(AND(INDEX(工程マスタ!$I:$I,$AN52)="○",$E52=M$3),"▼",""))</f>
        <v/>
      </c>
      <c r="N52" s="31" t="str">
        <f aca="false">IF(OR($AN52=0,N$3=""),"",IF(AND(INDEX(工程マスタ!$I:$I,$AN52)="○",$E52=N$3),"▼",""))</f>
        <v/>
      </c>
      <c r="O52" s="31" t="str">
        <f aca="false">IF(OR($AN52=0,O$3=""),"",IF(AND(INDEX(工程マスタ!$I:$I,$AN52)="○",$E52=O$3),"▼",""))</f>
        <v/>
      </c>
      <c r="P52" s="31" t="str">
        <f aca="false">IF(OR($AN52=0,P$3=""),"",IF(AND(INDEX(工程マスタ!$I:$I,$AN52)="○",$E52=P$3),"▼",""))</f>
        <v/>
      </c>
      <c r="Q52" s="31" t="str">
        <f aca="false">IF(OR($AN52=0,Q$3=""),"",IF(AND(INDEX(工程マスタ!$I:$I,$AN52)="○",$E52=Q$3),"▼",""))</f>
        <v/>
      </c>
      <c r="R52" s="31" t="str">
        <f aca="false">IF(OR($AN52=0,R$3=""),"",IF(AND(INDEX(工程マスタ!$I:$I,$AN52)="○",$E52=R$3),"▼",""))</f>
        <v/>
      </c>
      <c r="S52" s="31" t="str">
        <f aca="false">IF(OR($AN52=0,S$3=""),"",IF(AND(INDEX(工程マスタ!$I:$I,$AN52)="○",$E52=S$3),"▼",""))</f>
        <v/>
      </c>
      <c r="T52" s="31" t="str">
        <f aca="false">IF(OR($AN52=0,T$3=""),"",IF(AND(INDEX(工程マスタ!$I:$I,$AN52)="○",$E52=T$3),"▼",""))</f>
        <v/>
      </c>
      <c r="U52" s="31" t="str">
        <f aca="false">IF(OR($AN52=0,U$3=""),"",IF(AND(INDEX(工程マスタ!$I:$I,$AN52)="○",$E52=U$3),"▼",""))</f>
        <v/>
      </c>
      <c r="V52" s="31" t="str">
        <f aca="false">IF(OR($AN52=0,V$3=""),"",IF(AND(INDEX(工程マスタ!$I:$I,$AN52)="○",$E52=V$3),"▼",""))</f>
        <v/>
      </c>
      <c r="W52" s="31" t="str">
        <f aca="false">IF(OR($AN52=0,W$3=""),"",IF(AND(INDEX(工程マスタ!$I:$I,$AN52)="○",$E52=W$3),"▼",""))</f>
        <v/>
      </c>
      <c r="X52" s="31" t="str">
        <f aca="false">IF(OR($AN52=0,X$3=""),"",IF(AND(INDEX(工程マスタ!$I:$I,$AN52)="○",$E52=X$3),"▼",""))</f>
        <v/>
      </c>
      <c r="Y52" s="31" t="str">
        <f aca="false">IF(OR($AN52=0,Y$3=""),"",IF(AND(INDEX(工程マスタ!$I:$I,$AN52)="○",$E52=Y$3),"▼",""))</f>
        <v/>
      </c>
      <c r="Z52" s="31" t="str">
        <f aca="false">IF(OR($AN52=0,Z$3=""),"",IF(AND(INDEX(工程マスタ!$I:$I,$AN52)="○",$E52=Z$3),"▼",""))</f>
        <v/>
      </c>
      <c r="AA52" s="31" t="str">
        <f aca="false">IF(OR($AN52=0,AA$3=""),"",IF(AND(INDEX(工程マスタ!$I:$I,$AN52)="○",$E52=AA$3),"▼",""))</f>
        <v/>
      </c>
      <c r="AB52" s="31" t="str">
        <f aca="false">IF(OR($AN52=0,AB$3=""),"",IF(AND(INDEX(工程マスタ!$I:$I,$AN52)="○",$E52=AB$3),"▼",""))</f>
        <v/>
      </c>
      <c r="AC52" s="31" t="str">
        <f aca="false">IF(OR($AN52=0,AC$3=""),"",IF(AND(INDEX(工程マスタ!$I:$I,$AN52)="○",$E52=AC$3),"▼",""))</f>
        <v/>
      </c>
      <c r="AD52" s="31" t="str">
        <f aca="false">IF(OR($AN52=0,AD$3=""),"",IF(AND(INDEX(工程マスタ!$I:$I,$AN52)="○",$E52=AD$3),"▼",""))</f>
        <v/>
      </c>
      <c r="AE52" s="31" t="str">
        <f aca="false">IF(OR($AN52=0,AE$3=""),"",IF(AND(INDEX(工程マスタ!$I:$I,$AN52)="○",$E52=AE$3),"▼",""))</f>
        <v/>
      </c>
      <c r="AF52" s="31" t="str">
        <f aca="false">IF(OR($AN52=0,AF$3=""),"",IF(AND(INDEX(工程マスタ!$I:$I,$AN52)="○",$E52=AF$3),"▼",""))</f>
        <v/>
      </c>
      <c r="AG52" s="31" t="str">
        <f aca="false">IF(OR($AN52=0,AG$3=""),"",IF(AND(INDEX(工程マスタ!$I:$I,$AN52)="○",$E52=AG$3),"▼",""))</f>
        <v/>
      </c>
      <c r="AH52" s="31" t="str">
        <f aca="false">IF(OR($AN52=0,AH$3=""),"",IF(AND(INDEX(工程マスタ!$I:$I,$AN52)="○",$E52=AH$3),"▼",""))</f>
        <v/>
      </c>
      <c r="AI52" s="31" t="str">
        <f aca="false">IF(OR($AN52=0,AI$3=""),"",IF(AND(INDEX(工程マスタ!$I:$I,$AN52)="○",$E52=AI$3),"▼",""))</f>
        <v/>
      </c>
      <c r="AJ52" s="31" t="str">
        <f aca="false">IF(OR($AN52=0,AJ$3=""),"",IF(AND(INDEX(工程マスタ!$I:$I,$AN52)="○",$E52=AJ$3),"▼",""))</f>
        <v/>
      </c>
      <c r="AK52" s="31" t="str">
        <f aca="false">IF(OR($AN52=0,AK$3=""),"",IF(AND(INDEX(工程マスタ!$I:$I,$AN52)="○",$E52=AK$3),"▼",""))</f>
        <v/>
      </c>
      <c r="AL52" s="31" t="str">
        <f aca="false">IF(OR($AN52=0,AL$3=""),"",IF(AND(INDEX(工程マスタ!$I:$I,$AN52)="○",$E52=AL$3),"▼",""))</f>
        <v/>
      </c>
      <c r="AN52" s="27" t="n">
        <f aca="false" t="array" ref="AN52:AN52">IFERROR(SMALL(IF((工程マスタ!$K$5:$K$154&gt;0)*(工程マスタ!$K$5:$K$154&lt;=$AN$2)*(工程マスタ!$L$5:$L$154&gt;=$AN$1),ROW(工程マスタ!$C$5:$C$154)),46),0)</f>
        <v>0</v>
      </c>
      <c r="AO52" s="27" t="n">
        <f aca="false">IF($AN52=0,0,INDEX(工程マスタ!$M:$M,$AN52))</f>
        <v>0</v>
      </c>
    </row>
    <row r="53" customFormat="false" ht="15" hidden="false" customHeight="false" outlineLevel="0" collapsed="false">
      <c r="A53" s="28" t="str">
        <f aca="false">IF($AN53=0,"",IF(INDEX(工程マスタ!$A:$A,$AN53)="","",INDEX(工程マスタ!$A:$A,$AN53)))</f>
        <v/>
      </c>
      <c r="B53" s="21" t="str">
        <f aca="false">IF($AN53=0,"",IF(INDEX(工程マスタ!$B:$B,$AN53)="","",INDEX(工程マスタ!$B:$B,$AN53)))</f>
        <v/>
      </c>
      <c r="C53" s="21" t="str">
        <f aca="false">IF($AN53=0,"",IF(INDEX(工程マスタ!$C:$C,$AN53)="","",INDEX(工程マスタ!$C:$C,$AN53)))</f>
        <v/>
      </c>
      <c r="D53" s="21" t="str">
        <f aca="false">IF($AN53=0,"",IF(INDEX(工程マスタ!$D:$D,$AN53)="","",INDEX(工程マスタ!$D:$D,$AN53)))</f>
        <v/>
      </c>
      <c r="E53" s="29" t="str">
        <f aca="false">IF($AN53=0,"",IF(INDEX(工程マスタ!$E:$E,$AN53)="","",INDEX(工程マスタ!$E:$E,$AN53)))</f>
        <v/>
      </c>
      <c r="F53" s="29" t="str">
        <f aca="false">IF($AN53=0,"",IF(INDEX(工程マスタ!$F:$F,$AN53)="","",INDEX(工程マスタ!$F:$F,$AN53)))</f>
        <v/>
      </c>
      <c r="G53" s="30" t="str">
        <f aca="false">IF($AN53=0,"",IF(INDEX(工程マスタ!$H:$H,$AN53)="","",INDEX(工程マスタ!$H:$H,$AN53)))</f>
        <v/>
      </c>
      <c r="H53" s="31" t="str">
        <f aca="false">IF(OR($AN53=0,H$3=""),"",IF(AND(INDEX(工程マスタ!$I:$I,$AN53)="○",$E53=H$3),"▼",""))</f>
        <v/>
      </c>
      <c r="I53" s="31" t="str">
        <f aca="false">IF(OR($AN53=0,I$3=""),"",IF(AND(INDEX(工程マスタ!$I:$I,$AN53)="○",$E53=I$3),"▼",""))</f>
        <v/>
      </c>
      <c r="J53" s="31" t="str">
        <f aca="false">IF(OR($AN53=0,J$3=""),"",IF(AND(INDEX(工程マスタ!$I:$I,$AN53)="○",$E53=J$3),"▼",""))</f>
        <v/>
      </c>
      <c r="K53" s="31" t="str">
        <f aca="false">IF(OR($AN53=0,K$3=""),"",IF(AND(INDEX(工程マスタ!$I:$I,$AN53)="○",$E53=K$3),"▼",""))</f>
        <v/>
      </c>
      <c r="L53" s="31" t="str">
        <f aca="false">IF(OR($AN53=0,L$3=""),"",IF(AND(INDEX(工程マスタ!$I:$I,$AN53)="○",$E53=L$3),"▼",""))</f>
        <v/>
      </c>
      <c r="M53" s="31" t="str">
        <f aca="false">IF(OR($AN53=0,M$3=""),"",IF(AND(INDEX(工程マスタ!$I:$I,$AN53)="○",$E53=M$3),"▼",""))</f>
        <v/>
      </c>
      <c r="N53" s="31" t="str">
        <f aca="false">IF(OR($AN53=0,N$3=""),"",IF(AND(INDEX(工程マスタ!$I:$I,$AN53)="○",$E53=N$3),"▼",""))</f>
        <v/>
      </c>
      <c r="O53" s="31" t="str">
        <f aca="false">IF(OR($AN53=0,O$3=""),"",IF(AND(INDEX(工程マスタ!$I:$I,$AN53)="○",$E53=O$3),"▼",""))</f>
        <v/>
      </c>
      <c r="P53" s="31" t="str">
        <f aca="false">IF(OR($AN53=0,P$3=""),"",IF(AND(INDEX(工程マスタ!$I:$I,$AN53)="○",$E53=P$3),"▼",""))</f>
        <v/>
      </c>
      <c r="Q53" s="31" t="str">
        <f aca="false">IF(OR($AN53=0,Q$3=""),"",IF(AND(INDEX(工程マスタ!$I:$I,$AN53)="○",$E53=Q$3),"▼",""))</f>
        <v/>
      </c>
      <c r="R53" s="31" t="str">
        <f aca="false">IF(OR($AN53=0,R$3=""),"",IF(AND(INDEX(工程マスタ!$I:$I,$AN53)="○",$E53=R$3),"▼",""))</f>
        <v/>
      </c>
      <c r="S53" s="31" t="str">
        <f aca="false">IF(OR($AN53=0,S$3=""),"",IF(AND(INDEX(工程マスタ!$I:$I,$AN53)="○",$E53=S$3),"▼",""))</f>
        <v/>
      </c>
      <c r="T53" s="31" t="str">
        <f aca="false">IF(OR($AN53=0,T$3=""),"",IF(AND(INDEX(工程マスタ!$I:$I,$AN53)="○",$E53=T$3),"▼",""))</f>
        <v/>
      </c>
      <c r="U53" s="31" t="str">
        <f aca="false">IF(OR($AN53=0,U$3=""),"",IF(AND(INDEX(工程マスタ!$I:$I,$AN53)="○",$E53=U$3),"▼",""))</f>
        <v/>
      </c>
      <c r="V53" s="31" t="str">
        <f aca="false">IF(OR($AN53=0,V$3=""),"",IF(AND(INDEX(工程マスタ!$I:$I,$AN53)="○",$E53=V$3),"▼",""))</f>
        <v/>
      </c>
      <c r="W53" s="31" t="str">
        <f aca="false">IF(OR($AN53=0,W$3=""),"",IF(AND(INDEX(工程マスタ!$I:$I,$AN53)="○",$E53=W$3),"▼",""))</f>
        <v/>
      </c>
      <c r="X53" s="31" t="str">
        <f aca="false">IF(OR($AN53=0,X$3=""),"",IF(AND(INDEX(工程マスタ!$I:$I,$AN53)="○",$E53=X$3),"▼",""))</f>
        <v/>
      </c>
      <c r="Y53" s="31" t="str">
        <f aca="false">IF(OR($AN53=0,Y$3=""),"",IF(AND(INDEX(工程マスタ!$I:$I,$AN53)="○",$E53=Y$3),"▼",""))</f>
        <v/>
      </c>
      <c r="Z53" s="31" t="str">
        <f aca="false">IF(OR($AN53=0,Z$3=""),"",IF(AND(INDEX(工程マスタ!$I:$I,$AN53)="○",$E53=Z$3),"▼",""))</f>
        <v/>
      </c>
      <c r="AA53" s="31" t="str">
        <f aca="false">IF(OR($AN53=0,AA$3=""),"",IF(AND(INDEX(工程マスタ!$I:$I,$AN53)="○",$E53=AA$3),"▼",""))</f>
        <v/>
      </c>
      <c r="AB53" s="31" t="str">
        <f aca="false">IF(OR($AN53=0,AB$3=""),"",IF(AND(INDEX(工程マスタ!$I:$I,$AN53)="○",$E53=AB$3),"▼",""))</f>
        <v/>
      </c>
      <c r="AC53" s="31" t="str">
        <f aca="false">IF(OR($AN53=0,AC$3=""),"",IF(AND(INDEX(工程マスタ!$I:$I,$AN53)="○",$E53=AC$3),"▼",""))</f>
        <v/>
      </c>
      <c r="AD53" s="31" t="str">
        <f aca="false">IF(OR($AN53=0,AD$3=""),"",IF(AND(INDEX(工程マスタ!$I:$I,$AN53)="○",$E53=AD$3),"▼",""))</f>
        <v/>
      </c>
      <c r="AE53" s="31" t="str">
        <f aca="false">IF(OR($AN53=0,AE$3=""),"",IF(AND(INDEX(工程マスタ!$I:$I,$AN53)="○",$E53=AE$3),"▼",""))</f>
        <v/>
      </c>
      <c r="AF53" s="31" t="str">
        <f aca="false">IF(OR($AN53=0,AF$3=""),"",IF(AND(INDEX(工程マスタ!$I:$I,$AN53)="○",$E53=AF$3),"▼",""))</f>
        <v/>
      </c>
      <c r="AG53" s="31" t="str">
        <f aca="false">IF(OR($AN53=0,AG$3=""),"",IF(AND(INDEX(工程マスタ!$I:$I,$AN53)="○",$E53=AG$3),"▼",""))</f>
        <v/>
      </c>
      <c r="AH53" s="31" t="str">
        <f aca="false">IF(OR($AN53=0,AH$3=""),"",IF(AND(INDEX(工程マスタ!$I:$I,$AN53)="○",$E53=AH$3),"▼",""))</f>
        <v/>
      </c>
      <c r="AI53" s="31" t="str">
        <f aca="false">IF(OR($AN53=0,AI$3=""),"",IF(AND(INDEX(工程マスタ!$I:$I,$AN53)="○",$E53=AI$3),"▼",""))</f>
        <v/>
      </c>
      <c r="AJ53" s="31" t="str">
        <f aca="false">IF(OR($AN53=0,AJ$3=""),"",IF(AND(INDEX(工程マスタ!$I:$I,$AN53)="○",$E53=AJ$3),"▼",""))</f>
        <v/>
      </c>
      <c r="AK53" s="31" t="str">
        <f aca="false">IF(OR($AN53=0,AK$3=""),"",IF(AND(INDEX(工程マスタ!$I:$I,$AN53)="○",$E53=AK$3),"▼",""))</f>
        <v/>
      </c>
      <c r="AL53" s="31" t="str">
        <f aca="false">IF(OR($AN53=0,AL$3=""),"",IF(AND(INDEX(工程マスタ!$I:$I,$AN53)="○",$E53=AL$3),"▼",""))</f>
        <v/>
      </c>
      <c r="AN53" s="27" t="n">
        <f aca="false" t="array" ref="AN53:AN53">IFERROR(SMALL(IF((工程マスタ!$K$5:$K$154&gt;0)*(工程マスタ!$K$5:$K$154&lt;=$AN$2)*(工程マスタ!$L$5:$L$154&gt;=$AN$1),ROW(工程マスタ!$C$5:$C$154)),47),0)</f>
        <v>0</v>
      </c>
      <c r="AO53" s="27" t="n">
        <f aca="false">IF($AN53=0,0,INDEX(工程マスタ!$M:$M,$AN53))</f>
        <v>0</v>
      </c>
    </row>
    <row r="54" customFormat="false" ht="15" hidden="false" customHeight="false" outlineLevel="0" collapsed="false">
      <c r="A54" s="28" t="str">
        <f aca="false">IF($AN54=0,"",IF(INDEX(工程マスタ!$A:$A,$AN54)="","",INDEX(工程マスタ!$A:$A,$AN54)))</f>
        <v/>
      </c>
      <c r="B54" s="21" t="str">
        <f aca="false">IF($AN54=0,"",IF(INDEX(工程マスタ!$B:$B,$AN54)="","",INDEX(工程マスタ!$B:$B,$AN54)))</f>
        <v/>
      </c>
      <c r="C54" s="21" t="str">
        <f aca="false">IF($AN54=0,"",IF(INDEX(工程マスタ!$C:$C,$AN54)="","",INDEX(工程マスタ!$C:$C,$AN54)))</f>
        <v/>
      </c>
      <c r="D54" s="21" t="str">
        <f aca="false">IF($AN54=0,"",IF(INDEX(工程マスタ!$D:$D,$AN54)="","",INDEX(工程マスタ!$D:$D,$AN54)))</f>
        <v/>
      </c>
      <c r="E54" s="29" t="str">
        <f aca="false">IF($AN54=0,"",IF(INDEX(工程マスタ!$E:$E,$AN54)="","",INDEX(工程マスタ!$E:$E,$AN54)))</f>
        <v/>
      </c>
      <c r="F54" s="29" t="str">
        <f aca="false">IF($AN54=0,"",IF(INDEX(工程マスタ!$F:$F,$AN54)="","",INDEX(工程マスタ!$F:$F,$AN54)))</f>
        <v/>
      </c>
      <c r="G54" s="30" t="str">
        <f aca="false">IF($AN54=0,"",IF(INDEX(工程マスタ!$H:$H,$AN54)="","",INDEX(工程マスタ!$H:$H,$AN54)))</f>
        <v/>
      </c>
      <c r="H54" s="31" t="str">
        <f aca="false">IF(OR($AN54=0,H$3=""),"",IF(AND(INDEX(工程マスタ!$I:$I,$AN54)="○",$E54=H$3),"▼",""))</f>
        <v/>
      </c>
      <c r="I54" s="31" t="str">
        <f aca="false">IF(OR($AN54=0,I$3=""),"",IF(AND(INDEX(工程マスタ!$I:$I,$AN54)="○",$E54=I$3),"▼",""))</f>
        <v/>
      </c>
      <c r="J54" s="31" t="str">
        <f aca="false">IF(OR($AN54=0,J$3=""),"",IF(AND(INDEX(工程マスタ!$I:$I,$AN54)="○",$E54=J$3),"▼",""))</f>
        <v/>
      </c>
      <c r="K54" s="31" t="str">
        <f aca="false">IF(OR($AN54=0,K$3=""),"",IF(AND(INDEX(工程マスタ!$I:$I,$AN54)="○",$E54=K$3),"▼",""))</f>
        <v/>
      </c>
      <c r="L54" s="31" t="str">
        <f aca="false">IF(OR($AN54=0,L$3=""),"",IF(AND(INDEX(工程マスタ!$I:$I,$AN54)="○",$E54=L$3),"▼",""))</f>
        <v/>
      </c>
      <c r="M54" s="31" t="str">
        <f aca="false">IF(OR($AN54=0,M$3=""),"",IF(AND(INDEX(工程マスタ!$I:$I,$AN54)="○",$E54=M$3),"▼",""))</f>
        <v/>
      </c>
      <c r="N54" s="31" t="str">
        <f aca="false">IF(OR($AN54=0,N$3=""),"",IF(AND(INDEX(工程マスタ!$I:$I,$AN54)="○",$E54=N$3),"▼",""))</f>
        <v/>
      </c>
      <c r="O54" s="31" t="str">
        <f aca="false">IF(OR($AN54=0,O$3=""),"",IF(AND(INDEX(工程マスタ!$I:$I,$AN54)="○",$E54=O$3),"▼",""))</f>
        <v/>
      </c>
      <c r="P54" s="31" t="str">
        <f aca="false">IF(OR($AN54=0,P$3=""),"",IF(AND(INDEX(工程マスタ!$I:$I,$AN54)="○",$E54=P$3),"▼",""))</f>
        <v/>
      </c>
      <c r="Q54" s="31" t="str">
        <f aca="false">IF(OR($AN54=0,Q$3=""),"",IF(AND(INDEX(工程マスタ!$I:$I,$AN54)="○",$E54=Q$3),"▼",""))</f>
        <v/>
      </c>
      <c r="R54" s="31" t="str">
        <f aca="false">IF(OR($AN54=0,R$3=""),"",IF(AND(INDEX(工程マスタ!$I:$I,$AN54)="○",$E54=R$3),"▼",""))</f>
        <v/>
      </c>
      <c r="S54" s="31" t="str">
        <f aca="false">IF(OR($AN54=0,S$3=""),"",IF(AND(INDEX(工程マスタ!$I:$I,$AN54)="○",$E54=S$3),"▼",""))</f>
        <v/>
      </c>
      <c r="T54" s="31" t="str">
        <f aca="false">IF(OR($AN54=0,T$3=""),"",IF(AND(INDEX(工程マスタ!$I:$I,$AN54)="○",$E54=T$3),"▼",""))</f>
        <v/>
      </c>
      <c r="U54" s="31" t="str">
        <f aca="false">IF(OR($AN54=0,U$3=""),"",IF(AND(INDEX(工程マスタ!$I:$I,$AN54)="○",$E54=U$3),"▼",""))</f>
        <v/>
      </c>
      <c r="V54" s="31" t="str">
        <f aca="false">IF(OR($AN54=0,V$3=""),"",IF(AND(INDEX(工程マスタ!$I:$I,$AN54)="○",$E54=V$3),"▼",""))</f>
        <v/>
      </c>
      <c r="W54" s="31" t="str">
        <f aca="false">IF(OR($AN54=0,W$3=""),"",IF(AND(INDEX(工程マスタ!$I:$I,$AN54)="○",$E54=W$3),"▼",""))</f>
        <v/>
      </c>
      <c r="X54" s="31" t="str">
        <f aca="false">IF(OR($AN54=0,X$3=""),"",IF(AND(INDEX(工程マスタ!$I:$I,$AN54)="○",$E54=X$3),"▼",""))</f>
        <v/>
      </c>
      <c r="Y54" s="31" t="str">
        <f aca="false">IF(OR($AN54=0,Y$3=""),"",IF(AND(INDEX(工程マスタ!$I:$I,$AN54)="○",$E54=Y$3),"▼",""))</f>
        <v/>
      </c>
      <c r="Z54" s="31" t="str">
        <f aca="false">IF(OR($AN54=0,Z$3=""),"",IF(AND(INDEX(工程マスタ!$I:$I,$AN54)="○",$E54=Z$3),"▼",""))</f>
        <v/>
      </c>
      <c r="AA54" s="31" t="str">
        <f aca="false">IF(OR($AN54=0,AA$3=""),"",IF(AND(INDEX(工程マスタ!$I:$I,$AN54)="○",$E54=AA$3),"▼",""))</f>
        <v/>
      </c>
      <c r="AB54" s="31" t="str">
        <f aca="false">IF(OR($AN54=0,AB$3=""),"",IF(AND(INDEX(工程マスタ!$I:$I,$AN54)="○",$E54=AB$3),"▼",""))</f>
        <v/>
      </c>
      <c r="AC54" s="31" t="str">
        <f aca="false">IF(OR($AN54=0,AC$3=""),"",IF(AND(INDEX(工程マスタ!$I:$I,$AN54)="○",$E54=AC$3),"▼",""))</f>
        <v/>
      </c>
      <c r="AD54" s="31" t="str">
        <f aca="false">IF(OR($AN54=0,AD$3=""),"",IF(AND(INDEX(工程マスタ!$I:$I,$AN54)="○",$E54=AD$3),"▼",""))</f>
        <v/>
      </c>
      <c r="AE54" s="31" t="str">
        <f aca="false">IF(OR($AN54=0,AE$3=""),"",IF(AND(INDEX(工程マスタ!$I:$I,$AN54)="○",$E54=AE$3),"▼",""))</f>
        <v/>
      </c>
      <c r="AF54" s="31" t="str">
        <f aca="false">IF(OR($AN54=0,AF$3=""),"",IF(AND(INDEX(工程マスタ!$I:$I,$AN54)="○",$E54=AF$3),"▼",""))</f>
        <v/>
      </c>
      <c r="AG54" s="31" t="str">
        <f aca="false">IF(OR($AN54=0,AG$3=""),"",IF(AND(INDEX(工程マスタ!$I:$I,$AN54)="○",$E54=AG$3),"▼",""))</f>
        <v/>
      </c>
      <c r="AH54" s="31" t="str">
        <f aca="false">IF(OR($AN54=0,AH$3=""),"",IF(AND(INDEX(工程マスタ!$I:$I,$AN54)="○",$E54=AH$3),"▼",""))</f>
        <v/>
      </c>
      <c r="AI54" s="31" t="str">
        <f aca="false">IF(OR($AN54=0,AI$3=""),"",IF(AND(INDEX(工程マスタ!$I:$I,$AN54)="○",$E54=AI$3),"▼",""))</f>
        <v/>
      </c>
      <c r="AJ54" s="31" t="str">
        <f aca="false">IF(OR($AN54=0,AJ$3=""),"",IF(AND(INDEX(工程マスタ!$I:$I,$AN54)="○",$E54=AJ$3),"▼",""))</f>
        <v/>
      </c>
      <c r="AK54" s="31" t="str">
        <f aca="false">IF(OR($AN54=0,AK$3=""),"",IF(AND(INDEX(工程マスタ!$I:$I,$AN54)="○",$E54=AK$3),"▼",""))</f>
        <v/>
      </c>
      <c r="AL54" s="31" t="str">
        <f aca="false">IF(OR($AN54=0,AL$3=""),"",IF(AND(INDEX(工程マスタ!$I:$I,$AN54)="○",$E54=AL$3),"▼",""))</f>
        <v/>
      </c>
      <c r="AN54" s="27" t="n">
        <f aca="false" t="array" ref="AN54:AN54">IFERROR(SMALL(IF((工程マスタ!$K$5:$K$154&gt;0)*(工程マスタ!$K$5:$K$154&lt;=$AN$2)*(工程マスタ!$L$5:$L$154&gt;=$AN$1),ROW(工程マスタ!$C$5:$C$154)),48),0)</f>
        <v>0</v>
      </c>
      <c r="AO54" s="27" t="n">
        <f aca="false">IF($AN54=0,0,INDEX(工程マスタ!$M:$M,$AN54))</f>
        <v>0</v>
      </c>
    </row>
    <row r="55" customFormat="false" ht="15" hidden="false" customHeight="false" outlineLevel="0" collapsed="false">
      <c r="A55" s="28" t="str">
        <f aca="false">IF($AN55=0,"",IF(INDEX(工程マスタ!$A:$A,$AN55)="","",INDEX(工程マスタ!$A:$A,$AN55)))</f>
        <v/>
      </c>
      <c r="B55" s="21" t="str">
        <f aca="false">IF($AN55=0,"",IF(INDEX(工程マスタ!$B:$B,$AN55)="","",INDEX(工程マスタ!$B:$B,$AN55)))</f>
        <v/>
      </c>
      <c r="C55" s="21" t="str">
        <f aca="false">IF($AN55=0,"",IF(INDEX(工程マスタ!$C:$C,$AN55)="","",INDEX(工程マスタ!$C:$C,$AN55)))</f>
        <v/>
      </c>
      <c r="D55" s="21" t="str">
        <f aca="false">IF($AN55=0,"",IF(INDEX(工程マスタ!$D:$D,$AN55)="","",INDEX(工程マスタ!$D:$D,$AN55)))</f>
        <v/>
      </c>
      <c r="E55" s="29" t="str">
        <f aca="false">IF($AN55=0,"",IF(INDEX(工程マスタ!$E:$E,$AN55)="","",INDEX(工程マスタ!$E:$E,$AN55)))</f>
        <v/>
      </c>
      <c r="F55" s="29" t="str">
        <f aca="false">IF($AN55=0,"",IF(INDEX(工程マスタ!$F:$F,$AN55)="","",INDEX(工程マスタ!$F:$F,$AN55)))</f>
        <v/>
      </c>
      <c r="G55" s="30" t="str">
        <f aca="false">IF($AN55=0,"",IF(INDEX(工程マスタ!$H:$H,$AN55)="","",INDEX(工程マスタ!$H:$H,$AN55)))</f>
        <v/>
      </c>
      <c r="H55" s="31" t="str">
        <f aca="false">IF(OR($AN55=0,H$3=""),"",IF(AND(INDEX(工程マスタ!$I:$I,$AN55)="○",$E55=H$3),"▼",""))</f>
        <v/>
      </c>
      <c r="I55" s="31" t="str">
        <f aca="false">IF(OR($AN55=0,I$3=""),"",IF(AND(INDEX(工程マスタ!$I:$I,$AN55)="○",$E55=I$3),"▼",""))</f>
        <v/>
      </c>
      <c r="J55" s="31" t="str">
        <f aca="false">IF(OR($AN55=0,J$3=""),"",IF(AND(INDEX(工程マスタ!$I:$I,$AN55)="○",$E55=J$3),"▼",""))</f>
        <v/>
      </c>
      <c r="K55" s="31" t="str">
        <f aca="false">IF(OR($AN55=0,K$3=""),"",IF(AND(INDEX(工程マスタ!$I:$I,$AN55)="○",$E55=K$3),"▼",""))</f>
        <v/>
      </c>
      <c r="L55" s="31" t="str">
        <f aca="false">IF(OR($AN55=0,L$3=""),"",IF(AND(INDEX(工程マスタ!$I:$I,$AN55)="○",$E55=L$3),"▼",""))</f>
        <v/>
      </c>
      <c r="M55" s="31" t="str">
        <f aca="false">IF(OR($AN55=0,M$3=""),"",IF(AND(INDEX(工程マスタ!$I:$I,$AN55)="○",$E55=M$3),"▼",""))</f>
        <v/>
      </c>
      <c r="N55" s="31" t="str">
        <f aca="false">IF(OR($AN55=0,N$3=""),"",IF(AND(INDEX(工程マスタ!$I:$I,$AN55)="○",$E55=N$3),"▼",""))</f>
        <v/>
      </c>
      <c r="O55" s="31" t="str">
        <f aca="false">IF(OR($AN55=0,O$3=""),"",IF(AND(INDEX(工程マスタ!$I:$I,$AN55)="○",$E55=O$3),"▼",""))</f>
        <v/>
      </c>
      <c r="P55" s="31" t="str">
        <f aca="false">IF(OR($AN55=0,P$3=""),"",IF(AND(INDEX(工程マスタ!$I:$I,$AN55)="○",$E55=P$3),"▼",""))</f>
        <v/>
      </c>
      <c r="Q55" s="31" t="str">
        <f aca="false">IF(OR($AN55=0,Q$3=""),"",IF(AND(INDEX(工程マスタ!$I:$I,$AN55)="○",$E55=Q$3),"▼",""))</f>
        <v/>
      </c>
      <c r="R55" s="31" t="str">
        <f aca="false">IF(OR($AN55=0,R$3=""),"",IF(AND(INDEX(工程マスタ!$I:$I,$AN55)="○",$E55=R$3),"▼",""))</f>
        <v/>
      </c>
      <c r="S55" s="31" t="str">
        <f aca="false">IF(OR($AN55=0,S$3=""),"",IF(AND(INDEX(工程マスタ!$I:$I,$AN55)="○",$E55=S$3),"▼",""))</f>
        <v/>
      </c>
      <c r="T55" s="31" t="str">
        <f aca="false">IF(OR($AN55=0,T$3=""),"",IF(AND(INDEX(工程マスタ!$I:$I,$AN55)="○",$E55=T$3),"▼",""))</f>
        <v/>
      </c>
      <c r="U55" s="31" t="str">
        <f aca="false">IF(OR($AN55=0,U$3=""),"",IF(AND(INDEX(工程マスタ!$I:$I,$AN55)="○",$E55=U$3),"▼",""))</f>
        <v/>
      </c>
      <c r="V55" s="31" t="str">
        <f aca="false">IF(OR($AN55=0,V$3=""),"",IF(AND(INDEX(工程マスタ!$I:$I,$AN55)="○",$E55=V$3),"▼",""))</f>
        <v/>
      </c>
      <c r="W55" s="31" t="str">
        <f aca="false">IF(OR($AN55=0,W$3=""),"",IF(AND(INDEX(工程マスタ!$I:$I,$AN55)="○",$E55=W$3),"▼",""))</f>
        <v/>
      </c>
      <c r="X55" s="31" t="str">
        <f aca="false">IF(OR($AN55=0,X$3=""),"",IF(AND(INDEX(工程マスタ!$I:$I,$AN55)="○",$E55=X$3),"▼",""))</f>
        <v/>
      </c>
      <c r="Y55" s="31" t="str">
        <f aca="false">IF(OR($AN55=0,Y$3=""),"",IF(AND(INDEX(工程マスタ!$I:$I,$AN55)="○",$E55=Y$3),"▼",""))</f>
        <v/>
      </c>
      <c r="Z55" s="31" t="str">
        <f aca="false">IF(OR($AN55=0,Z$3=""),"",IF(AND(INDEX(工程マスタ!$I:$I,$AN55)="○",$E55=Z$3),"▼",""))</f>
        <v/>
      </c>
      <c r="AA55" s="31" t="str">
        <f aca="false">IF(OR($AN55=0,AA$3=""),"",IF(AND(INDEX(工程マスタ!$I:$I,$AN55)="○",$E55=AA$3),"▼",""))</f>
        <v/>
      </c>
      <c r="AB55" s="31" t="str">
        <f aca="false">IF(OR($AN55=0,AB$3=""),"",IF(AND(INDEX(工程マスタ!$I:$I,$AN55)="○",$E55=AB$3),"▼",""))</f>
        <v/>
      </c>
      <c r="AC55" s="31" t="str">
        <f aca="false">IF(OR($AN55=0,AC$3=""),"",IF(AND(INDEX(工程マスタ!$I:$I,$AN55)="○",$E55=AC$3),"▼",""))</f>
        <v/>
      </c>
      <c r="AD55" s="31" t="str">
        <f aca="false">IF(OR($AN55=0,AD$3=""),"",IF(AND(INDEX(工程マスタ!$I:$I,$AN55)="○",$E55=AD$3),"▼",""))</f>
        <v/>
      </c>
      <c r="AE55" s="31" t="str">
        <f aca="false">IF(OR($AN55=0,AE$3=""),"",IF(AND(INDEX(工程マスタ!$I:$I,$AN55)="○",$E55=AE$3),"▼",""))</f>
        <v/>
      </c>
      <c r="AF55" s="31" t="str">
        <f aca="false">IF(OR($AN55=0,AF$3=""),"",IF(AND(INDEX(工程マスタ!$I:$I,$AN55)="○",$E55=AF$3),"▼",""))</f>
        <v/>
      </c>
      <c r="AG55" s="31" t="str">
        <f aca="false">IF(OR($AN55=0,AG$3=""),"",IF(AND(INDEX(工程マスタ!$I:$I,$AN55)="○",$E55=AG$3),"▼",""))</f>
        <v/>
      </c>
      <c r="AH55" s="31" t="str">
        <f aca="false">IF(OR($AN55=0,AH$3=""),"",IF(AND(INDEX(工程マスタ!$I:$I,$AN55)="○",$E55=AH$3),"▼",""))</f>
        <v/>
      </c>
      <c r="AI55" s="31" t="str">
        <f aca="false">IF(OR($AN55=0,AI$3=""),"",IF(AND(INDEX(工程マスタ!$I:$I,$AN55)="○",$E55=AI$3),"▼",""))</f>
        <v/>
      </c>
      <c r="AJ55" s="31" t="str">
        <f aca="false">IF(OR($AN55=0,AJ$3=""),"",IF(AND(INDEX(工程マスタ!$I:$I,$AN55)="○",$E55=AJ$3),"▼",""))</f>
        <v/>
      </c>
      <c r="AK55" s="31" t="str">
        <f aca="false">IF(OR($AN55=0,AK$3=""),"",IF(AND(INDEX(工程マスタ!$I:$I,$AN55)="○",$E55=AK$3),"▼",""))</f>
        <v/>
      </c>
      <c r="AL55" s="31" t="str">
        <f aca="false">IF(OR($AN55=0,AL$3=""),"",IF(AND(INDEX(工程マスタ!$I:$I,$AN55)="○",$E55=AL$3),"▼",""))</f>
        <v/>
      </c>
      <c r="AN55" s="27" t="n">
        <f aca="false" t="array" ref="AN55:AN55">IFERROR(SMALL(IF((工程マスタ!$K$5:$K$154&gt;0)*(工程マスタ!$K$5:$K$154&lt;=$AN$2)*(工程マスタ!$L$5:$L$154&gt;=$AN$1),ROW(工程マスタ!$C$5:$C$154)),49),0)</f>
        <v>0</v>
      </c>
      <c r="AO55" s="27" t="n">
        <f aca="false">IF($AN55=0,0,INDEX(工程マスタ!$M:$M,$AN55))</f>
        <v>0</v>
      </c>
    </row>
    <row r="56" customFormat="false" ht="15" hidden="false" customHeight="false" outlineLevel="0" collapsed="false">
      <c r="A56" s="28" t="str">
        <f aca="false">IF($AN56=0,"",IF(INDEX(工程マスタ!$A:$A,$AN56)="","",INDEX(工程マスタ!$A:$A,$AN56)))</f>
        <v/>
      </c>
      <c r="B56" s="21" t="str">
        <f aca="false">IF($AN56=0,"",IF(INDEX(工程マスタ!$B:$B,$AN56)="","",INDEX(工程マスタ!$B:$B,$AN56)))</f>
        <v/>
      </c>
      <c r="C56" s="21" t="str">
        <f aca="false">IF($AN56=0,"",IF(INDEX(工程マスタ!$C:$C,$AN56)="","",INDEX(工程マスタ!$C:$C,$AN56)))</f>
        <v/>
      </c>
      <c r="D56" s="21" t="str">
        <f aca="false">IF($AN56=0,"",IF(INDEX(工程マスタ!$D:$D,$AN56)="","",INDEX(工程マスタ!$D:$D,$AN56)))</f>
        <v/>
      </c>
      <c r="E56" s="29" t="str">
        <f aca="false">IF($AN56=0,"",IF(INDEX(工程マスタ!$E:$E,$AN56)="","",INDEX(工程マスタ!$E:$E,$AN56)))</f>
        <v/>
      </c>
      <c r="F56" s="29" t="str">
        <f aca="false">IF($AN56=0,"",IF(INDEX(工程マスタ!$F:$F,$AN56)="","",INDEX(工程マスタ!$F:$F,$AN56)))</f>
        <v/>
      </c>
      <c r="G56" s="30" t="str">
        <f aca="false">IF($AN56=0,"",IF(INDEX(工程マスタ!$H:$H,$AN56)="","",INDEX(工程マスタ!$H:$H,$AN56)))</f>
        <v/>
      </c>
      <c r="H56" s="31" t="str">
        <f aca="false">IF(OR($AN56=0,H$3=""),"",IF(AND(INDEX(工程マスタ!$I:$I,$AN56)="○",$E56=H$3),"▼",""))</f>
        <v/>
      </c>
      <c r="I56" s="31" t="str">
        <f aca="false">IF(OR($AN56=0,I$3=""),"",IF(AND(INDEX(工程マスタ!$I:$I,$AN56)="○",$E56=I$3),"▼",""))</f>
        <v/>
      </c>
      <c r="J56" s="31" t="str">
        <f aca="false">IF(OR($AN56=0,J$3=""),"",IF(AND(INDEX(工程マスタ!$I:$I,$AN56)="○",$E56=J$3),"▼",""))</f>
        <v/>
      </c>
      <c r="K56" s="31" t="str">
        <f aca="false">IF(OR($AN56=0,K$3=""),"",IF(AND(INDEX(工程マスタ!$I:$I,$AN56)="○",$E56=K$3),"▼",""))</f>
        <v/>
      </c>
      <c r="L56" s="31" t="str">
        <f aca="false">IF(OR($AN56=0,L$3=""),"",IF(AND(INDEX(工程マスタ!$I:$I,$AN56)="○",$E56=L$3),"▼",""))</f>
        <v/>
      </c>
      <c r="M56" s="31" t="str">
        <f aca="false">IF(OR($AN56=0,M$3=""),"",IF(AND(INDEX(工程マスタ!$I:$I,$AN56)="○",$E56=M$3),"▼",""))</f>
        <v/>
      </c>
      <c r="N56" s="31" t="str">
        <f aca="false">IF(OR($AN56=0,N$3=""),"",IF(AND(INDEX(工程マスタ!$I:$I,$AN56)="○",$E56=N$3),"▼",""))</f>
        <v/>
      </c>
      <c r="O56" s="31" t="str">
        <f aca="false">IF(OR($AN56=0,O$3=""),"",IF(AND(INDEX(工程マスタ!$I:$I,$AN56)="○",$E56=O$3),"▼",""))</f>
        <v/>
      </c>
      <c r="P56" s="31" t="str">
        <f aca="false">IF(OR($AN56=0,P$3=""),"",IF(AND(INDEX(工程マスタ!$I:$I,$AN56)="○",$E56=P$3),"▼",""))</f>
        <v/>
      </c>
      <c r="Q56" s="31" t="str">
        <f aca="false">IF(OR($AN56=0,Q$3=""),"",IF(AND(INDEX(工程マスタ!$I:$I,$AN56)="○",$E56=Q$3),"▼",""))</f>
        <v/>
      </c>
      <c r="R56" s="31" t="str">
        <f aca="false">IF(OR($AN56=0,R$3=""),"",IF(AND(INDEX(工程マスタ!$I:$I,$AN56)="○",$E56=R$3),"▼",""))</f>
        <v/>
      </c>
      <c r="S56" s="31" t="str">
        <f aca="false">IF(OR($AN56=0,S$3=""),"",IF(AND(INDEX(工程マスタ!$I:$I,$AN56)="○",$E56=S$3),"▼",""))</f>
        <v/>
      </c>
      <c r="T56" s="31" t="str">
        <f aca="false">IF(OR($AN56=0,T$3=""),"",IF(AND(INDEX(工程マスタ!$I:$I,$AN56)="○",$E56=T$3),"▼",""))</f>
        <v/>
      </c>
      <c r="U56" s="31" t="str">
        <f aca="false">IF(OR($AN56=0,U$3=""),"",IF(AND(INDEX(工程マスタ!$I:$I,$AN56)="○",$E56=U$3),"▼",""))</f>
        <v/>
      </c>
      <c r="V56" s="31" t="str">
        <f aca="false">IF(OR($AN56=0,V$3=""),"",IF(AND(INDEX(工程マスタ!$I:$I,$AN56)="○",$E56=V$3),"▼",""))</f>
        <v/>
      </c>
      <c r="W56" s="31" t="str">
        <f aca="false">IF(OR($AN56=0,W$3=""),"",IF(AND(INDEX(工程マスタ!$I:$I,$AN56)="○",$E56=W$3),"▼",""))</f>
        <v/>
      </c>
      <c r="X56" s="31" t="str">
        <f aca="false">IF(OR($AN56=0,X$3=""),"",IF(AND(INDEX(工程マスタ!$I:$I,$AN56)="○",$E56=X$3),"▼",""))</f>
        <v/>
      </c>
      <c r="Y56" s="31" t="str">
        <f aca="false">IF(OR($AN56=0,Y$3=""),"",IF(AND(INDEX(工程マスタ!$I:$I,$AN56)="○",$E56=Y$3),"▼",""))</f>
        <v/>
      </c>
      <c r="Z56" s="31" t="str">
        <f aca="false">IF(OR($AN56=0,Z$3=""),"",IF(AND(INDEX(工程マスタ!$I:$I,$AN56)="○",$E56=Z$3),"▼",""))</f>
        <v/>
      </c>
      <c r="AA56" s="31" t="str">
        <f aca="false">IF(OR($AN56=0,AA$3=""),"",IF(AND(INDEX(工程マスタ!$I:$I,$AN56)="○",$E56=AA$3),"▼",""))</f>
        <v/>
      </c>
      <c r="AB56" s="31" t="str">
        <f aca="false">IF(OR($AN56=0,AB$3=""),"",IF(AND(INDEX(工程マスタ!$I:$I,$AN56)="○",$E56=AB$3),"▼",""))</f>
        <v/>
      </c>
      <c r="AC56" s="31" t="str">
        <f aca="false">IF(OR($AN56=0,AC$3=""),"",IF(AND(INDEX(工程マスタ!$I:$I,$AN56)="○",$E56=AC$3),"▼",""))</f>
        <v/>
      </c>
      <c r="AD56" s="31" t="str">
        <f aca="false">IF(OR($AN56=0,AD$3=""),"",IF(AND(INDEX(工程マスタ!$I:$I,$AN56)="○",$E56=AD$3),"▼",""))</f>
        <v/>
      </c>
      <c r="AE56" s="31" t="str">
        <f aca="false">IF(OR($AN56=0,AE$3=""),"",IF(AND(INDEX(工程マスタ!$I:$I,$AN56)="○",$E56=AE$3),"▼",""))</f>
        <v/>
      </c>
      <c r="AF56" s="31" t="str">
        <f aca="false">IF(OR($AN56=0,AF$3=""),"",IF(AND(INDEX(工程マスタ!$I:$I,$AN56)="○",$E56=AF$3),"▼",""))</f>
        <v/>
      </c>
      <c r="AG56" s="31" t="str">
        <f aca="false">IF(OR($AN56=0,AG$3=""),"",IF(AND(INDEX(工程マスタ!$I:$I,$AN56)="○",$E56=AG$3),"▼",""))</f>
        <v/>
      </c>
      <c r="AH56" s="31" t="str">
        <f aca="false">IF(OR($AN56=0,AH$3=""),"",IF(AND(INDEX(工程マスタ!$I:$I,$AN56)="○",$E56=AH$3),"▼",""))</f>
        <v/>
      </c>
      <c r="AI56" s="31" t="str">
        <f aca="false">IF(OR($AN56=0,AI$3=""),"",IF(AND(INDEX(工程マスタ!$I:$I,$AN56)="○",$E56=AI$3),"▼",""))</f>
        <v/>
      </c>
      <c r="AJ56" s="31" t="str">
        <f aca="false">IF(OR($AN56=0,AJ$3=""),"",IF(AND(INDEX(工程マスタ!$I:$I,$AN56)="○",$E56=AJ$3),"▼",""))</f>
        <v/>
      </c>
      <c r="AK56" s="31" t="str">
        <f aca="false">IF(OR($AN56=0,AK$3=""),"",IF(AND(INDEX(工程マスタ!$I:$I,$AN56)="○",$E56=AK$3),"▼",""))</f>
        <v/>
      </c>
      <c r="AL56" s="31" t="str">
        <f aca="false">IF(OR($AN56=0,AL$3=""),"",IF(AND(INDEX(工程マスタ!$I:$I,$AN56)="○",$E56=AL$3),"▼",""))</f>
        <v/>
      </c>
      <c r="AN56" s="27" t="n">
        <f aca="false" t="array" ref="AN56:AN56">IFERROR(SMALL(IF((工程マスタ!$K$5:$K$154&gt;0)*(工程マスタ!$K$5:$K$154&lt;=$AN$2)*(工程マスタ!$L$5:$L$154&gt;=$AN$1),ROW(工程マスタ!$C$5:$C$154)),50),0)</f>
        <v>0</v>
      </c>
      <c r="AO56" s="27" t="n">
        <f aca="false">IF($AN56=0,0,INDEX(工程マスタ!$M:$M,$AN56))</f>
        <v>0</v>
      </c>
    </row>
    <row r="57" customFormat="false" ht="15" hidden="false" customHeight="false" outlineLevel="0" collapsed="false">
      <c r="C57" s="38" t="s">
        <v>168</v>
      </c>
      <c r="D57" s="38"/>
      <c r="E57" s="38"/>
      <c r="F57" s="38"/>
      <c r="G57" s="38"/>
      <c r="H57" s="39" t="n">
        <f aca="false">IF(H$3="","",SUMPRODUCT((工程マスタ!$K$5:$K$154&gt;0)*(工程マスタ!$I$5:$I$154&lt;&gt;"○")*(工程マスタ!$K$5:$K$154&lt;=H$3)*(工程マスタ!$L$5:$L$154&gt;=H$3)))</f>
        <v>1</v>
      </c>
      <c r="I57" s="39" t="n">
        <f aca="false">IF(I$3="","",SUMPRODUCT((工程マスタ!$K$5:$K$154&gt;0)*(工程マスタ!$I$5:$I$154&lt;&gt;"○")*(工程マスタ!$K$5:$K$154&lt;=I$3)*(工程マスタ!$L$5:$L$154&gt;=I$3)))</f>
        <v>1</v>
      </c>
      <c r="J57" s="39" t="n">
        <f aca="false">IF(J$3="","",SUMPRODUCT((工程マスタ!$K$5:$K$154&gt;0)*(工程マスタ!$I$5:$I$154&lt;&gt;"○")*(工程マスタ!$K$5:$K$154&lt;=J$3)*(工程マスタ!$L$5:$L$154&gt;=J$3)))</f>
        <v>1</v>
      </c>
      <c r="K57" s="39" t="n">
        <f aca="false">IF(K$3="","",SUMPRODUCT((工程マスタ!$K$5:$K$154&gt;0)*(工程マスタ!$I$5:$I$154&lt;&gt;"○")*(工程マスタ!$K$5:$K$154&lt;=K$3)*(工程マスタ!$L$5:$L$154&gt;=K$3)))</f>
        <v>1</v>
      </c>
      <c r="L57" s="39" t="n">
        <f aca="false">IF(L$3="","",SUMPRODUCT((工程マスタ!$K$5:$K$154&gt;0)*(工程マスタ!$I$5:$I$154&lt;&gt;"○")*(工程マスタ!$K$5:$K$154&lt;=L$3)*(工程マスタ!$L$5:$L$154&gt;=L$3)))</f>
        <v>1</v>
      </c>
      <c r="M57" s="39" t="n">
        <f aca="false">IF(M$3="","",SUMPRODUCT((工程マスタ!$K$5:$K$154&gt;0)*(工程マスタ!$I$5:$I$154&lt;&gt;"○")*(工程マスタ!$K$5:$K$154&lt;=M$3)*(工程マスタ!$L$5:$L$154&gt;=M$3)))</f>
        <v>2</v>
      </c>
      <c r="N57" s="39" t="n">
        <f aca="false">IF(N$3="","",SUMPRODUCT((工程マスタ!$K$5:$K$154&gt;0)*(工程マスタ!$I$5:$I$154&lt;&gt;"○")*(工程マスタ!$K$5:$K$154&lt;=N$3)*(工程マスタ!$L$5:$L$154&gt;=N$3)))</f>
        <v>2</v>
      </c>
      <c r="O57" s="39" t="n">
        <f aca="false">IF(O$3="","",SUMPRODUCT((工程マスタ!$K$5:$K$154&gt;0)*(工程マスタ!$I$5:$I$154&lt;&gt;"○")*(工程マスタ!$K$5:$K$154&lt;=O$3)*(工程マスタ!$L$5:$L$154&gt;=O$3)))</f>
        <v>2</v>
      </c>
      <c r="P57" s="39" t="n">
        <f aca="false">IF(P$3="","",SUMPRODUCT((工程マスタ!$K$5:$K$154&gt;0)*(工程マスタ!$I$5:$I$154&lt;&gt;"○")*(工程マスタ!$K$5:$K$154&lt;=P$3)*(工程マスタ!$L$5:$L$154&gt;=P$3)))</f>
        <v>2</v>
      </c>
      <c r="Q57" s="39" t="n">
        <f aca="false">IF(Q$3="","",SUMPRODUCT((工程マスタ!$K$5:$K$154&gt;0)*(工程マスタ!$I$5:$I$154&lt;&gt;"○")*(工程マスタ!$K$5:$K$154&lt;=Q$3)*(工程マスタ!$L$5:$L$154&gt;=Q$3)))</f>
        <v>2</v>
      </c>
      <c r="R57" s="39" t="n">
        <f aca="false">IF(R$3="","",SUMPRODUCT((工程マスタ!$K$5:$K$154&gt;0)*(工程マスタ!$I$5:$I$154&lt;&gt;"○")*(工程マスタ!$K$5:$K$154&lt;=R$3)*(工程マスタ!$L$5:$L$154&gt;=R$3)))</f>
        <v>1</v>
      </c>
      <c r="S57" s="39" t="n">
        <f aca="false">IF(S$3="","",SUMPRODUCT((工程マスタ!$K$5:$K$154&gt;0)*(工程マスタ!$I$5:$I$154&lt;&gt;"○")*(工程マスタ!$K$5:$K$154&lt;=S$3)*(工程マスタ!$L$5:$L$154&gt;=S$3)))</f>
        <v>1</v>
      </c>
      <c r="T57" s="39" t="n">
        <f aca="false">IF(T$3="","",SUMPRODUCT((工程マスタ!$K$5:$K$154&gt;0)*(工程マスタ!$I$5:$I$154&lt;&gt;"○")*(工程マスタ!$K$5:$K$154&lt;=T$3)*(工程マスタ!$L$5:$L$154&gt;=T$3)))</f>
        <v>3</v>
      </c>
      <c r="U57" s="39" t="n">
        <f aca="false">IF(U$3="","",SUMPRODUCT((工程マスタ!$K$5:$K$154&gt;0)*(工程マスタ!$I$5:$I$154&lt;&gt;"○")*(工程マスタ!$K$5:$K$154&lt;=U$3)*(工程マスタ!$L$5:$L$154&gt;=U$3)))</f>
        <v>3</v>
      </c>
      <c r="V57" s="39" t="n">
        <f aca="false">IF(V$3="","",SUMPRODUCT((工程マスタ!$K$5:$K$154&gt;0)*(工程マスタ!$I$5:$I$154&lt;&gt;"○")*(工程マスタ!$K$5:$K$154&lt;=V$3)*(工程マスタ!$L$5:$L$154&gt;=V$3)))</f>
        <v>3</v>
      </c>
      <c r="W57" s="39" t="n">
        <f aca="false">IF(W$3="","",SUMPRODUCT((工程マスタ!$K$5:$K$154&gt;0)*(工程マスタ!$I$5:$I$154&lt;&gt;"○")*(工程マスタ!$K$5:$K$154&lt;=W$3)*(工程マスタ!$L$5:$L$154&gt;=W$3)))</f>
        <v>2</v>
      </c>
      <c r="X57" s="39" t="n">
        <f aca="false">IF(X$3="","",SUMPRODUCT((工程マスタ!$K$5:$K$154&gt;0)*(工程マスタ!$I$5:$I$154&lt;&gt;"○")*(工程マスタ!$K$5:$K$154&lt;=X$3)*(工程マスタ!$L$5:$L$154&gt;=X$3)))</f>
        <v>2</v>
      </c>
      <c r="Y57" s="39" t="n">
        <f aca="false">IF(Y$3="","",SUMPRODUCT((工程マスタ!$K$5:$K$154&gt;0)*(工程マスタ!$I$5:$I$154&lt;&gt;"○")*(工程マスタ!$K$5:$K$154&lt;=Y$3)*(工程マスタ!$L$5:$L$154&gt;=Y$3)))</f>
        <v>2</v>
      </c>
      <c r="Z57" s="39" t="n">
        <f aca="false">IF(Z$3="","",SUMPRODUCT((工程マスタ!$K$5:$K$154&gt;0)*(工程マスタ!$I$5:$I$154&lt;&gt;"○")*(工程マスタ!$K$5:$K$154&lt;=Z$3)*(工程マスタ!$L$5:$L$154&gt;=Z$3)))</f>
        <v>2</v>
      </c>
      <c r="AA57" s="39" t="n">
        <f aca="false">IF(AA$3="","",SUMPRODUCT((工程マスタ!$K$5:$K$154&gt;0)*(工程マスタ!$I$5:$I$154&lt;&gt;"○")*(工程マスタ!$K$5:$K$154&lt;=AA$3)*(工程マスタ!$L$5:$L$154&gt;=AA$3)))</f>
        <v>2</v>
      </c>
      <c r="AB57" s="39" t="n">
        <f aca="false">IF(AB$3="","",SUMPRODUCT((工程マスタ!$K$5:$K$154&gt;0)*(工程マスタ!$I$5:$I$154&lt;&gt;"○")*(工程マスタ!$K$5:$K$154&lt;=AB$3)*(工程マスタ!$L$5:$L$154&gt;=AB$3)))</f>
        <v>2</v>
      </c>
      <c r="AC57" s="39" t="n">
        <f aca="false">IF(AC$3="","",SUMPRODUCT((工程マスタ!$K$5:$K$154&gt;0)*(工程マスタ!$I$5:$I$154&lt;&gt;"○")*(工程マスタ!$K$5:$K$154&lt;=AC$3)*(工程マスタ!$L$5:$L$154&gt;=AC$3)))</f>
        <v>2</v>
      </c>
      <c r="AD57" s="39" t="n">
        <f aca="false">IF(AD$3="","",SUMPRODUCT((工程マスタ!$K$5:$K$154&gt;0)*(工程マスタ!$I$5:$I$154&lt;&gt;"○")*(工程マスタ!$K$5:$K$154&lt;=AD$3)*(工程マスタ!$L$5:$L$154&gt;=AD$3)))</f>
        <v>1</v>
      </c>
      <c r="AE57" s="39" t="n">
        <f aca="false">IF(AE$3="","",SUMPRODUCT((工程マスタ!$K$5:$K$154&gt;0)*(工程マスタ!$I$5:$I$154&lt;&gt;"○")*(工程マスタ!$K$5:$K$154&lt;=AE$3)*(工程マスタ!$L$5:$L$154&gt;=AE$3)))</f>
        <v>1</v>
      </c>
      <c r="AF57" s="39" t="n">
        <f aca="false">IF(AF$3="","",SUMPRODUCT((工程マスタ!$K$5:$K$154&gt;0)*(工程マスタ!$I$5:$I$154&lt;&gt;"○")*(工程マスタ!$K$5:$K$154&lt;=AF$3)*(工程マスタ!$L$5:$L$154&gt;=AF$3)))</f>
        <v>1</v>
      </c>
      <c r="AG57" s="39" t="n">
        <f aca="false">IF(AG$3="","",SUMPRODUCT((工程マスタ!$K$5:$K$154&gt;0)*(工程マスタ!$I$5:$I$154&lt;&gt;"○")*(工程マスタ!$K$5:$K$154&lt;=AG$3)*(工程マスタ!$L$5:$L$154&gt;=AG$3)))</f>
        <v>1</v>
      </c>
      <c r="AH57" s="39" t="n">
        <f aca="false">IF(AH$3="","",SUMPRODUCT((工程マスタ!$K$5:$K$154&gt;0)*(工程マスタ!$I$5:$I$154&lt;&gt;"○")*(工程マスタ!$K$5:$K$154&lt;=AH$3)*(工程マスタ!$L$5:$L$154&gt;=AH$3)))</f>
        <v>2</v>
      </c>
      <c r="AI57" s="39" t="n">
        <f aca="false">IF(AI$3="","",SUMPRODUCT((工程マスタ!$K$5:$K$154&gt;0)*(工程マスタ!$I$5:$I$154&lt;&gt;"○")*(工程マスタ!$K$5:$K$154&lt;=AI$3)*(工程マスタ!$L$5:$L$154&gt;=AI$3)))</f>
        <v>2</v>
      </c>
      <c r="AJ57" s="39" t="n">
        <f aca="false">IF(AJ$3="","",SUMPRODUCT((工程マスタ!$K$5:$K$154&gt;0)*(工程マスタ!$I$5:$I$154&lt;&gt;"○")*(工程マスタ!$K$5:$K$154&lt;=AJ$3)*(工程マスタ!$L$5:$L$154&gt;=AJ$3)))</f>
        <v>2</v>
      </c>
      <c r="AK57" s="39" t="n">
        <f aca="false">IF(AK$3="","",SUMPRODUCT((工程マスタ!$K$5:$K$154&gt;0)*(工程マスタ!$I$5:$I$154&lt;&gt;"○")*(工程マスタ!$K$5:$K$154&lt;=AK$3)*(工程マスタ!$L$5:$L$154&gt;=AK$3)))</f>
        <v>2</v>
      </c>
      <c r="AL57" s="39" t="n">
        <f aca="false">IF(AL$3="","",SUMPRODUCT((工程マスタ!$K$5:$K$154&gt;0)*(工程マスタ!$I$5:$I$154&lt;&gt;"○")*(工程マスタ!$K$5:$K$154&lt;=AL$3)*(工程マスタ!$L$5:$L$154&gt;=AL$3)))</f>
        <v>2</v>
      </c>
    </row>
  </sheetData>
  <conditionalFormatting sqref="H7:AL56">
    <cfRule type="expression" priority="2" aboveAverage="0" equalAverage="0" bottom="0" percent="0" rank="0" text="" dxfId="1">
      <formula>AND($AN7&gt;0,H$3&lt;&gt;"",H$3&gt;=$E7,H$3&lt;$AO7,INDEX(工程マスタ!$I:$I,$AN7)&lt;&gt;"○")</formula>
    </cfRule>
    <cfRule type="expression" priority="3" aboveAverage="0" equalAverage="0" bottom="0" percent="0" rank="0" text="" dxfId="2">
      <formula>AND($AN7&gt;0,H$3&lt;&gt;"",H$3&gt;=$E7,H$3&lt;=$F7,INDEX(工程マスタ!$I:$I,$AN7)&lt;&gt;"○")</formula>
    </cfRule>
  </conditionalFormatting>
  <conditionalFormatting sqref="H4:AL5">
    <cfRule type="expression" priority="4" aboveAverage="0" equalAverage="0" bottom="0" percent="0" rank="0" text="" dxfId="4">
      <formula>AND(H$3&lt;&gt;"",H$3=TODAY())</formula>
    </cfRule>
    <cfRule type="expression" priority="5" aboveAverage="0" equalAverage="0" bottom="0" percent="0" rank="0" text="" dxfId="5">
      <formula>AND(H$3&lt;&gt;"",COUNTIF(祝日リスト,H$3)&gt;0)</formula>
    </cfRule>
    <cfRule type="expression" priority="6" aboveAverage="0" equalAverage="0" bottom="0" percent="0" rank="0" text="" dxfId="5">
      <formula>AND(H$3&lt;&gt;"",WEEKDAY(H$3)=1)</formula>
    </cfRule>
    <cfRule type="expression" priority="7" aboveAverage="0" equalAverage="0" bottom="0" percent="0" rank="0" text="" dxfId="6">
      <formula>AND(H$3&lt;&gt;"",WEEKDAY(H$3)=7)</formula>
    </cfRule>
  </conditionalFormatting>
  <conditionalFormatting sqref="H7:AL57">
    <cfRule type="expression" priority="8" aboveAverage="0" equalAverage="0" bottom="0" percent="0" rank="0" text="" dxfId="7">
      <formula>AND(H$3&lt;&gt;"",H$3=TODAY())</formula>
    </cfRule>
    <cfRule type="expression" priority="9" aboveAverage="0" equalAverage="0" bottom="0" percent="0" rank="0" text="" dxfId="8">
      <formula>AND(H$3&lt;&gt;"",COUNTIF(祝日リスト,H$3)&gt;0)</formula>
    </cfRule>
    <cfRule type="expression" priority="10" aboveAverage="0" equalAverage="0" bottom="0" percent="0" rank="0" text="" dxfId="8">
      <formula>AND(H$3&lt;&gt;"",WEEKDAY(H$3)=1)</formula>
    </cfRule>
    <cfRule type="expression" priority="11" aboveAverage="0" equalAverage="0" bottom="0" percent="0" rank="0" text="" dxfId="9">
      <formula>AND(H$3&lt;&gt;"",WEEKDAY(H$3)=7)</formula>
    </cfRule>
  </conditionalFormatting>
  <dataValidations count="2">
    <dataValidation allowBlank="false" errorStyle="stop" operator="between" showDropDown="false" showErrorMessage="false" showInputMessage="false" sqref="B2" type="whole">
      <formula1>2020</formula1>
      <formula2>2045</formula2>
    </dataValidation>
    <dataValidation allowBlank="false" errorStyle="stop" operator="between" showDropDown="false" showErrorMessage="false" showInputMessage="false" sqref="D2" type="whole">
      <formula1>1</formula1>
      <formula2>12</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38F"/>
    <pageSetUpPr fitToPage="true"/>
  </sheetPr>
  <dimension ref="A1:Y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6" topLeftCell="H7" activePane="bottomRight" state="frozen"/>
      <selection pane="topLeft" activeCell="A1" activeCellId="0" sqref="A1"/>
      <selection pane="topRight" activeCell="H1" activeCellId="0" sqref="H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26"/>
    <col collapsed="false" customWidth="true" hidden="false" outlineLevel="0" max="4" min="4" style="0" width="13"/>
    <col collapsed="false" customWidth="true" hidden="false" outlineLevel="0" max="6" min="5" style="0" width="8"/>
    <col collapsed="false" customWidth="true" hidden="false" outlineLevel="0" max="7" min="7" style="0" width="6"/>
    <col collapsed="false" customWidth="true" hidden="false" outlineLevel="0" max="21" min="8" style="0" width="6.5"/>
    <col collapsed="false" customWidth="true" hidden="false" outlineLevel="0" max="22" min="22" style="0" width="20"/>
    <col collapsed="false" customWidth="true" hidden="true" outlineLevel="0" max="25" min="24" style="0" width="13"/>
  </cols>
  <sheetData>
    <row r="1" customFormat="false" ht="19.4" hidden="false" customHeight="false" outlineLevel="0" collapsed="false">
      <c r="A1" s="1" t="str">
        <f aca="false">設定!$B$3&amp;"　日割り工程表（"&amp;TEXT($B$2,"yyyy/m/d")&amp;" 〜 "&amp;TEXT($B$2+13,"m/d")&amp;"）"</f>
        <v>(仮称)○○ビル新築工事　日割り工程表（2026/7/20 〜 8/2）</v>
      </c>
    </row>
    <row r="2" customFormat="false" ht="15" hidden="false" customHeight="false" outlineLevel="0" collapsed="false">
      <c r="A2" s="2" t="s">
        <v>169</v>
      </c>
      <c r="B2" s="16" t="n">
        <v>46223</v>
      </c>
      <c r="C2" s="13" t="s">
        <v>170</v>
      </c>
      <c r="N2" s="2" t="s">
        <v>23</v>
      </c>
      <c r="O2" s="24" t="s">
        <v>155</v>
      </c>
      <c r="P2" s="25" t="s">
        <v>156</v>
      </c>
      <c r="Q2" s="23" t="s">
        <v>166</v>
      </c>
      <c r="R2" s="36" t="s">
        <v>167</v>
      </c>
    </row>
    <row r="3" customFormat="false" ht="15" hidden="true" customHeight="false" outlineLevel="0" collapsed="false">
      <c r="H3" s="35" t="n">
        <f aca="false">$B$2+0</f>
        <v>46223</v>
      </c>
      <c r="I3" s="35" t="n">
        <f aca="false">$B$2+1</f>
        <v>46224</v>
      </c>
      <c r="J3" s="35" t="n">
        <f aca="false">$B$2+2</f>
        <v>46225</v>
      </c>
      <c r="K3" s="35" t="n">
        <f aca="false">$B$2+3</f>
        <v>46226</v>
      </c>
      <c r="L3" s="35" t="n">
        <f aca="false">$B$2+4</f>
        <v>46227</v>
      </c>
      <c r="M3" s="35" t="n">
        <f aca="false">$B$2+5</f>
        <v>46228</v>
      </c>
      <c r="N3" s="35" t="n">
        <f aca="false">$B$2+6</f>
        <v>46229</v>
      </c>
      <c r="O3" s="35" t="n">
        <f aca="false">$B$2+7</f>
        <v>46230</v>
      </c>
      <c r="P3" s="35" t="n">
        <f aca="false">$B$2+8</f>
        <v>46231</v>
      </c>
      <c r="Q3" s="35" t="n">
        <f aca="false">$B$2+9</f>
        <v>46232</v>
      </c>
      <c r="R3" s="35" t="n">
        <f aca="false">$B$2+10</f>
        <v>46233</v>
      </c>
      <c r="S3" s="35" t="n">
        <f aca="false">$B$2+11</f>
        <v>46234</v>
      </c>
      <c r="T3" s="35" t="n">
        <f aca="false">$B$2+12</f>
        <v>46235</v>
      </c>
      <c r="U3" s="35" t="n">
        <f aca="false">$B$2+13</f>
        <v>46236</v>
      </c>
    </row>
    <row r="4" customFormat="false" ht="15" hidden="false" customHeight="false" outlineLevel="0" collapsed="false">
      <c r="A4" s="8"/>
      <c r="B4" s="8"/>
      <c r="C4" s="8"/>
      <c r="D4" s="8"/>
      <c r="E4" s="8"/>
      <c r="F4" s="8"/>
      <c r="G4" s="8"/>
      <c r="H4" s="37" t="str">
        <f aca="false">TEXT(H$3,"m/d")</f>
        <v>7/20</v>
      </c>
      <c r="I4" s="37" t="str">
        <f aca="false">TEXT(I$3,"m/d")</f>
        <v>7/21</v>
      </c>
      <c r="J4" s="37" t="str">
        <f aca="false">TEXT(J$3,"m/d")</f>
        <v>7/22</v>
      </c>
      <c r="K4" s="37" t="str">
        <f aca="false">TEXT(K$3,"m/d")</f>
        <v>7/23</v>
      </c>
      <c r="L4" s="37" t="str">
        <f aca="false">TEXT(L$3,"m/d")</f>
        <v>7/24</v>
      </c>
      <c r="M4" s="37" t="str">
        <f aca="false">TEXT(M$3,"m/d")</f>
        <v>7/25</v>
      </c>
      <c r="N4" s="37" t="str">
        <f aca="false">TEXT(N$3,"m/d")</f>
        <v>7/26</v>
      </c>
      <c r="O4" s="37" t="str">
        <f aca="false">TEXT(O$3,"m/d")</f>
        <v>7/27</v>
      </c>
      <c r="P4" s="37" t="str">
        <f aca="false">TEXT(P$3,"m/d")</f>
        <v>7/28</v>
      </c>
      <c r="Q4" s="37" t="str">
        <f aca="false">TEXT(Q$3,"m/d")</f>
        <v>7/29</v>
      </c>
      <c r="R4" s="37" t="str">
        <f aca="false">TEXT(R$3,"m/d")</f>
        <v>7/30</v>
      </c>
      <c r="S4" s="37" t="str">
        <f aca="false">TEXT(S$3,"m/d")</f>
        <v>7/31</v>
      </c>
      <c r="T4" s="37" t="str">
        <f aca="false">TEXT(T$3,"m/d")</f>
        <v>8/1</v>
      </c>
      <c r="U4" s="37" t="str">
        <f aca="false">TEXT(U$3,"m/d")</f>
        <v>8/2</v>
      </c>
      <c r="V4" s="8"/>
    </row>
    <row r="5" customFormat="false" ht="15" hidden="false" customHeight="false" outlineLevel="0" collapsed="false">
      <c r="A5" s="14" t="s">
        <v>76</v>
      </c>
      <c r="B5" s="8" t="s">
        <v>77</v>
      </c>
      <c r="C5" s="8" t="s">
        <v>78</v>
      </c>
      <c r="D5" s="8" t="s">
        <v>79</v>
      </c>
      <c r="E5" s="8" t="s">
        <v>158</v>
      </c>
      <c r="F5" s="8" t="s">
        <v>159</v>
      </c>
      <c r="G5" s="8" t="s">
        <v>160</v>
      </c>
      <c r="H5" s="37" t="str">
        <f aca="false">MID("日月火水木金土",WEEKDAY(H$3),1)</f>
        <v>月</v>
      </c>
      <c r="I5" s="37" t="str">
        <f aca="false">MID("日月火水木金土",WEEKDAY(I$3),1)</f>
        <v>火</v>
      </c>
      <c r="J5" s="37" t="str">
        <f aca="false">MID("日月火水木金土",WEEKDAY(J$3),1)</f>
        <v>水</v>
      </c>
      <c r="K5" s="37" t="str">
        <f aca="false">MID("日月火水木金土",WEEKDAY(K$3),1)</f>
        <v>木</v>
      </c>
      <c r="L5" s="37" t="str">
        <f aca="false">MID("日月火水木金土",WEEKDAY(L$3),1)</f>
        <v>金</v>
      </c>
      <c r="M5" s="37" t="str">
        <f aca="false">MID("日月火水木金土",WEEKDAY(M$3),1)</f>
        <v>土</v>
      </c>
      <c r="N5" s="37" t="str">
        <f aca="false">MID("日月火水木金土",WEEKDAY(N$3),1)</f>
        <v>日</v>
      </c>
      <c r="O5" s="37" t="str">
        <f aca="false">MID("日月火水木金土",WEEKDAY(O$3),1)</f>
        <v>月</v>
      </c>
      <c r="P5" s="37" t="str">
        <f aca="false">MID("日月火水木金土",WEEKDAY(P$3),1)</f>
        <v>火</v>
      </c>
      <c r="Q5" s="37" t="str">
        <f aca="false">MID("日月火水木金土",WEEKDAY(Q$3),1)</f>
        <v>水</v>
      </c>
      <c r="R5" s="37" t="str">
        <f aca="false">MID("日月火水木金土",WEEKDAY(R$3),1)</f>
        <v>木</v>
      </c>
      <c r="S5" s="37" t="str">
        <f aca="false">MID("日月火水木金土",WEEKDAY(S$3),1)</f>
        <v>金</v>
      </c>
      <c r="T5" s="37" t="str">
        <f aca="false">MID("日月火水木金土",WEEKDAY(T$3),1)</f>
        <v>土</v>
      </c>
      <c r="U5" s="37" t="str">
        <f aca="false">MID("日月火水木金土",WEEKDAY(U$3),1)</f>
        <v>日</v>
      </c>
      <c r="V5" s="8" t="s">
        <v>85</v>
      </c>
    </row>
    <row r="7" customFormat="false" ht="15" hidden="false" customHeight="false" outlineLevel="0" collapsed="false">
      <c r="A7" s="28" t="n">
        <f aca="false">IF($X7=0,"",IF(INDEX(工程マスタ!$A:$A,$X7)="","",INDEX(工程マスタ!$A:$A,$X7)))</f>
        <v>5</v>
      </c>
      <c r="B7" s="21" t="str">
        <f aca="false">IF($X7=0,"",IF(INDEX(工程マスタ!$B:$B,$X7)="","",INDEX(工程マスタ!$B:$B,$X7)))</f>
        <v>仮設工事</v>
      </c>
      <c r="C7" s="21" t="str">
        <f aca="false">IF($X7=0,"",IF(INDEX(工程マスタ!$C:$C,$X7)="","",INDEX(工程マスタ!$C:$C,$X7)))</f>
        <v>仮設電気・給排水引込み</v>
      </c>
      <c r="D7" s="21" t="str">
        <f aca="false">IF($X7=0,"",IF(INDEX(工程マスタ!$D:$D,$X7)="","",INDEX(工程マスタ!$D:$D,$X7)))</f>
        <v>△△電設</v>
      </c>
      <c r="E7" s="29" t="n">
        <f aca="false">IF($X7=0,"",IF(INDEX(工程マスタ!$E:$E,$X7)="","",INDEX(工程マスタ!$E:$E,$X7)))</f>
        <v>46216</v>
      </c>
      <c r="F7" s="29" t="n">
        <f aca="false">IF($X7=0,"",IF(INDEX(工程マスタ!$F:$F,$X7)="","",INDEX(工程マスタ!$F:$F,$X7)))</f>
        <v>46225</v>
      </c>
      <c r="G7" s="30" t="n">
        <f aca="false">IF($X7=0,"",IF(INDEX(工程マスタ!$H:$H,$X7)="","",INDEX(工程マスタ!$H:$H,$X7)))</f>
        <v>0.6</v>
      </c>
      <c r="H7" s="31" t="str">
        <f aca="false">IF($X7=0,"",IF(AND(INDEX(工程マスタ!$I:$I,$X7)="○",$E7=H$3),"▼",""))</f>
        <v/>
      </c>
      <c r="I7" s="31" t="str">
        <f aca="false">IF($X7=0,"",IF(AND(INDEX(工程マスタ!$I:$I,$X7)="○",$E7=I$3),"▼",""))</f>
        <v/>
      </c>
      <c r="J7" s="31" t="str">
        <f aca="false">IF($X7=0,"",IF(AND(INDEX(工程マスタ!$I:$I,$X7)="○",$E7=J$3),"▼",""))</f>
        <v/>
      </c>
      <c r="K7" s="31" t="str">
        <f aca="false">IF($X7=0,"",IF(AND(INDEX(工程マスタ!$I:$I,$X7)="○",$E7=K$3),"▼",""))</f>
        <v/>
      </c>
      <c r="L7" s="31" t="str">
        <f aca="false">IF($X7=0,"",IF(AND(INDEX(工程マスタ!$I:$I,$X7)="○",$E7=L$3),"▼",""))</f>
        <v/>
      </c>
      <c r="M7" s="31" t="str">
        <f aca="false">IF($X7=0,"",IF(AND(INDEX(工程マスタ!$I:$I,$X7)="○",$E7=M$3),"▼",""))</f>
        <v/>
      </c>
      <c r="N7" s="31" t="str">
        <f aca="false">IF($X7=0,"",IF(AND(INDEX(工程マスタ!$I:$I,$X7)="○",$E7=N$3),"▼",""))</f>
        <v/>
      </c>
      <c r="O7" s="31" t="str">
        <f aca="false">IF($X7=0,"",IF(AND(INDEX(工程マスタ!$I:$I,$X7)="○",$E7=O$3),"▼",""))</f>
        <v/>
      </c>
      <c r="P7" s="31" t="str">
        <f aca="false">IF($X7=0,"",IF(AND(INDEX(工程マスタ!$I:$I,$X7)="○",$E7=P$3),"▼",""))</f>
        <v/>
      </c>
      <c r="Q7" s="31" t="str">
        <f aca="false">IF($X7=0,"",IF(AND(INDEX(工程マスタ!$I:$I,$X7)="○",$E7=Q$3),"▼",""))</f>
        <v/>
      </c>
      <c r="R7" s="31" t="str">
        <f aca="false">IF($X7=0,"",IF(AND(INDEX(工程マスタ!$I:$I,$X7)="○",$E7=R$3),"▼",""))</f>
        <v/>
      </c>
      <c r="S7" s="31" t="str">
        <f aca="false">IF($X7=0,"",IF(AND(INDEX(工程マスタ!$I:$I,$X7)="○",$E7=S$3),"▼",""))</f>
        <v/>
      </c>
      <c r="T7" s="31" t="str">
        <f aca="false">IF($X7=0,"",IF(AND(INDEX(工程マスタ!$I:$I,$X7)="○",$E7=T$3),"▼",""))</f>
        <v/>
      </c>
      <c r="U7" s="31" t="str">
        <f aca="false">IF($X7=0,"",IF(AND(INDEX(工程マスタ!$I:$I,$X7)="○",$E7=U$3),"▼",""))</f>
        <v/>
      </c>
      <c r="V7" s="40" t="str">
        <f aca="false">IF($X7=0,"",IF(INDEX(工程マスタ!$J:$J,$X7)="","",INDEX(工程マスタ!$J:$J,$X7)))</f>
        <v/>
      </c>
      <c r="X7" s="27" t="n">
        <f aca="false" t="array" ref="X7:X7">IFERROR(SMALL(IF((工程マスタ!$K$5:$K$154&gt;0)*(工程マスタ!$K$5:$K$154&lt;=$B$2+13)*(工程マスタ!$L$5:$L$154&gt;=$B$2),ROW(工程マスタ!$C$5:$C$154)),1),0)</f>
        <v>9</v>
      </c>
      <c r="Y7" s="27" t="n">
        <f aca="false">IF($X7=0,0,INDEX(工程マスタ!$M:$M,$X7))</f>
        <v>46222</v>
      </c>
    </row>
    <row r="8" customFormat="false" ht="15" hidden="false" customHeight="false" outlineLevel="0" collapsed="false">
      <c r="A8" s="28" t="n">
        <f aca="false">IF($X8=0,"",IF(INDEX(工程マスタ!$A:$A,$X8)="","",INDEX(工程マスタ!$A:$A,$X8)))</f>
        <v>6</v>
      </c>
      <c r="B8" s="21" t="str">
        <f aca="false">IF($X8=0,"",IF(INDEX(工程マスタ!$B:$B,$X8)="","",INDEX(工程マスタ!$B:$B,$X8)))</f>
        <v>地業基礎工事</v>
      </c>
      <c r="C8" s="21" t="str">
        <f aca="false">IF($X8=0,"",IF(INDEX(工程マスタ!$C:$C,$X8)="","",INDEX(工程マスタ!$C:$C,$X8)))</f>
        <v>杭工事</v>
      </c>
      <c r="D8" s="21" t="str">
        <f aca="false">IF($X8=0,"",IF(INDEX(工程マスタ!$D:$D,$X8)="","",INDEX(工程マスタ!$D:$D,$X8)))</f>
        <v>□□基礎工業</v>
      </c>
      <c r="E8" s="29" t="n">
        <f aca="false">IF($X8=0,"",IF(INDEX(工程マスタ!$E:$E,$X8)="","",INDEX(工程マスタ!$E:$E,$X8)))</f>
        <v>46216</v>
      </c>
      <c r="F8" s="29" t="n">
        <f aca="false">IF($X8=0,"",IF(INDEX(工程マスタ!$F:$F,$X8)="","",INDEX(工程マスタ!$F:$F,$X8)))</f>
        <v>46234</v>
      </c>
      <c r="G8" s="30" t="n">
        <f aca="false">IF($X8=0,"",IF(INDEX(工程マスタ!$H:$H,$X8)="","",INDEX(工程マスタ!$H:$H,$X8)))</f>
        <v>0.35</v>
      </c>
      <c r="H8" s="31" t="str">
        <f aca="false">IF($X8=0,"",IF(AND(INDEX(工程マスタ!$I:$I,$X8)="○",$E8=H$3),"▼",""))</f>
        <v/>
      </c>
      <c r="I8" s="31" t="str">
        <f aca="false">IF($X8=0,"",IF(AND(INDEX(工程マスタ!$I:$I,$X8)="○",$E8=I$3),"▼",""))</f>
        <v/>
      </c>
      <c r="J8" s="31" t="str">
        <f aca="false">IF($X8=0,"",IF(AND(INDEX(工程マスタ!$I:$I,$X8)="○",$E8=J$3),"▼",""))</f>
        <v/>
      </c>
      <c r="K8" s="31" t="str">
        <f aca="false">IF($X8=0,"",IF(AND(INDEX(工程マスタ!$I:$I,$X8)="○",$E8=K$3),"▼",""))</f>
        <v/>
      </c>
      <c r="L8" s="31" t="str">
        <f aca="false">IF($X8=0,"",IF(AND(INDEX(工程マスタ!$I:$I,$X8)="○",$E8=L$3),"▼",""))</f>
        <v/>
      </c>
      <c r="M8" s="31" t="str">
        <f aca="false">IF($X8=0,"",IF(AND(INDEX(工程マスタ!$I:$I,$X8)="○",$E8=M$3),"▼",""))</f>
        <v/>
      </c>
      <c r="N8" s="31" t="str">
        <f aca="false">IF($X8=0,"",IF(AND(INDEX(工程マスタ!$I:$I,$X8)="○",$E8=N$3),"▼",""))</f>
        <v/>
      </c>
      <c r="O8" s="31" t="str">
        <f aca="false">IF($X8=0,"",IF(AND(INDEX(工程マスタ!$I:$I,$X8)="○",$E8=O$3),"▼",""))</f>
        <v/>
      </c>
      <c r="P8" s="31" t="str">
        <f aca="false">IF($X8=0,"",IF(AND(INDEX(工程マスタ!$I:$I,$X8)="○",$E8=P$3),"▼",""))</f>
        <v/>
      </c>
      <c r="Q8" s="31" t="str">
        <f aca="false">IF($X8=0,"",IF(AND(INDEX(工程マスタ!$I:$I,$X8)="○",$E8=Q$3),"▼",""))</f>
        <v/>
      </c>
      <c r="R8" s="31" t="str">
        <f aca="false">IF($X8=0,"",IF(AND(INDEX(工程マスタ!$I:$I,$X8)="○",$E8=R$3),"▼",""))</f>
        <v/>
      </c>
      <c r="S8" s="31" t="str">
        <f aca="false">IF($X8=0,"",IF(AND(INDEX(工程マスタ!$I:$I,$X8)="○",$E8=S$3),"▼",""))</f>
        <v/>
      </c>
      <c r="T8" s="31" t="str">
        <f aca="false">IF($X8=0,"",IF(AND(INDEX(工程マスタ!$I:$I,$X8)="○",$E8=T$3),"▼",""))</f>
        <v/>
      </c>
      <c r="U8" s="31" t="str">
        <f aca="false">IF($X8=0,"",IF(AND(INDEX(工程マスタ!$I:$I,$X8)="○",$E8=U$3),"▼",""))</f>
        <v/>
      </c>
      <c r="V8" s="40" t="str">
        <f aca="false">IF($X8=0,"",IF(INDEX(工程マスタ!$J:$J,$X8)="","",INDEX(工程マスタ!$J:$J,$X8)))</f>
        <v>既製杭</v>
      </c>
      <c r="X8" s="27" t="n">
        <f aca="false" t="array" ref="X8:X8">IFERROR(SMALL(IF((工程マスタ!$K$5:$K$154&gt;0)*(工程マスタ!$K$5:$K$154&lt;=$B$2+13)*(工程マスタ!$L$5:$L$154&gt;=$B$2),ROW(工程マスタ!$C$5:$C$154)),2),0)</f>
        <v>10</v>
      </c>
      <c r="Y8" s="27" t="n">
        <f aca="false">IF($X8=0,0,INDEX(工程マスタ!$M:$M,$X8))</f>
        <v>46222.65</v>
      </c>
    </row>
    <row r="9" customFormat="false" ht="15" hidden="false" customHeight="false" outlineLevel="0" collapsed="false">
      <c r="A9" s="28" t="n">
        <f aca="false">IF($X9=0,"",IF(INDEX(工程マスタ!$A:$A,$X9)="","",INDEX(工程マスタ!$A:$A,$X9)))</f>
        <v>7</v>
      </c>
      <c r="B9" s="21" t="str">
        <f aca="false">IF($X9=0,"",IF(INDEX(工程マスタ!$B:$B,$X9)="","",INDEX(工程マスタ!$B:$B,$X9)))</f>
        <v>土工事・山留</v>
      </c>
      <c r="C9" s="21" t="str">
        <f aca="false">IF($X9=0,"",IF(INDEX(工程マスタ!$C:$C,$X9)="","",INDEX(工程マスタ!$C:$C,$X9)))</f>
        <v>山留工事</v>
      </c>
      <c r="D9" s="21" t="str">
        <f aca="false">IF($X9=0,"",IF(INDEX(工程マスタ!$D:$D,$X9)="","",INDEX(工程マスタ!$D:$D,$X9)))</f>
        <v>▲▲土木</v>
      </c>
      <c r="E9" s="29" t="n">
        <f aca="false">IF($X9=0,"",IF(INDEX(工程マスタ!$E:$E,$X9)="","",INDEX(工程マスタ!$E:$E,$X9)))</f>
        <v>46230</v>
      </c>
      <c r="F9" s="29" t="n">
        <f aca="false">IF($X9=0,"",IF(INDEX(工程マスタ!$F:$F,$X9)="","",INDEX(工程マスタ!$F:$F,$X9)))</f>
        <v>46242</v>
      </c>
      <c r="G9" s="30" t="n">
        <f aca="false">IF($X9=0,"",IF(INDEX(工程マスタ!$H:$H,$X9)="","",INDEX(工程マスタ!$H:$H,$X9)))</f>
        <v>0</v>
      </c>
      <c r="H9" s="31" t="str">
        <f aca="false">IF($X9=0,"",IF(AND(INDEX(工程マスタ!$I:$I,$X9)="○",$E9=H$3),"▼",""))</f>
        <v/>
      </c>
      <c r="I9" s="31" t="str">
        <f aca="false">IF($X9=0,"",IF(AND(INDEX(工程マスタ!$I:$I,$X9)="○",$E9=I$3),"▼",""))</f>
        <v/>
      </c>
      <c r="J9" s="31" t="str">
        <f aca="false">IF($X9=0,"",IF(AND(INDEX(工程マスタ!$I:$I,$X9)="○",$E9=J$3),"▼",""))</f>
        <v/>
      </c>
      <c r="K9" s="31" t="str">
        <f aca="false">IF($X9=0,"",IF(AND(INDEX(工程マスタ!$I:$I,$X9)="○",$E9=K$3),"▼",""))</f>
        <v/>
      </c>
      <c r="L9" s="31" t="str">
        <f aca="false">IF($X9=0,"",IF(AND(INDEX(工程マスタ!$I:$I,$X9)="○",$E9=L$3),"▼",""))</f>
        <v/>
      </c>
      <c r="M9" s="31" t="str">
        <f aca="false">IF($X9=0,"",IF(AND(INDEX(工程マスタ!$I:$I,$X9)="○",$E9=M$3),"▼",""))</f>
        <v/>
      </c>
      <c r="N9" s="31" t="str">
        <f aca="false">IF($X9=0,"",IF(AND(INDEX(工程マスタ!$I:$I,$X9)="○",$E9=N$3),"▼",""))</f>
        <v/>
      </c>
      <c r="O9" s="31" t="str">
        <f aca="false">IF($X9=0,"",IF(AND(INDEX(工程マスタ!$I:$I,$X9)="○",$E9=O$3),"▼",""))</f>
        <v/>
      </c>
      <c r="P9" s="31" t="str">
        <f aca="false">IF($X9=0,"",IF(AND(INDEX(工程マスタ!$I:$I,$X9)="○",$E9=P$3),"▼",""))</f>
        <v/>
      </c>
      <c r="Q9" s="31" t="str">
        <f aca="false">IF($X9=0,"",IF(AND(INDEX(工程マスタ!$I:$I,$X9)="○",$E9=Q$3),"▼",""))</f>
        <v/>
      </c>
      <c r="R9" s="31" t="str">
        <f aca="false">IF($X9=0,"",IF(AND(INDEX(工程マスタ!$I:$I,$X9)="○",$E9=R$3),"▼",""))</f>
        <v/>
      </c>
      <c r="S9" s="31" t="str">
        <f aca="false">IF($X9=0,"",IF(AND(INDEX(工程マスタ!$I:$I,$X9)="○",$E9=S$3),"▼",""))</f>
        <v/>
      </c>
      <c r="T9" s="31" t="str">
        <f aca="false">IF($X9=0,"",IF(AND(INDEX(工程マスタ!$I:$I,$X9)="○",$E9=T$3),"▼",""))</f>
        <v/>
      </c>
      <c r="U9" s="31" t="str">
        <f aca="false">IF($X9=0,"",IF(AND(INDEX(工程マスタ!$I:$I,$X9)="○",$E9=U$3),"▼",""))</f>
        <v/>
      </c>
      <c r="V9" s="40" t="str">
        <f aca="false">IF($X9=0,"",IF(INDEX(工程マスタ!$J:$J,$X9)="","",INDEX(工程マスタ!$J:$J,$X9)))</f>
        <v/>
      </c>
      <c r="X9" s="27" t="n">
        <f aca="false" t="array" ref="X9:X9">IFERROR(SMALL(IF((工程マスタ!$K$5:$K$154&gt;0)*(工程マスタ!$K$5:$K$154&lt;=$B$2+13)*(工程マスタ!$L$5:$L$154&gt;=$B$2),ROW(工程マスタ!$C$5:$C$154)),3),0)</f>
        <v>11</v>
      </c>
      <c r="Y9" s="27" t="n">
        <f aca="false">IF($X9=0,0,INDEX(工程マスタ!$M:$M,$X9))</f>
        <v>46230</v>
      </c>
    </row>
    <row r="10" customFormat="false" ht="15" hidden="false" customHeight="false" outlineLevel="0" collapsed="false">
      <c r="A10" s="28" t="str">
        <f aca="false">IF($X10=0,"",IF(INDEX(工程マスタ!$A:$A,$X10)="","",INDEX(工程マスタ!$A:$A,$X10)))</f>
        <v/>
      </c>
      <c r="B10" s="21" t="str">
        <f aca="false">IF($X10=0,"",IF(INDEX(工程マスタ!$B:$B,$X10)="","",INDEX(工程マスタ!$B:$B,$X10)))</f>
        <v/>
      </c>
      <c r="C10" s="21" t="str">
        <f aca="false">IF($X10=0,"",IF(INDEX(工程マスタ!$C:$C,$X10)="","",INDEX(工程マスタ!$C:$C,$X10)))</f>
        <v/>
      </c>
      <c r="D10" s="21" t="str">
        <f aca="false">IF($X10=0,"",IF(INDEX(工程マスタ!$D:$D,$X10)="","",INDEX(工程マスタ!$D:$D,$X10)))</f>
        <v/>
      </c>
      <c r="E10" s="29" t="str">
        <f aca="false">IF($X10=0,"",IF(INDEX(工程マスタ!$E:$E,$X10)="","",INDEX(工程マスタ!$E:$E,$X10)))</f>
        <v/>
      </c>
      <c r="F10" s="29" t="str">
        <f aca="false">IF($X10=0,"",IF(INDEX(工程マスタ!$F:$F,$X10)="","",INDEX(工程マスタ!$F:$F,$X10)))</f>
        <v/>
      </c>
      <c r="G10" s="30" t="str">
        <f aca="false">IF($X10=0,"",IF(INDEX(工程マスタ!$H:$H,$X10)="","",INDEX(工程マスタ!$H:$H,$X10)))</f>
        <v/>
      </c>
      <c r="H10" s="31" t="str">
        <f aca="false">IF($X10=0,"",IF(AND(INDEX(工程マスタ!$I:$I,$X10)="○",$E10=H$3),"▼",""))</f>
        <v/>
      </c>
      <c r="I10" s="31" t="str">
        <f aca="false">IF($X10=0,"",IF(AND(INDEX(工程マスタ!$I:$I,$X10)="○",$E10=I$3),"▼",""))</f>
        <v/>
      </c>
      <c r="J10" s="31" t="str">
        <f aca="false">IF($X10=0,"",IF(AND(INDEX(工程マスタ!$I:$I,$X10)="○",$E10=J$3),"▼",""))</f>
        <v/>
      </c>
      <c r="K10" s="31" t="str">
        <f aca="false">IF($X10=0,"",IF(AND(INDEX(工程マスタ!$I:$I,$X10)="○",$E10=K$3),"▼",""))</f>
        <v/>
      </c>
      <c r="L10" s="31" t="str">
        <f aca="false">IF($X10=0,"",IF(AND(INDEX(工程マスタ!$I:$I,$X10)="○",$E10=L$3),"▼",""))</f>
        <v/>
      </c>
      <c r="M10" s="31" t="str">
        <f aca="false">IF($X10=0,"",IF(AND(INDEX(工程マスタ!$I:$I,$X10)="○",$E10=M$3),"▼",""))</f>
        <v/>
      </c>
      <c r="N10" s="31" t="str">
        <f aca="false">IF($X10=0,"",IF(AND(INDEX(工程マスタ!$I:$I,$X10)="○",$E10=N$3),"▼",""))</f>
        <v/>
      </c>
      <c r="O10" s="31" t="str">
        <f aca="false">IF($X10=0,"",IF(AND(INDEX(工程マスタ!$I:$I,$X10)="○",$E10=O$3),"▼",""))</f>
        <v/>
      </c>
      <c r="P10" s="31" t="str">
        <f aca="false">IF($X10=0,"",IF(AND(INDEX(工程マスタ!$I:$I,$X10)="○",$E10=P$3),"▼",""))</f>
        <v/>
      </c>
      <c r="Q10" s="31" t="str">
        <f aca="false">IF($X10=0,"",IF(AND(INDEX(工程マスタ!$I:$I,$X10)="○",$E10=Q$3),"▼",""))</f>
        <v/>
      </c>
      <c r="R10" s="31" t="str">
        <f aca="false">IF($X10=0,"",IF(AND(INDEX(工程マスタ!$I:$I,$X10)="○",$E10=R$3),"▼",""))</f>
        <v/>
      </c>
      <c r="S10" s="31" t="str">
        <f aca="false">IF($X10=0,"",IF(AND(INDEX(工程マスタ!$I:$I,$X10)="○",$E10=S$3),"▼",""))</f>
        <v/>
      </c>
      <c r="T10" s="31" t="str">
        <f aca="false">IF($X10=0,"",IF(AND(INDEX(工程マスタ!$I:$I,$X10)="○",$E10=T$3),"▼",""))</f>
        <v/>
      </c>
      <c r="U10" s="31" t="str">
        <f aca="false">IF($X10=0,"",IF(AND(INDEX(工程マスタ!$I:$I,$X10)="○",$E10=U$3),"▼",""))</f>
        <v/>
      </c>
      <c r="V10" s="40" t="str">
        <f aca="false">IF($X10=0,"",IF(INDEX(工程マスタ!$J:$J,$X10)="","",INDEX(工程マスタ!$J:$J,$X10)))</f>
        <v/>
      </c>
      <c r="X10" s="27" t="n">
        <f aca="false" t="array" ref="X10:X10">IFERROR(SMALL(IF((工程マスタ!$K$5:$K$154&gt;0)*(工程マスタ!$K$5:$K$154&lt;=$B$2+13)*(工程マスタ!$L$5:$L$154&gt;=$B$2),ROW(工程マスタ!$C$5:$C$154)),4),0)</f>
        <v>0</v>
      </c>
      <c r="Y10" s="27" t="n">
        <f aca="false">IF($X10=0,0,INDEX(工程マスタ!$M:$M,$X10))</f>
        <v>0</v>
      </c>
    </row>
    <row r="11" customFormat="false" ht="15" hidden="false" customHeight="false" outlineLevel="0" collapsed="false">
      <c r="A11" s="28" t="str">
        <f aca="false">IF($X11=0,"",IF(INDEX(工程マスタ!$A:$A,$X11)="","",INDEX(工程マスタ!$A:$A,$X11)))</f>
        <v/>
      </c>
      <c r="B11" s="21" t="str">
        <f aca="false">IF($X11=0,"",IF(INDEX(工程マスタ!$B:$B,$X11)="","",INDEX(工程マスタ!$B:$B,$X11)))</f>
        <v/>
      </c>
      <c r="C11" s="21" t="str">
        <f aca="false">IF($X11=0,"",IF(INDEX(工程マスタ!$C:$C,$X11)="","",INDEX(工程マスタ!$C:$C,$X11)))</f>
        <v/>
      </c>
      <c r="D11" s="21" t="str">
        <f aca="false">IF($X11=0,"",IF(INDEX(工程マスタ!$D:$D,$X11)="","",INDEX(工程マスタ!$D:$D,$X11)))</f>
        <v/>
      </c>
      <c r="E11" s="29" t="str">
        <f aca="false">IF($X11=0,"",IF(INDEX(工程マスタ!$E:$E,$X11)="","",INDEX(工程マスタ!$E:$E,$X11)))</f>
        <v/>
      </c>
      <c r="F11" s="29" t="str">
        <f aca="false">IF($X11=0,"",IF(INDEX(工程マスタ!$F:$F,$X11)="","",INDEX(工程マスタ!$F:$F,$X11)))</f>
        <v/>
      </c>
      <c r="G11" s="30" t="str">
        <f aca="false">IF($X11=0,"",IF(INDEX(工程マスタ!$H:$H,$X11)="","",INDEX(工程マスタ!$H:$H,$X11)))</f>
        <v/>
      </c>
      <c r="H11" s="31" t="str">
        <f aca="false">IF($X11=0,"",IF(AND(INDEX(工程マスタ!$I:$I,$X11)="○",$E11=H$3),"▼",""))</f>
        <v/>
      </c>
      <c r="I11" s="31" t="str">
        <f aca="false">IF($X11=0,"",IF(AND(INDEX(工程マスタ!$I:$I,$X11)="○",$E11=I$3),"▼",""))</f>
        <v/>
      </c>
      <c r="J11" s="31" t="str">
        <f aca="false">IF($X11=0,"",IF(AND(INDEX(工程マスタ!$I:$I,$X11)="○",$E11=J$3),"▼",""))</f>
        <v/>
      </c>
      <c r="K11" s="31" t="str">
        <f aca="false">IF($X11=0,"",IF(AND(INDEX(工程マスタ!$I:$I,$X11)="○",$E11=K$3),"▼",""))</f>
        <v/>
      </c>
      <c r="L11" s="31" t="str">
        <f aca="false">IF($X11=0,"",IF(AND(INDEX(工程マスタ!$I:$I,$X11)="○",$E11=L$3),"▼",""))</f>
        <v/>
      </c>
      <c r="M11" s="31" t="str">
        <f aca="false">IF($X11=0,"",IF(AND(INDEX(工程マスタ!$I:$I,$X11)="○",$E11=M$3),"▼",""))</f>
        <v/>
      </c>
      <c r="N11" s="31" t="str">
        <f aca="false">IF($X11=0,"",IF(AND(INDEX(工程マスタ!$I:$I,$X11)="○",$E11=N$3),"▼",""))</f>
        <v/>
      </c>
      <c r="O11" s="31" t="str">
        <f aca="false">IF($X11=0,"",IF(AND(INDEX(工程マスタ!$I:$I,$X11)="○",$E11=O$3),"▼",""))</f>
        <v/>
      </c>
      <c r="P11" s="31" t="str">
        <f aca="false">IF($X11=0,"",IF(AND(INDEX(工程マスタ!$I:$I,$X11)="○",$E11=P$3),"▼",""))</f>
        <v/>
      </c>
      <c r="Q11" s="31" t="str">
        <f aca="false">IF($X11=0,"",IF(AND(INDEX(工程マスタ!$I:$I,$X11)="○",$E11=Q$3),"▼",""))</f>
        <v/>
      </c>
      <c r="R11" s="31" t="str">
        <f aca="false">IF($X11=0,"",IF(AND(INDEX(工程マスタ!$I:$I,$X11)="○",$E11=R$3),"▼",""))</f>
        <v/>
      </c>
      <c r="S11" s="31" t="str">
        <f aca="false">IF($X11=0,"",IF(AND(INDEX(工程マスタ!$I:$I,$X11)="○",$E11=S$3),"▼",""))</f>
        <v/>
      </c>
      <c r="T11" s="31" t="str">
        <f aca="false">IF($X11=0,"",IF(AND(INDEX(工程マスタ!$I:$I,$X11)="○",$E11=T$3),"▼",""))</f>
        <v/>
      </c>
      <c r="U11" s="31" t="str">
        <f aca="false">IF($X11=0,"",IF(AND(INDEX(工程マスタ!$I:$I,$X11)="○",$E11=U$3),"▼",""))</f>
        <v/>
      </c>
      <c r="V11" s="40" t="str">
        <f aca="false">IF($X11=0,"",IF(INDEX(工程マスタ!$J:$J,$X11)="","",INDEX(工程マスタ!$J:$J,$X11)))</f>
        <v/>
      </c>
      <c r="X11" s="27" t="n">
        <f aca="false" t="array" ref="X11:X11">IFERROR(SMALL(IF((工程マスタ!$K$5:$K$154&gt;0)*(工程マスタ!$K$5:$K$154&lt;=$B$2+13)*(工程マスタ!$L$5:$L$154&gt;=$B$2),ROW(工程マスタ!$C$5:$C$154)),5),0)</f>
        <v>0</v>
      </c>
      <c r="Y11" s="27" t="n">
        <f aca="false">IF($X11=0,0,INDEX(工程マスタ!$M:$M,$X11))</f>
        <v>0</v>
      </c>
    </row>
    <row r="12" customFormat="false" ht="15" hidden="false" customHeight="false" outlineLevel="0" collapsed="false">
      <c r="A12" s="28" t="str">
        <f aca="false">IF($X12=0,"",IF(INDEX(工程マスタ!$A:$A,$X12)="","",INDEX(工程マスタ!$A:$A,$X12)))</f>
        <v/>
      </c>
      <c r="B12" s="21" t="str">
        <f aca="false">IF($X12=0,"",IF(INDEX(工程マスタ!$B:$B,$X12)="","",INDEX(工程マスタ!$B:$B,$X12)))</f>
        <v/>
      </c>
      <c r="C12" s="21" t="str">
        <f aca="false">IF($X12=0,"",IF(INDEX(工程マスタ!$C:$C,$X12)="","",INDEX(工程マスタ!$C:$C,$X12)))</f>
        <v/>
      </c>
      <c r="D12" s="21" t="str">
        <f aca="false">IF($X12=0,"",IF(INDEX(工程マスタ!$D:$D,$X12)="","",INDEX(工程マスタ!$D:$D,$X12)))</f>
        <v/>
      </c>
      <c r="E12" s="29" t="str">
        <f aca="false">IF($X12=0,"",IF(INDEX(工程マスタ!$E:$E,$X12)="","",INDEX(工程マスタ!$E:$E,$X12)))</f>
        <v/>
      </c>
      <c r="F12" s="29" t="str">
        <f aca="false">IF($X12=0,"",IF(INDEX(工程マスタ!$F:$F,$X12)="","",INDEX(工程マスタ!$F:$F,$X12)))</f>
        <v/>
      </c>
      <c r="G12" s="30" t="str">
        <f aca="false">IF($X12=0,"",IF(INDEX(工程マスタ!$H:$H,$X12)="","",INDEX(工程マスタ!$H:$H,$X12)))</f>
        <v/>
      </c>
      <c r="H12" s="31" t="str">
        <f aca="false">IF($X12=0,"",IF(AND(INDEX(工程マスタ!$I:$I,$X12)="○",$E12=H$3),"▼",""))</f>
        <v/>
      </c>
      <c r="I12" s="31" t="str">
        <f aca="false">IF($X12=0,"",IF(AND(INDEX(工程マスタ!$I:$I,$X12)="○",$E12=I$3),"▼",""))</f>
        <v/>
      </c>
      <c r="J12" s="31" t="str">
        <f aca="false">IF($X12=0,"",IF(AND(INDEX(工程マスタ!$I:$I,$X12)="○",$E12=J$3),"▼",""))</f>
        <v/>
      </c>
      <c r="K12" s="31" t="str">
        <f aca="false">IF($X12=0,"",IF(AND(INDEX(工程マスタ!$I:$I,$X12)="○",$E12=K$3),"▼",""))</f>
        <v/>
      </c>
      <c r="L12" s="31" t="str">
        <f aca="false">IF($X12=0,"",IF(AND(INDEX(工程マスタ!$I:$I,$X12)="○",$E12=L$3),"▼",""))</f>
        <v/>
      </c>
      <c r="M12" s="31" t="str">
        <f aca="false">IF($X12=0,"",IF(AND(INDEX(工程マスタ!$I:$I,$X12)="○",$E12=M$3),"▼",""))</f>
        <v/>
      </c>
      <c r="N12" s="31" t="str">
        <f aca="false">IF($X12=0,"",IF(AND(INDEX(工程マスタ!$I:$I,$X12)="○",$E12=N$3),"▼",""))</f>
        <v/>
      </c>
      <c r="O12" s="31" t="str">
        <f aca="false">IF($X12=0,"",IF(AND(INDEX(工程マスタ!$I:$I,$X12)="○",$E12=O$3),"▼",""))</f>
        <v/>
      </c>
      <c r="P12" s="31" t="str">
        <f aca="false">IF($X12=0,"",IF(AND(INDEX(工程マスタ!$I:$I,$X12)="○",$E12=P$3),"▼",""))</f>
        <v/>
      </c>
      <c r="Q12" s="31" t="str">
        <f aca="false">IF($X12=0,"",IF(AND(INDEX(工程マスタ!$I:$I,$X12)="○",$E12=Q$3),"▼",""))</f>
        <v/>
      </c>
      <c r="R12" s="31" t="str">
        <f aca="false">IF($X12=0,"",IF(AND(INDEX(工程マスタ!$I:$I,$X12)="○",$E12=R$3),"▼",""))</f>
        <v/>
      </c>
      <c r="S12" s="31" t="str">
        <f aca="false">IF($X12=0,"",IF(AND(INDEX(工程マスタ!$I:$I,$X12)="○",$E12=S$3),"▼",""))</f>
        <v/>
      </c>
      <c r="T12" s="31" t="str">
        <f aca="false">IF($X12=0,"",IF(AND(INDEX(工程マスタ!$I:$I,$X12)="○",$E12=T$3),"▼",""))</f>
        <v/>
      </c>
      <c r="U12" s="31" t="str">
        <f aca="false">IF($X12=0,"",IF(AND(INDEX(工程マスタ!$I:$I,$X12)="○",$E12=U$3),"▼",""))</f>
        <v/>
      </c>
      <c r="V12" s="40" t="str">
        <f aca="false">IF($X12=0,"",IF(INDEX(工程マスタ!$J:$J,$X12)="","",INDEX(工程マスタ!$J:$J,$X12)))</f>
        <v/>
      </c>
      <c r="X12" s="27" t="n">
        <f aca="false" t="array" ref="X12:X12">IFERROR(SMALL(IF((工程マスタ!$K$5:$K$154&gt;0)*(工程マスタ!$K$5:$K$154&lt;=$B$2+13)*(工程マスタ!$L$5:$L$154&gt;=$B$2),ROW(工程マスタ!$C$5:$C$154)),6),0)</f>
        <v>0</v>
      </c>
      <c r="Y12" s="27" t="n">
        <f aca="false">IF($X12=0,0,INDEX(工程マスタ!$M:$M,$X12))</f>
        <v>0</v>
      </c>
    </row>
    <row r="13" customFormat="false" ht="15" hidden="false" customHeight="false" outlineLevel="0" collapsed="false">
      <c r="A13" s="28" t="str">
        <f aca="false">IF($X13=0,"",IF(INDEX(工程マスタ!$A:$A,$X13)="","",INDEX(工程マスタ!$A:$A,$X13)))</f>
        <v/>
      </c>
      <c r="B13" s="21" t="str">
        <f aca="false">IF($X13=0,"",IF(INDEX(工程マスタ!$B:$B,$X13)="","",INDEX(工程マスタ!$B:$B,$X13)))</f>
        <v/>
      </c>
      <c r="C13" s="21" t="str">
        <f aca="false">IF($X13=0,"",IF(INDEX(工程マスタ!$C:$C,$X13)="","",INDEX(工程マスタ!$C:$C,$X13)))</f>
        <v/>
      </c>
      <c r="D13" s="21" t="str">
        <f aca="false">IF($X13=0,"",IF(INDEX(工程マスタ!$D:$D,$X13)="","",INDEX(工程マスタ!$D:$D,$X13)))</f>
        <v/>
      </c>
      <c r="E13" s="29" t="str">
        <f aca="false">IF($X13=0,"",IF(INDEX(工程マスタ!$E:$E,$X13)="","",INDEX(工程マスタ!$E:$E,$X13)))</f>
        <v/>
      </c>
      <c r="F13" s="29" t="str">
        <f aca="false">IF($X13=0,"",IF(INDEX(工程マスタ!$F:$F,$X13)="","",INDEX(工程マスタ!$F:$F,$X13)))</f>
        <v/>
      </c>
      <c r="G13" s="30" t="str">
        <f aca="false">IF($X13=0,"",IF(INDEX(工程マスタ!$H:$H,$X13)="","",INDEX(工程マスタ!$H:$H,$X13)))</f>
        <v/>
      </c>
      <c r="H13" s="31" t="str">
        <f aca="false">IF($X13=0,"",IF(AND(INDEX(工程マスタ!$I:$I,$X13)="○",$E13=H$3),"▼",""))</f>
        <v/>
      </c>
      <c r="I13" s="31" t="str">
        <f aca="false">IF($X13=0,"",IF(AND(INDEX(工程マスタ!$I:$I,$X13)="○",$E13=I$3),"▼",""))</f>
        <v/>
      </c>
      <c r="J13" s="31" t="str">
        <f aca="false">IF($X13=0,"",IF(AND(INDEX(工程マスタ!$I:$I,$X13)="○",$E13=J$3),"▼",""))</f>
        <v/>
      </c>
      <c r="K13" s="31" t="str">
        <f aca="false">IF($X13=0,"",IF(AND(INDEX(工程マスタ!$I:$I,$X13)="○",$E13=K$3),"▼",""))</f>
        <v/>
      </c>
      <c r="L13" s="31" t="str">
        <f aca="false">IF($X13=0,"",IF(AND(INDEX(工程マスタ!$I:$I,$X13)="○",$E13=L$3),"▼",""))</f>
        <v/>
      </c>
      <c r="M13" s="31" t="str">
        <f aca="false">IF($X13=0,"",IF(AND(INDEX(工程マスタ!$I:$I,$X13)="○",$E13=M$3),"▼",""))</f>
        <v/>
      </c>
      <c r="N13" s="31" t="str">
        <f aca="false">IF($X13=0,"",IF(AND(INDEX(工程マスタ!$I:$I,$X13)="○",$E13=N$3),"▼",""))</f>
        <v/>
      </c>
      <c r="O13" s="31" t="str">
        <f aca="false">IF($X13=0,"",IF(AND(INDEX(工程マスタ!$I:$I,$X13)="○",$E13=O$3),"▼",""))</f>
        <v/>
      </c>
      <c r="P13" s="31" t="str">
        <f aca="false">IF($X13=0,"",IF(AND(INDEX(工程マスタ!$I:$I,$X13)="○",$E13=P$3),"▼",""))</f>
        <v/>
      </c>
      <c r="Q13" s="31" t="str">
        <f aca="false">IF($X13=0,"",IF(AND(INDEX(工程マスタ!$I:$I,$X13)="○",$E13=Q$3),"▼",""))</f>
        <v/>
      </c>
      <c r="R13" s="31" t="str">
        <f aca="false">IF($X13=0,"",IF(AND(INDEX(工程マスタ!$I:$I,$X13)="○",$E13=R$3),"▼",""))</f>
        <v/>
      </c>
      <c r="S13" s="31" t="str">
        <f aca="false">IF($X13=0,"",IF(AND(INDEX(工程マスタ!$I:$I,$X13)="○",$E13=S$3),"▼",""))</f>
        <v/>
      </c>
      <c r="T13" s="31" t="str">
        <f aca="false">IF($X13=0,"",IF(AND(INDEX(工程マスタ!$I:$I,$X13)="○",$E13=T$3),"▼",""))</f>
        <v/>
      </c>
      <c r="U13" s="31" t="str">
        <f aca="false">IF($X13=0,"",IF(AND(INDEX(工程マスタ!$I:$I,$X13)="○",$E13=U$3),"▼",""))</f>
        <v/>
      </c>
      <c r="V13" s="40" t="str">
        <f aca="false">IF($X13=0,"",IF(INDEX(工程マスタ!$J:$J,$X13)="","",INDEX(工程マスタ!$J:$J,$X13)))</f>
        <v/>
      </c>
      <c r="X13" s="27" t="n">
        <f aca="false" t="array" ref="X13:X13">IFERROR(SMALL(IF((工程マスタ!$K$5:$K$154&gt;0)*(工程マスタ!$K$5:$K$154&lt;=$B$2+13)*(工程マスタ!$L$5:$L$154&gt;=$B$2),ROW(工程マスタ!$C$5:$C$154)),7),0)</f>
        <v>0</v>
      </c>
      <c r="Y13" s="27" t="n">
        <f aca="false">IF($X13=0,0,INDEX(工程マスタ!$M:$M,$X13))</f>
        <v>0</v>
      </c>
    </row>
    <row r="14" customFormat="false" ht="15" hidden="false" customHeight="false" outlineLevel="0" collapsed="false">
      <c r="A14" s="28" t="str">
        <f aca="false">IF($X14=0,"",IF(INDEX(工程マスタ!$A:$A,$X14)="","",INDEX(工程マスタ!$A:$A,$X14)))</f>
        <v/>
      </c>
      <c r="B14" s="21" t="str">
        <f aca="false">IF($X14=0,"",IF(INDEX(工程マスタ!$B:$B,$X14)="","",INDEX(工程マスタ!$B:$B,$X14)))</f>
        <v/>
      </c>
      <c r="C14" s="21" t="str">
        <f aca="false">IF($X14=0,"",IF(INDEX(工程マスタ!$C:$C,$X14)="","",INDEX(工程マスタ!$C:$C,$X14)))</f>
        <v/>
      </c>
      <c r="D14" s="21" t="str">
        <f aca="false">IF($X14=0,"",IF(INDEX(工程マスタ!$D:$D,$X14)="","",INDEX(工程マスタ!$D:$D,$X14)))</f>
        <v/>
      </c>
      <c r="E14" s="29" t="str">
        <f aca="false">IF($X14=0,"",IF(INDEX(工程マスタ!$E:$E,$X14)="","",INDEX(工程マスタ!$E:$E,$X14)))</f>
        <v/>
      </c>
      <c r="F14" s="29" t="str">
        <f aca="false">IF($X14=0,"",IF(INDEX(工程マスタ!$F:$F,$X14)="","",INDEX(工程マスタ!$F:$F,$X14)))</f>
        <v/>
      </c>
      <c r="G14" s="30" t="str">
        <f aca="false">IF($X14=0,"",IF(INDEX(工程マスタ!$H:$H,$X14)="","",INDEX(工程マスタ!$H:$H,$X14)))</f>
        <v/>
      </c>
      <c r="H14" s="31" t="str">
        <f aca="false">IF($X14=0,"",IF(AND(INDEX(工程マスタ!$I:$I,$X14)="○",$E14=H$3),"▼",""))</f>
        <v/>
      </c>
      <c r="I14" s="31" t="str">
        <f aca="false">IF($X14=0,"",IF(AND(INDEX(工程マスタ!$I:$I,$X14)="○",$E14=I$3),"▼",""))</f>
        <v/>
      </c>
      <c r="J14" s="31" t="str">
        <f aca="false">IF($X14=0,"",IF(AND(INDEX(工程マスタ!$I:$I,$X14)="○",$E14=J$3),"▼",""))</f>
        <v/>
      </c>
      <c r="K14" s="31" t="str">
        <f aca="false">IF($X14=0,"",IF(AND(INDEX(工程マスタ!$I:$I,$X14)="○",$E14=K$3),"▼",""))</f>
        <v/>
      </c>
      <c r="L14" s="31" t="str">
        <f aca="false">IF($X14=0,"",IF(AND(INDEX(工程マスタ!$I:$I,$X14)="○",$E14=L$3),"▼",""))</f>
        <v/>
      </c>
      <c r="M14" s="31" t="str">
        <f aca="false">IF($X14=0,"",IF(AND(INDEX(工程マスタ!$I:$I,$X14)="○",$E14=M$3),"▼",""))</f>
        <v/>
      </c>
      <c r="N14" s="31" t="str">
        <f aca="false">IF($X14=0,"",IF(AND(INDEX(工程マスタ!$I:$I,$X14)="○",$E14=N$3),"▼",""))</f>
        <v/>
      </c>
      <c r="O14" s="31" t="str">
        <f aca="false">IF($X14=0,"",IF(AND(INDEX(工程マスタ!$I:$I,$X14)="○",$E14=O$3),"▼",""))</f>
        <v/>
      </c>
      <c r="P14" s="31" t="str">
        <f aca="false">IF($X14=0,"",IF(AND(INDEX(工程マスタ!$I:$I,$X14)="○",$E14=P$3),"▼",""))</f>
        <v/>
      </c>
      <c r="Q14" s="31" t="str">
        <f aca="false">IF($X14=0,"",IF(AND(INDEX(工程マスタ!$I:$I,$X14)="○",$E14=Q$3),"▼",""))</f>
        <v/>
      </c>
      <c r="R14" s="31" t="str">
        <f aca="false">IF($X14=0,"",IF(AND(INDEX(工程マスタ!$I:$I,$X14)="○",$E14=R$3),"▼",""))</f>
        <v/>
      </c>
      <c r="S14" s="31" t="str">
        <f aca="false">IF($X14=0,"",IF(AND(INDEX(工程マスタ!$I:$I,$X14)="○",$E14=S$3),"▼",""))</f>
        <v/>
      </c>
      <c r="T14" s="31" t="str">
        <f aca="false">IF($X14=0,"",IF(AND(INDEX(工程マスタ!$I:$I,$X14)="○",$E14=T$3),"▼",""))</f>
        <v/>
      </c>
      <c r="U14" s="31" t="str">
        <f aca="false">IF($X14=0,"",IF(AND(INDEX(工程マスタ!$I:$I,$X14)="○",$E14=U$3),"▼",""))</f>
        <v/>
      </c>
      <c r="V14" s="40" t="str">
        <f aca="false">IF($X14=0,"",IF(INDEX(工程マスタ!$J:$J,$X14)="","",INDEX(工程マスタ!$J:$J,$X14)))</f>
        <v/>
      </c>
      <c r="X14" s="27" t="n">
        <f aca="false" t="array" ref="X14:X14">IFERROR(SMALL(IF((工程マスタ!$K$5:$K$154&gt;0)*(工程マスタ!$K$5:$K$154&lt;=$B$2+13)*(工程マスタ!$L$5:$L$154&gt;=$B$2),ROW(工程マスタ!$C$5:$C$154)),8),0)</f>
        <v>0</v>
      </c>
      <c r="Y14" s="27" t="n">
        <f aca="false">IF($X14=0,0,INDEX(工程マスタ!$M:$M,$X14))</f>
        <v>0</v>
      </c>
    </row>
    <row r="15" customFormat="false" ht="15" hidden="false" customHeight="false" outlineLevel="0" collapsed="false">
      <c r="A15" s="28" t="str">
        <f aca="false">IF($X15=0,"",IF(INDEX(工程マスタ!$A:$A,$X15)="","",INDEX(工程マスタ!$A:$A,$X15)))</f>
        <v/>
      </c>
      <c r="B15" s="21" t="str">
        <f aca="false">IF($X15=0,"",IF(INDEX(工程マスタ!$B:$B,$X15)="","",INDEX(工程マスタ!$B:$B,$X15)))</f>
        <v/>
      </c>
      <c r="C15" s="21" t="str">
        <f aca="false">IF($X15=0,"",IF(INDEX(工程マスタ!$C:$C,$X15)="","",INDEX(工程マスタ!$C:$C,$X15)))</f>
        <v/>
      </c>
      <c r="D15" s="21" t="str">
        <f aca="false">IF($X15=0,"",IF(INDEX(工程マスタ!$D:$D,$X15)="","",INDEX(工程マスタ!$D:$D,$X15)))</f>
        <v/>
      </c>
      <c r="E15" s="29" t="str">
        <f aca="false">IF($X15=0,"",IF(INDEX(工程マスタ!$E:$E,$X15)="","",INDEX(工程マスタ!$E:$E,$X15)))</f>
        <v/>
      </c>
      <c r="F15" s="29" t="str">
        <f aca="false">IF($X15=0,"",IF(INDEX(工程マスタ!$F:$F,$X15)="","",INDEX(工程マスタ!$F:$F,$X15)))</f>
        <v/>
      </c>
      <c r="G15" s="30" t="str">
        <f aca="false">IF($X15=0,"",IF(INDEX(工程マスタ!$H:$H,$X15)="","",INDEX(工程マスタ!$H:$H,$X15)))</f>
        <v/>
      </c>
      <c r="H15" s="31" t="str">
        <f aca="false">IF($X15=0,"",IF(AND(INDEX(工程マスタ!$I:$I,$X15)="○",$E15=H$3),"▼",""))</f>
        <v/>
      </c>
      <c r="I15" s="31" t="str">
        <f aca="false">IF($X15=0,"",IF(AND(INDEX(工程マスタ!$I:$I,$X15)="○",$E15=I$3),"▼",""))</f>
        <v/>
      </c>
      <c r="J15" s="31" t="str">
        <f aca="false">IF($X15=0,"",IF(AND(INDEX(工程マスタ!$I:$I,$X15)="○",$E15=J$3),"▼",""))</f>
        <v/>
      </c>
      <c r="K15" s="31" t="str">
        <f aca="false">IF($X15=0,"",IF(AND(INDEX(工程マスタ!$I:$I,$X15)="○",$E15=K$3),"▼",""))</f>
        <v/>
      </c>
      <c r="L15" s="31" t="str">
        <f aca="false">IF($X15=0,"",IF(AND(INDEX(工程マスタ!$I:$I,$X15)="○",$E15=L$3),"▼",""))</f>
        <v/>
      </c>
      <c r="M15" s="31" t="str">
        <f aca="false">IF($X15=0,"",IF(AND(INDEX(工程マスタ!$I:$I,$X15)="○",$E15=M$3),"▼",""))</f>
        <v/>
      </c>
      <c r="N15" s="31" t="str">
        <f aca="false">IF($X15=0,"",IF(AND(INDEX(工程マスタ!$I:$I,$X15)="○",$E15=N$3),"▼",""))</f>
        <v/>
      </c>
      <c r="O15" s="31" t="str">
        <f aca="false">IF($X15=0,"",IF(AND(INDEX(工程マスタ!$I:$I,$X15)="○",$E15=O$3),"▼",""))</f>
        <v/>
      </c>
      <c r="P15" s="31" t="str">
        <f aca="false">IF($X15=0,"",IF(AND(INDEX(工程マスタ!$I:$I,$X15)="○",$E15=P$3),"▼",""))</f>
        <v/>
      </c>
      <c r="Q15" s="31" t="str">
        <f aca="false">IF($X15=0,"",IF(AND(INDEX(工程マスタ!$I:$I,$X15)="○",$E15=Q$3),"▼",""))</f>
        <v/>
      </c>
      <c r="R15" s="31" t="str">
        <f aca="false">IF($X15=0,"",IF(AND(INDEX(工程マスタ!$I:$I,$X15)="○",$E15=R$3),"▼",""))</f>
        <v/>
      </c>
      <c r="S15" s="31" t="str">
        <f aca="false">IF($X15=0,"",IF(AND(INDEX(工程マスタ!$I:$I,$X15)="○",$E15=S$3),"▼",""))</f>
        <v/>
      </c>
      <c r="T15" s="31" t="str">
        <f aca="false">IF($X15=0,"",IF(AND(INDEX(工程マスタ!$I:$I,$X15)="○",$E15=T$3),"▼",""))</f>
        <v/>
      </c>
      <c r="U15" s="31" t="str">
        <f aca="false">IF($X15=0,"",IF(AND(INDEX(工程マスタ!$I:$I,$X15)="○",$E15=U$3),"▼",""))</f>
        <v/>
      </c>
      <c r="V15" s="40" t="str">
        <f aca="false">IF($X15=0,"",IF(INDEX(工程マスタ!$J:$J,$X15)="","",INDEX(工程マスタ!$J:$J,$X15)))</f>
        <v/>
      </c>
      <c r="X15" s="27" t="n">
        <f aca="false" t="array" ref="X15:X15">IFERROR(SMALL(IF((工程マスタ!$K$5:$K$154&gt;0)*(工程マスタ!$K$5:$K$154&lt;=$B$2+13)*(工程マスタ!$L$5:$L$154&gt;=$B$2),ROW(工程マスタ!$C$5:$C$154)),9),0)</f>
        <v>0</v>
      </c>
      <c r="Y15" s="27" t="n">
        <f aca="false">IF($X15=0,0,INDEX(工程マスタ!$M:$M,$X15))</f>
        <v>0</v>
      </c>
    </row>
    <row r="16" customFormat="false" ht="15" hidden="false" customHeight="false" outlineLevel="0" collapsed="false">
      <c r="A16" s="28" t="str">
        <f aca="false">IF($X16=0,"",IF(INDEX(工程マスタ!$A:$A,$X16)="","",INDEX(工程マスタ!$A:$A,$X16)))</f>
        <v/>
      </c>
      <c r="B16" s="21" t="str">
        <f aca="false">IF($X16=0,"",IF(INDEX(工程マスタ!$B:$B,$X16)="","",INDEX(工程マスタ!$B:$B,$X16)))</f>
        <v/>
      </c>
      <c r="C16" s="21" t="str">
        <f aca="false">IF($X16=0,"",IF(INDEX(工程マスタ!$C:$C,$X16)="","",INDEX(工程マスタ!$C:$C,$X16)))</f>
        <v/>
      </c>
      <c r="D16" s="21" t="str">
        <f aca="false">IF($X16=0,"",IF(INDEX(工程マスタ!$D:$D,$X16)="","",INDEX(工程マスタ!$D:$D,$X16)))</f>
        <v/>
      </c>
      <c r="E16" s="29" t="str">
        <f aca="false">IF($X16=0,"",IF(INDEX(工程マスタ!$E:$E,$X16)="","",INDEX(工程マスタ!$E:$E,$X16)))</f>
        <v/>
      </c>
      <c r="F16" s="29" t="str">
        <f aca="false">IF($X16=0,"",IF(INDEX(工程マスタ!$F:$F,$X16)="","",INDEX(工程マスタ!$F:$F,$X16)))</f>
        <v/>
      </c>
      <c r="G16" s="30" t="str">
        <f aca="false">IF($X16=0,"",IF(INDEX(工程マスタ!$H:$H,$X16)="","",INDEX(工程マスタ!$H:$H,$X16)))</f>
        <v/>
      </c>
      <c r="H16" s="31" t="str">
        <f aca="false">IF($X16=0,"",IF(AND(INDEX(工程マスタ!$I:$I,$X16)="○",$E16=H$3),"▼",""))</f>
        <v/>
      </c>
      <c r="I16" s="31" t="str">
        <f aca="false">IF($X16=0,"",IF(AND(INDEX(工程マスタ!$I:$I,$X16)="○",$E16=I$3),"▼",""))</f>
        <v/>
      </c>
      <c r="J16" s="31" t="str">
        <f aca="false">IF($X16=0,"",IF(AND(INDEX(工程マスタ!$I:$I,$X16)="○",$E16=J$3),"▼",""))</f>
        <v/>
      </c>
      <c r="K16" s="31" t="str">
        <f aca="false">IF($X16=0,"",IF(AND(INDEX(工程マスタ!$I:$I,$X16)="○",$E16=K$3),"▼",""))</f>
        <v/>
      </c>
      <c r="L16" s="31" t="str">
        <f aca="false">IF($X16=0,"",IF(AND(INDEX(工程マスタ!$I:$I,$X16)="○",$E16=L$3),"▼",""))</f>
        <v/>
      </c>
      <c r="M16" s="31" t="str">
        <f aca="false">IF($X16=0,"",IF(AND(INDEX(工程マスタ!$I:$I,$X16)="○",$E16=M$3),"▼",""))</f>
        <v/>
      </c>
      <c r="N16" s="31" t="str">
        <f aca="false">IF($X16=0,"",IF(AND(INDEX(工程マスタ!$I:$I,$X16)="○",$E16=N$3),"▼",""))</f>
        <v/>
      </c>
      <c r="O16" s="31" t="str">
        <f aca="false">IF($X16=0,"",IF(AND(INDEX(工程マスタ!$I:$I,$X16)="○",$E16=O$3),"▼",""))</f>
        <v/>
      </c>
      <c r="P16" s="31" t="str">
        <f aca="false">IF($X16=0,"",IF(AND(INDEX(工程マスタ!$I:$I,$X16)="○",$E16=P$3),"▼",""))</f>
        <v/>
      </c>
      <c r="Q16" s="31" t="str">
        <f aca="false">IF($X16=0,"",IF(AND(INDEX(工程マスタ!$I:$I,$X16)="○",$E16=Q$3),"▼",""))</f>
        <v/>
      </c>
      <c r="R16" s="31" t="str">
        <f aca="false">IF($X16=0,"",IF(AND(INDEX(工程マスタ!$I:$I,$X16)="○",$E16=R$3),"▼",""))</f>
        <v/>
      </c>
      <c r="S16" s="31" t="str">
        <f aca="false">IF($X16=0,"",IF(AND(INDEX(工程マスタ!$I:$I,$X16)="○",$E16=S$3),"▼",""))</f>
        <v/>
      </c>
      <c r="T16" s="31" t="str">
        <f aca="false">IF($X16=0,"",IF(AND(INDEX(工程マスタ!$I:$I,$X16)="○",$E16=T$3),"▼",""))</f>
        <v/>
      </c>
      <c r="U16" s="31" t="str">
        <f aca="false">IF($X16=0,"",IF(AND(INDEX(工程マスタ!$I:$I,$X16)="○",$E16=U$3),"▼",""))</f>
        <v/>
      </c>
      <c r="V16" s="40" t="str">
        <f aca="false">IF($X16=0,"",IF(INDEX(工程マスタ!$J:$J,$X16)="","",INDEX(工程マスタ!$J:$J,$X16)))</f>
        <v/>
      </c>
      <c r="X16" s="27" t="n">
        <f aca="false" t="array" ref="X16:X16">IFERROR(SMALL(IF((工程マスタ!$K$5:$K$154&gt;0)*(工程マスタ!$K$5:$K$154&lt;=$B$2+13)*(工程マスタ!$L$5:$L$154&gt;=$B$2),ROW(工程マスタ!$C$5:$C$154)),10),0)</f>
        <v>0</v>
      </c>
      <c r="Y16" s="27" t="n">
        <f aca="false">IF($X16=0,0,INDEX(工程マスタ!$M:$M,$X16))</f>
        <v>0</v>
      </c>
    </row>
    <row r="17" customFormat="false" ht="15" hidden="false" customHeight="false" outlineLevel="0" collapsed="false">
      <c r="A17" s="28" t="str">
        <f aca="false">IF($X17=0,"",IF(INDEX(工程マスタ!$A:$A,$X17)="","",INDEX(工程マスタ!$A:$A,$X17)))</f>
        <v/>
      </c>
      <c r="B17" s="21" t="str">
        <f aca="false">IF($X17=0,"",IF(INDEX(工程マスタ!$B:$B,$X17)="","",INDEX(工程マスタ!$B:$B,$X17)))</f>
        <v/>
      </c>
      <c r="C17" s="21" t="str">
        <f aca="false">IF($X17=0,"",IF(INDEX(工程マスタ!$C:$C,$X17)="","",INDEX(工程マスタ!$C:$C,$X17)))</f>
        <v/>
      </c>
      <c r="D17" s="21" t="str">
        <f aca="false">IF($X17=0,"",IF(INDEX(工程マスタ!$D:$D,$X17)="","",INDEX(工程マスタ!$D:$D,$X17)))</f>
        <v/>
      </c>
      <c r="E17" s="29" t="str">
        <f aca="false">IF($X17=0,"",IF(INDEX(工程マスタ!$E:$E,$X17)="","",INDEX(工程マスタ!$E:$E,$X17)))</f>
        <v/>
      </c>
      <c r="F17" s="29" t="str">
        <f aca="false">IF($X17=0,"",IF(INDEX(工程マスタ!$F:$F,$X17)="","",INDEX(工程マスタ!$F:$F,$X17)))</f>
        <v/>
      </c>
      <c r="G17" s="30" t="str">
        <f aca="false">IF($X17=0,"",IF(INDEX(工程マスタ!$H:$H,$X17)="","",INDEX(工程マスタ!$H:$H,$X17)))</f>
        <v/>
      </c>
      <c r="H17" s="31" t="str">
        <f aca="false">IF($X17=0,"",IF(AND(INDEX(工程マスタ!$I:$I,$X17)="○",$E17=H$3),"▼",""))</f>
        <v/>
      </c>
      <c r="I17" s="31" t="str">
        <f aca="false">IF($X17=0,"",IF(AND(INDEX(工程マスタ!$I:$I,$X17)="○",$E17=I$3),"▼",""))</f>
        <v/>
      </c>
      <c r="J17" s="31" t="str">
        <f aca="false">IF($X17=0,"",IF(AND(INDEX(工程マスタ!$I:$I,$X17)="○",$E17=J$3),"▼",""))</f>
        <v/>
      </c>
      <c r="K17" s="31" t="str">
        <f aca="false">IF($X17=0,"",IF(AND(INDEX(工程マスタ!$I:$I,$X17)="○",$E17=K$3),"▼",""))</f>
        <v/>
      </c>
      <c r="L17" s="31" t="str">
        <f aca="false">IF($X17=0,"",IF(AND(INDEX(工程マスタ!$I:$I,$X17)="○",$E17=L$3),"▼",""))</f>
        <v/>
      </c>
      <c r="M17" s="31" t="str">
        <f aca="false">IF($X17=0,"",IF(AND(INDEX(工程マスタ!$I:$I,$X17)="○",$E17=M$3),"▼",""))</f>
        <v/>
      </c>
      <c r="N17" s="31" t="str">
        <f aca="false">IF($X17=0,"",IF(AND(INDEX(工程マスタ!$I:$I,$X17)="○",$E17=N$3),"▼",""))</f>
        <v/>
      </c>
      <c r="O17" s="31" t="str">
        <f aca="false">IF($X17=0,"",IF(AND(INDEX(工程マスタ!$I:$I,$X17)="○",$E17=O$3),"▼",""))</f>
        <v/>
      </c>
      <c r="P17" s="31" t="str">
        <f aca="false">IF($X17=0,"",IF(AND(INDEX(工程マスタ!$I:$I,$X17)="○",$E17=P$3),"▼",""))</f>
        <v/>
      </c>
      <c r="Q17" s="31" t="str">
        <f aca="false">IF($X17=0,"",IF(AND(INDEX(工程マスタ!$I:$I,$X17)="○",$E17=Q$3),"▼",""))</f>
        <v/>
      </c>
      <c r="R17" s="31" t="str">
        <f aca="false">IF($X17=0,"",IF(AND(INDEX(工程マスタ!$I:$I,$X17)="○",$E17=R$3),"▼",""))</f>
        <v/>
      </c>
      <c r="S17" s="31" t="str">
        <f aca="false">IF($X17=0,"",IF(AND(INDEX(工程マスタ!$I:$I,$X17)="○",$E17=S$3),"▼",""))</f>
        <v/>
      </c>
      <c r="T17" s="31" t="str">
        <f aca="false">IF($X17=0,"",IF(AND(INDEX(工程マスタ!$I:$I,$X17)="○",$E17=T$3),"▼",""))</f>
        <v/>
      </c>
      <c r="U17" s="31" t="str">
        <f aca="false">IF($X17=0,"",IF(AND(INDEX(工程マスタ!$I:$I,$X17)="○",$E17=U$3),"▼",""))</f>
        <v/>
      </c>
      <c r="V17" s="40" t="str">
        <f aca="false">IF($X17=0,"",IF(INDEX(工程マスタ!$J:$J,$X17)="","",INDEX(工程マスタ!$J:$J,$X17)))</f>
        <v/>
      </c>
      <c r="X17" s="27" t="n">
        <f aca="false" t="array" ref="X17:X17">IFERROR(SMALL(IF((工程マスタ!$K$5:$K$154&gt;0)*(工程マスタ!$K$5:$K$154&lt;=$B$2+13)*(工程マスタ!$L$5:$L$154&gt;=$B$2),ROW(工程マスタ!$C$5:$C$154)),11),0)</f>
        <v>0</v>
      </c>
      <c r="Y17" s="27" t="n">
        <f aca="false">IF($X17=0,0,INDEX(工程マスタ!$M:$M,$X17))</f>
        <v>0</v>
      </c>
    </row>
    <row r="18" customFormat="false" ht="15" hidden="false" customHeight="false" outlineLevel="0" collapsed="false">
      <c r="A18" s="28" t="str">
        <f aca="false">IF($X18=0,"",IF(INDEX(工程マスタ!$A:$A,$X18)="","",INDEX(工程マスタ!$A:$A,$X18)))</f>
        <v/>
      </c>
      <c r="B18" s="21" t="str">
        <f aca="false">IF($X18=0,"",IF(INDEX(工程マスタ!$B:$B,$X18)="","",INDEX(工程マスタ!$B:$B,$X18)))</f>
        <v/>
      </c>
      <c r="C18" s="21" t="str">
        <f aca="false">IF($X18=0,"",IF(INDEX(工程マスタ!$C:$C,$X18)="","",INDEX(工程マスタ!$C:$C,$X18)))</f>
        <v/>
      </c>
      <c r="D18" s="21" t="str">
        <f aca="false">IF($X18=0,"",IF(INDEX(工程マスタ!$D:$D,$X18)="","",INDEX(工程マスタ!$D:$D,$X18)))</f>
        <v/>
      </c>
      <c r="E18" s="29" t="str">
        <f aca="false">IF($X18=0,"",IF(INDEX(工程マスタ!$E:$E,$X18)="","",INDEX(工程マスタ!$E:$E,$X18)))</f>
        <v/>
      </c>
      <c r="F18" s="29" t="str">
        <f aca="false">IF($X18=0,"",IF(INDEX(工程マスタ!$F:$F,$X18)="","",INDEX(工程マスタ!$F:$F,$X18)))</f>
        <v/>
      </c>
      <c r="G18" s="30" t="str">
        <f aca="false">IF($X18=0,"",IF(INDEX(工程マスタ!$H:$H,$X18)="","",INDEX(工程マスタ!$H:$H,$X18)))</f>
        <v/>
      </c>
      <c r="H18" s="31" t="str">
        <f aca="false">IF($X18=0,"",IF(AND(INDEX(工程マスタ!$I:$I,$X18)="○",$E18=H$3),"▼",""))</f>
        <v/>
      </c>
      <c r="I18" s="31" t="str">
        <f aca="false">IF($X18=0,"",IF(AND(INDEX(工程マスタ!$I:$I,$X18)="○",$E18=I$3),"▼",""))</f>
        <v/>
      </c>
      <c r="J18" s="31" t="str">
        <f aca="false">IF($X18=0,"",IF(AND(INDEX(工程マスタ!$I:$I,$X18)="○",$E18=J$3),"▼",""))</f>
        <v/>
      </c>
      <c r="K18" s="31" t="str">
        <f aca="false">IF($X18=0,"",IF(AND(INDEX(工程マスタ!$I:$I,$X18)="○",$E18=K$3),"▼",""))</f>
        <v/>
      </c>
      <c r="L18" s="31" t="str">
        <f aca="false">IF($X18=0,"",IF(AND(INDEX(工程マスタ!$I:$I,$X18)="○",$E18=L$3),"▼",""))</f>
        <v/>
      </c>
      <c r="M18" s="31" t="str">
        <f aca="false">IF($X18=0,"",IF(AND(INDEX(工程マスタ!$I:$I,$X18)="○",$E18=M$3),"▼",""))</f>
        <v/>
      </c>
      <c r="N18" s="31" t="str">
        <f aca="false">IF($X18=0,"",IF(AND(INDEX(工程マスタ!$I:$I,$X18)="○",$E18=N$3),"▼",""))</f>
        <v/>
      </c>
      <c r="O18" s="31" t="str">
        <f aca="false">IF($X18=0,"",IF(AND(INDEX(工程マスタ!$I:$I,$X18)="○",$E18=O$3),"▼",""))</f>
        <v/>
      </c>
      <c r="P18" s="31" t="str">
        <f aca="false">IF($X18=0,"",IF(AND(INDEX(工程マスタ!$I:$I,$X18)="○",$E18=P$3),"▼",""))</f>
        <v/>
      </c>
      <c r="Q18" s="31" t="str">
        <f aca="false">IF($X18=0,"",IF(AND(INDEX(工程マスタ!$I:$I,$X18)="○",$E18=Q$3),"▼",""))</f>
        <v/>
      </c>
      <c r="R18" s="31" t="str">
        <f aca="false">IF($X18=0,"",IF(AND(INDEX(工程マスタ!$I:$I,$X18)="○",$E18=R$3),"▼",""))</f>
        <v/>
      </c>
      <c r="S18" s="31" t="str">
        <f aca="false">IF($X18=0,"",IF(AND(INDEX(工程マスタ!$I:$I,$X18)="○",$E18=S$3),"▼",""))</f>
        <v/>
      </c>
      <c r="T18" s="31" t="str">
        <f aca="false">IF($X18=0,"",IF(AND(INDEX(工程マスタ!$I:$I,$X18)="○",$E18=T$3),"▼",""))</f>
        <v/>
      </c>
      <c r="U18" s="31" t="str">
        <f aca="false">IF($X18=0,"",IF(AND(INDEX(工程マスタ!$I:$I,$X18)="○",$E18=U$3),"▼",""))</f>
        <v/>
      </c>
      <c r="V18" s="40" t="str">
        <f aca="false">IF($X18=0,"",IF(INDEX(工程マスタ!$J:$J,$X18)="","",INDEX(工程マスタ!$J:$J,$X18)))</f>
        <v/>
      </c>
      <c r="X18" s="27" t="n">
        <f aca="false" t="array" ref="X18:X18">IFERROR(SMALL(IF((工程マスタ!$K$5:$K$154&gt;0)*(工程マスタ!$K$5:$K$154&lt;=$B$2+13)*(工程マスタ!$L$5:$L$154&gt;=$B$2),ROW(工程マスタ!$C$5:$C$154)),12),0)</f>
        <v>0</v>
      </c>
      <c r="Y18" s="27" t="n">
        <f aca="false">IF($X18=0,0,INDEX(工程マスタ!$M:$M,$X18))</f>
        <v>0</v>
      </c>
    </row>
    <row r="19" customFormat="false" ht="15" hidden="false" customHeight="false" outlineLevel="0" collapsed="false">
      <c r="A19" s="28" t="str">
        <f aca="false">IF($X19=0,"",IF(INDEX(工程マスタ!$A:$A,$X19)="","",INDEX(工程マスタ!$A:$A,$X19)))</f>
        <v/>
      </c>
      <c r="B19" s="21" t="str">
        <f aca="false">IF($X19=0,"",IF(INDEX(工程マスタ!$B:$B,$X19)="","",INDEX(工程マスタ!$B:$B,$X19)))</f>
        <v/>
      </c>
      <c r="C19" s="21" t="str">
        <f aca="false">IF($X19=0,"",IF(INDEX(工程マスタ!$C:$C,$X19)="","",INDEX(工程マスタ!$C:$C,$X19)))</f>
        <v/>
      </c>
      <c r="D19" s="21" t="str">
        <f aca="false">IF($X19=0,"",IF(INDEX(工程マスタ!$D:$D,$X19)="","",INDEX(工程マスタ!$D:$D,$X19)))</f>
        <v/>
      </c>
      <c r="E19" s="29" t="str">
        <f aca="false">IF($X19=0,"",IF(INDEX(工程マスタ!$E:$E,$X19)="","",INDEX(工程マスタ!$E:$E,$X19)))</f>
        <v/>
      </c>
      <c r="F19" s="29" t="str">
        <f aca="false">IF($X19=0,"",IF(INDEX(工程マスタ!$F:$F,$X19)="","",INDEX(工程マスタ!$F:$F,$X19)))</f>
        <v/>
      </c>
      <c r="G19" s="30" t="str">
        <f aca="false">IF($X19=0,"",IF(INDEX(工程マスタ!$H:$H,$X19)="","",INDEX(工程マスタ!$H:$H,$X19)))</f>
        <v/>
      </c>
      <c r="H19" s="31" t="str">
        <f aca="false">IF($X19=0,"",IF(AND(INDEX(工程マスタ!$I:$I,$X19)="○",$E19=H$3),"▼",""))</f>
        <v/>
      </c>
      <c r="I19" s="31" t="str">
        <f aca="false">IF($X19=0,"",IF(AND(INDEX(工程マスタ!$I:$I,$X19)="○",$E19=I$3),"▼",""))</f>
        <v/>
      </c>
      <c r="J19" s="31" t="str">
        <f aca="false">IF($X19=0,"",IF(AND(INDEX(工程マスタ!$I:$I,$X19)="○",$E19=J$3),"▼",""))</f>
        <v/>
      </c>
      <c r="K19" s="31" t="str">
        <f aca="false">IF($X19=0,"",IF(AND(INDEX(工程マスタ!$I:$I,$X19)="○",$E19=K$3),"▼",""))</f>
        <v/>
      </c>
      <c r="L19" s="31" t="str">
        <f aca="false">IF($X19=0,"",IF(AND(INDEX(工程マスタ!$I:$I,$X19)="○",$E19=L$3),"▼",""))</f>
        <v/>
      </c>
      <c r="M19" s="31" t="str">
        <f aca="false">IF($X19=0,"",IF(AND(INDEX(工程マスタ!$I:$I,$X19)="○",$E19=M$3),"▼",""))</f>
        <v/>
      </c>
      <c r="N19" s="31" t="str">
        <f aca="false">IF($X19=0,"",IF(AND(INDEX(工程マスタ!$I:$I,$X19)="○",$E19=N$3),"▼",""))</f>
        <v/>
      </c>
      <c r="O19" s="31" t="str">
        <f aca="false">IF($X19=0,"",IF(AND(INDEX(工程マスタ!$I:$I,$X19)="○",$E19=O$3),"▼",""))</f>
        <v/>
      </c>
      <c r="P19" s="31" t="str">
        <f aca="false">IF($X19=0,"",IF(AND(INDEX(工程マスタ!$I:$I,$X19)="○",$E19=P$3),"▼",""))</f>
        <v/>
      </c>
      <c r="Q19" s="31" t="str">
        <f aca="false">IF($X19=0,"",IF(AND(INDEX(工程マスタ!$I:$I,$X19)="○",$E19=Q$3),"▼",""))</f>
        <v/>
      </c>
      <c r="R19" s="31" t="str">
        <f aca="false">IF($X19=0,"",IF(AND(INDEX(工程マスタ!$I:$I,$X19)="○",$E19=R$3),"▼",""))</f>
        <v/>
      </c>
      <c r="S19" s="31" t="str">
        <f aca="false">IF($X19=0,"",IF(AND(INDEX(工程マスタ!$I:$I,$X19)="○",$E19=S$3),"▼",""))</f>
        <v/>
      </c>
      <c r="T19" s="31" t="str">
        <f aca="false">IF($X19=0,"",IF(AND(INDEX(工程マスタ!$I:$I,$X19)="○",$E19=T$3),"▼",""))</f>
        <v/>
      </c>
      <c r="U19" s="31" t="str">
        <f aca="false">IF($X19=0,"",IF(AND(INDEX(工程マスタ!$I:$I,$X19)="○",$E19=U$3),"▼",""))</f>
        <v/>
      </c>
      <c r="V19" s="40" t="str">
        <f aca="false">IF($X19=0,"",IF(INDEX(工程マスタ!$J:$J,$X19)="","",INDEX(工程マスタ!$J:$J,$X19)))</f>
        <v/>
      </c>
      <c r="X19" s="27" t="n">
        <f aca="false" t="array" ref="X19:X19">IFERROR(SMALL(IF((工程マスタ!$K$5:$K$154&gt;0)*(工程マスタ!$K$5:$K$154&lt;=$B$2+13)*(工程マスタ!$L$5:$L$154&gt;=$B$2),ROW(工程マスタ!$C$5:$C$154)),13),0)</f>
        <v>0</v>
      </c>
      <c r="Y19" s="27" t="n">
        <f aca="false">IF($X19=0,0,INDEX(工程マスタ!$M:$M,$X19))</f>
        <v>0</v>
      </c>
    </row>
    <row r="20" customFormat="false" ht="15" hidden="false" customHeight="false" outlineLevel="0" collapsed="false">
      <c r="A20" s="28" t="str">
        <f aca="false">IF($X20=0,"",IF(INDEX(工程マスタ!$A:$A,$X20)="","",INDEX(工程マスタ!$A:$A,$X20)))</f>
        <v/>
      </c>
      <c r="B20" s="21" t="str">
        <f aca="false">IF($X20=0,"",IF(INDEX(工程マスタ!$B:$B,$X20)="","",INDEX(工程マスタ!$B:$B,$X20)))</f>
        <v/>
      </c>
      <c r="C20" s="21" t="str">
        <f aca="false">IF($X20=0,"",IF(INDEX(工程マスタ!$C:$C,$X20)="","",INDEX(工程マスタ!$C:$C,$X20)))</f>
        <v/>
      </c>
      <c r="D20" s="21" t="str">
        <f aca="false">IF($X20=0,"",IF(INDEX(工程マスタ!$D:$D,$X20)="","",INDEX(工程マスタ!$D:$D,$X20)))</f>
        <v/>
      </c>
      <c r="E20" s="29" t="str">
        <f aca="false">IF($X20=0,"",IF(INDEX(工程マスタ!$E:$E,$X20)="","",INDEX(工程マスタ!$E:$E,$X20)))</f>
        <v/>
      </c>
      <c r="F20" s="29" t="str">
        <f aca="false">IF($X20=0,"",IF(INDEX(工程マスタ!$F:$F,$X20)="","",INDEX(工程マスタ!$F:$F,$X20)))</f>
        <v/>
      </c>
      <c r="G20" s="30" t="str">
        <f aca="false">IF($X20=0,"",IF(INDEX(工程マスタ!$H:$H,$X20)="","",INDEX(工程マスタ!$H:$H,$X20)))</f>
        <v/>
      </c>
      <c r="H20" s="31" t="str">
        <f aca="false">IF($X20=0,"",IF(AND(INDEX(工程マスタ!$I:$I,$X20)="○",$E20=H$3),"▼",""))</f>
        <v/>
      </c>
      <c r="I20" s="31" t="str">
        <f aca="false">IF($X20=0,"",IF(AND(INDEX(工程マスタ!$I:$I,$X20)="○",$E20=I$3),"▼",""))</f>
        <v/>
      </c>
      <c r="J20" s="31" t="str">
        <f aca="false">IF($X20=0,"",IF(AND(INDEX(工程マスタ!$I:$I,$X20)="○",$E20=J$3),"▼",""))</f>
        <v/>
      </c>
      <c r="K20" s="31" t="str">
        <f aca="false">IF($X20=0,"",IF(AND(INDEX(工程マスタ!$I:$I,$X20)="○",$E20=K$3),"▼",""))</f>
        <v/>
      </c>
      <c r="L20" s="31" t="str">
        <f aca="false">IF($X20=0,"",IF(AND(INDEX(工程マスタ!$I:$I,$X20)="○",$E20=L$3),"▼",""))</f>
        <v/>
      </c>
      <c r="M20" s="31" t="str">
        <f aca="false">IF($X20=0,"",IF(AND(INDEX(工程マスタ!$I:$I,$X20)="○",$E20=M$3),"▼",""))</f>
        <v/>
      </c>
      <c r="N20" s="31" t="str">
        <f aca="false">IF($X20=0,"",IF(AND(INDEX(工程マスタ!$I:$I,$X20)="○",$E20=N$3),"▼",""))</f>
        <v/>
      </c>
      <c r="O20" s="31" t="str">
        <f aca="false">IF($X20=0,"",IF(AND(INDEX(工程マスタ!$I:$I,$X20)="○",$E20=O$3),"▼",""))</f>
        <v/>
      </c>
      <c r="P20" s="31" t="str">
        <f aca="false">IF($X20=0,"",IF(AND(INDEX(工程マスタ!$I:$I,$X20)="○",$E20=P$3),"▼",""))</f>
        <v/>
      </c>
      <c r="Q20" s="31" t="str">
        <f aca="false">IF($X20=0,"",IF(AND(INDEX(工程マスタ!$I:$I,$X20)="○",$E20=Q$3),"▼",""))</f>
        <v/>
      </c>
      <c r="R20" s="31" t="str">
        <f aca="false">IF($X20=0,"",IF(AND(INDEX(工程マスタ!$I:$I,$X20)="○",$E20=R$3),"▼",""))</f>
        <v/>
      </c>
      <c r="S20" s="31" t="str">
        <f aca="false">IF($X20=0,"",IF(AND(INDEX(工程マスタ!$I:$I,$X20)="○",$E20=S$3),"▼",""))</f>
        <v/>
      </c>
      <c r="T20" s="31" t="str">
        <f aca="false">IF($X20=0,"",IF(AND(INDEX(工程マスタ!$I:$I,$X20)="○",$E20=T$3),"▼",""))</f>
        <v/>
      </c>
      <c r="U20" s="31" t="str">
        <f aca="false">IF($X20=0,"",IF(AND(INDEX(工程マスタ!$I:$I,$X20)="○",$E20=U$3),"▼",""))</f>
        <v/>
      </c>
      <c r="V20" s="40" t="str">
        <f aca="false">IF($X20=0,"",IF(INDEX(工程マスタ!$J:$J,$X20)="","",INDEX(工程マスタ!$J:$J,$X20)))</f>
        <v/>
      </c>
      <c r="X20" s="27" t="n">
        <f aca="false" t="array" ref="X20:X20">IFERROR(SMALL(IF((工程マスタ!$K$5:$K$154&gt;0)*(工程マスタ!$K$5:$K$154&lt;=$B$2+13)*(工程マスタ!$L$5:$L$154&gt;=$B$2),ROW(工程マスタ!$C$5:$C$154)),14),0)</f>
        <v>0</v>
      </c>
      <c r="Y20" s="27" t="n">
        <f aca="false">IF($X20=0,0,INDEX(工程マスタ!$M:$M,$X20))</f>
        <v>0</v>
      </c>
    </row>
    <row r="21" customFormat="false" ht="15" hidden="false" customHeight="false" outlineLevel="0" collapsed="false">
      <c r="A21" s="28" t="str">
        <f aca="false">IF($X21=0,"",IF(INDEX(工程マスタ!$A:$A,$X21)="","",INDEX(工程マスタ!$A:$A,$X21)))</f>
        <v/>
      </c>
      <c r="B21" s="21" t="str">
        <f aca="false">IF($X21=0,"",IF(INDEX(工程マスタ!$B:$B,$X21)="","",INDEX(工程マスタ!$B:$B,$X21)))</f>
        <v/>
      </c>
      <c r="C21" s="21" t="str">
        <f aca="false">IF($X21=0,"",IF(INDEX(工程マスタ!$C:$C,$X21)="","",INDEX(工程マスタ!$C:$C,$X21)))</f>
        <v/>
      </c>
      <c r="D21" s="21" t="str">
        <f aca="false">IF($X21=0,"",IF(INDEX(工程マスタ!$D:$D,$X21)="","",INDEX(工程マスタ!$D:$D,$X21)))</f>
        <v/>
      </c>
      <c r="E21" s="29" t="str">
        <f aca="false">IF($X21=0,"",IF(INDEX(工程マスタ!$E:$E,$X21)="","",INDEX(工程マスタ!$E:$E,$X21)))</f>
        <v/>
      </c>
      <c r="F21" s="29" t="str">
        <f aca="false">IF($X21=0,"",IF(INDEX(工程マスタ!$F:$F,$X21)="","",INDEX(工程マスタ!$F:$F,$X21)))</f>
        <v/>
      </c>
      <c r="G21" s="30" t="str">
        <f aca="false">IF($X21=0,"",IF(INDEX(工程マスタ!$H:$H,$X21)="","",INDEX(工程マスタ!$H:$H,$X21)))</f>
        <v/>
      </c>
      <c r="H21" s="31" t="str">
        <f aca="false">IF($X21=0,"",IF(AND(INDEX(工程マスタ!$I:$I,$X21)="○",$E21=H$3),"▼",""))</f>
        <v/>
      </c>
      <c r="I21" s="31" t="str">
        <f aca="false">IF($X21=0,"",IF(AND(INDEX(工程マスタ!$I:$I,$X21)="○",$E21=I$3),"▼",""))</f>
        <v/>
      </c>
      <c r="J21" s="31" t="str">
        <f aca="false">IF($X21=0,"",IF(AND(INDEX(工程マスタ!$I:$I,$X21)="○",$E21=J$3),"▼",""))</f>
        <v/>
      </c>
      <c r="K21" s="31" t="str">
        <f aca="false">IF($X21=0,"",IF(AND(INDEX(工程マスタ!$I:$I,$X21)="○",$E21=K$3),"▼",""))</f>
        <v/>
      </c>
      <c r="L21" s="31" t="str">
        <f aca="false">IF($X21=0,"",IF(AND(INDEX(工程マスタ!$I:$I,$X21)="○",$E21=L$3),"▼",""))</f>
        <v/>
      </c>
      <c r="M21" s="31" t="str">
        <f aca="false">IF($X21=0,"",IF(AND(INDEX(工程マスタ!$I:$I,$X21)="○",$E21=M$3),"▼",""))</f>
        <v/>
      </c>
      <c r="N21" s="31" t="str">
        <f aca="false">IF($X21=0,"",IF(AND(INDEX(工程マスタ!$I:$I,$X21)="○",$E21=N$3),"▼",""))</f>
        <v/>
      </c>
      <c r="O21" s="31" t="str">
        <f aca="false">IF($X21=0,"",IF(AND(INDEX(工程マスタ!$I:$I,$X21)="○",$E21=O$3),"▼",""))</f>
        <v/>
      </c>
      <c r="P21" s="31" t="str">
        <f aca="false">IF($X21=0,"",IF(AND(INDEX(工程マスタ!$I:$I,$X21)="○",$E21=P$3),"▼",""))</f>
        <v/>
      </c>
      <c r="Q21" s="31" t="str">
        <f aca="false">IF($X21=0,"",IF(AND(INDEX(工程マスタ!$I:$I,$X21)="○",$E21=Q$3),"▼",""))</f>
        <v/>
      </c>
      <c r="R21" s="31" t="str">
        <f aca="false">IF($X21=0,"",IF(AND(INDEX(工程マスタ!$I:$I,$X21)="○",$E21=R$3),"▼",""))</f>
        <v/>
      </c>
      <c r="S21" s="31" t="str">
        <f aca="false">IF($X21=0,"",IF(AND(INDEX(工程マスタ!$I:$I,$X21)="○",$E21=S$3),"▼",""))</f>
        <v/>
      </c>
      <c r="T21" s="31" t="str">
        <f aca="false">IF($X21=0,"",IF(AND(INDEX(工程マスタ!$I:$I,$X21)="○",$E21=T$3),"▼",""))</f>
        <v/>
      </c>
      <c r="U21" s="31" t="str">
        <f aca="false">IF($X21=0,"",IF(AND(INDEX(工程マスタ!$I:$I,$X21)="○",$E21=U$3),"▼",""))</f>
        <v/>
      </c>
      <c r="V21" s="40" t="str">
        <f aca="false">IF($X21=0,"",IF(INDEX(工程マスタ!$J:$J,$X21)="","",INDEX(工程マスタ!$J:$J,$X21)))</f>
        <v/>
      </c>
      <c r="X21" s="27" t="n">
        <f aca="false" t="array" ref="X21:X21">IFERROR(SMALL(IF((工程マスタ!$K$5:$K$154&gt;0)*(工程マスタ!$K$5:$K$154&lt;=$B$2+13)*(工程マスタ!$L$5:$L$154&gt;=$B$2),ROW(工程マスタ!$C$5:$C$154)),15),0)</f>
        <v>0</v>
      </c>
      <c r="Y21" s="27" t="n">
        <f aca="false">IF($X21=0,0,INDEX(工程マスタ!$M:$M,$X21))</f>
        <v>0</v>
      </c>
    </row>
    <row r="22" customFormat="false" ht="15" hidden="false" customHeight="false" outlineLevel="0" collapsed="false">
      <c r="A22" s="28" t="str">
        <f aca="false">IF($X22=0,"",IF(INDEX(工程マスタ!$A:$A,$X22)="","",INDEX(工程マスタ!$A:$A,$X22)))</f>
        <v/>
      </c>
      <c r="B22" s="21" t="str">
        <f aca="false">IF($X22=0,"",IF(INDEX(工程マスタ!$B:$B,$X22)="","",INDEX(工程マスタ!$B:$B,$X22)))</f>
        <v/>
      </c>
      <c r="C22" s="21" t="str">
        <f aca="false">IF($X22=0,"",IF(INDEX(工程マスタ!$C:$C,$X22)="","",INDEX(工程マスタ!$C:$C,$X22)))</f>
        <v/>
      </c>
      <c r="D22" s="21" t="str">
        <f aca="false">IF($X22=0,"",IF(INDEX(工程マスタ!$D:$D,$X22)="","",INDEX(工程マスタ!$D:$D,$X22)))</f>
        <v/>
      </c>
      <c r="E22" s="29" t="str">
        <f aca="false">IF($X22=0,"",IF(INDEX(工程マスタ!$E:$E,$X22)="","",INDEX(工程マスタ!$E:$E,$X22)))</f>
        <v/>
      </c>
      <c r="F22" s="29" t="str">
        <f aca="false">IF($X22=0,"",IF(INDEX(工程マスタ!$F:$F,$X22)="","",INDEX(工程マスタ!$F:$F,$X22)))</f>
        <v/>
      </c>
      <c r="G22" s="30" t="str">
        <f aca="false">IF($X22=0,"",IF(INDEX(工程マスタ!$H:$H,$X22)="","",INDEX(工程マスタ!$H:$H,$X22)))</f>
        <v/>
      </c>
      <c r="H22" s="31" t="str">
        <f aca="false">IF($X22=0,"",IF(AND(INDEX(工程マスタ!$I:$I,$X22)="○",$E22=H$3),"▼",""))</f>
        <v/>
      </c>
      <c r="I22" s="31" t="str">
        <f aca="false">IF($X22=0,"",IF(AND(INDEX(工程マスタ!$I:$I,$X22)="○",$E22=I$3),"▼",""))</f>
        <v/>
      </c>
      <c r="J22" s="31" t="str">
        <f aca="false">IF($X22=0,"",IF(AND(INDEX(工程マスタ!$I:$I,$X22)="○",$E22=J$3),"▼",""))</f>
        <v/>
      </c>
      <c r="K22" s="31" t="str">
        <f aca="false">IF($X22=0,"",IF(AND(INDEX(工程マスタ!$I:$I,$X22)="○",$E22=K$3),"▼",""))</f>
        <v/>
      </c>
      <c r="L22" s="31" t="str">
        <f aca="false">IF($X22=0,"",IF(AND(INDEX(工程マスタ!$I:$I,$X22)="○",$E22=L$3),"▼",""))</f>
        <v/>
      </c>
      <c r="M22" s="31" t="str">
        <f aca="false">IF($X22=0,"",IF(AND(INDEX(工程マスタ!$I:$I,$X22)="○",$E22=M$3),"▼",""))</f>
        <v/>
      </c>
      <c r="N22" s="31" t="str">
        <f aca="false">IF($X22=0,"",IF(AND(INDEX(工程マスタ!$I:$I,$X22)="○",$E22=N$3),"▼",""))</f>
        <v/>
      </c>
      <c r="O22" s="31" t="str">
        <f aca="false">IF($X22=0,"",IF(AND(INDEX(工程マスタ!$I:$I,$X22)="○",$E22=O$3),"▼",""))</f>
        <v/>
      </c>
      <c r="P22" s="31" t="str">
        <f aca="false">IF($X22=0,"",IF(AND(INDEX(工程マスタ!$I:$I,$X22)="○",$E22=P$3),"▼",""))</f>
        <v/>
      </c>
      <c r="Q22" s="31" t="str">
        <f aca="false">IF($X22=0,"",IF(AND(INDEX(工程マスタ!$I:$I,$X22)="○",$E22=Q$3),"▼",""))</f>
        <v/>
      </c>
      <c r="R22" s="31" t="str">
        <f aca="false">IF($X22=0,"",IF(AND(INDEX(工程マスタ!$I:$I,$X22)="○",$E22=R$3),"▼",""))</f>
        <v/>
      </c>
      <c r="S22" s="31" t="str">
        <f aca="false">IF($X22=0,"",IF(AND(INDEX(工程マスタ!$I:$I,$X22)="○",$E22=S$3),"▼",""))</f>
        <v/>
      </c>
      <c r="T22" s="31" t="str">
        <f aca="false">IF($X22=0,"",IF(AND(INDEX(工程マスタ!$I:$I,$X22)="○",$E22=T$3),"▼",""))</f>
        <v/>
      </c>
      <c r="U22" s="31" t="str">
        <f aca="false">IF($X22=0,"",IF(AND(INDEX(工程マスタ!$I:$I,$X22)="○",$E22=U$3),"▼",""))</f>
        <v/>
      </c>
      <c r="V22" s="40" t="str">
        <f aca="false">IF($X22=0,"",IF(INDEX(工程マスタ!$J:$J,$X22)="","",INDEX(工程マスタ!$J:$J,$X22)))</f>
        <v/>
      </c>
      <c r="X22" s="27" t="n">
        <f aca="false" t="array" ref="X22:X22">IFERROR(SMALL(IF((工程マスタ!$K$5:$K$154&gt;0)*(工程マスタ!$K$5:$K$154&lt;=$B$2+13)*(工程マスタ!$L$5:$L$154&gt;=$B$2),ROW(工程マスタ!$C$5:$C$154)),16),0)</f>
        <v>0</v>
      </c>
      <c r="Y22" s="27" t="n">
        <f aca="false">IF($X22=0,0,INDEX(工程マスタ!$M:$M,$X22))</f>
        <v>0</v>
      </c>
    </row>
    <row r="23" customFormat="false" ht="15" hidden="false" customHeight="false" outlineLevel="0" collapsed="false">
      <c r="A23" s="28" t="str">
        <f aca="false">IF($X23=0,"",IF(INDEX(工程マスタ!$A:$A,$X23)="","",INDEX(工程マスタ!$A:$A,$X23)))</f>
        <v/>
      </c>
      <c r="B23" s="21" t="str">
        <f aca="false">IF($X23=0,"",IF(INDEX(工程マスタ!$B:$B,$X23)="","",INDEX(工程マスタ!$B:$B,$X23)))</f>
        <v/>
      </c>
      <c r="C23" s="21" t="str">
        <f aca="false">IF($X23=0,"",IF(INDEX(工程マスタ!$C:$C,$X23)="","",INDEX(工程マスタ!$C:$C,$X23)))</f>
        <v/>
      </c>
      <c r="D23" s="21" t="str">
        <f aca="false">IF($X23=0,"",IF(INDEX(工程マスタ!$D:$D,$X23)="","",INDEX(工程マスタ!$D:$D,$X23)))</f>
        <v/>
      </c>
      <c r="E23" s="29" t="str">
        <f aca="false">IF($X23=0,"",IF(INDEX(工程マスタ!$E:$E,$X23)="","",INDEX(工程マスタ!$E:$E,$X23)))</f>
        <v/>
      </c>
      <c r="F23" s="29" t="str">
        <f aca="false">IF($X23=0,"",IF(INDEX(工程マスタ!$F:$F,$X23)="","",INDEX(工程マスタ!$F:$F,$X23)))</f>
        <v/>
      </c>
      <c r="G23" s="30" t="str">
        <f aca="false">IF($X23=0,"",IF(INDEX(工程マスタ!$H:$H,$X23)="","",INDEX(工程マスタ!$H:$H,$X23)))</f>
        <v/>
      </c>
      <c r="H23" s="31" t="str">
        <f aca="false">IF($X23=0,"",IF(AND(INDEX(工程マスタ!$I:$I,$X23)="○",$E23=H$3),"▼",""))</f>
        <v/>
      </c>
      <c r="I23" s="31" t="str">
        <f aca="false">IF($X23=0,"",IF(AND(INDEX(工程マスタ!$I:$I,$X23)="○",$E23=I$3),"▼",""))</f>
        <v/>
      </c>
      <c r="J23" s="31" t="str">
        <f aca="false">IF($X23=0,"",IF(AND(INDEX(工程マスタ!$I:$I,$X23)="○",$E23=J$3),"▼",""))</f>
        <v/>
      </c>
      <c r="K23" s="31" t="str">
        <f aca="false">IF($X23=0,"",IF(AND(INDEX(工程マスタ!$I:$I,$X23)="○",$E23=K$3),"▼",""))</f>
        <v/>
      </c>
      <c r="L23" s="31" t="str">
        <f aca="false">IF($X23=0,"",IF(AND(INDEX(工程マスタ!$I:$I,$X23)="○",$E23=L$3),"▼",""))</f>
        <v/>
      </c>
      <c r="M23" s="31" t="str">
        <f aca="false">IF($X23=0,"",IF(AND(INDEX(工程マスタ!$I:$I,$X23)="○",$E23=M$3),"▼",""))</f>
        <v/>
      </c>
      <c r="N23" s="31" t="str">
        <f aca="false">IF($X23=0,"",IF(AND(INDEX(工程マスタ!$I:$I,$X23)="○",$E23=N$3),"▼",""))</f>
        <v/>
      </c>
      <c r="O23" s="31" t="str">
        <f aca="false">IF($X23=0,"",IF(AND(INDEX(工程マスタ!$I:$I,$X23)="○",$E23=O$3),"▼",""))</f>
        <v/>
      </c>
      <c r="P23" s="31" t="str">
        <f aca="false">IF($X23=0,"",IF(AND(INDEX(工程マスタ!$I:$I,$X23)="○",$E23=P$3),"▼",""))</f>
        <v/>
      </c>
      <c r="Q23" s="31" t="str">
        <f aca="false">IF($X23=0,"",IF(AND(INDEX(工程マスタ!$I:$I,$X23)="○",$E23=Q$3),"▼",""))</f>
        <v/>
      </c>
      <c r="R23" s="31" t="str">
        <f aca="false">IF($X23=0,"",IF(AND(INDEX(工程マスタ!$I:$I,$X23)="○",$E23=R$3),"▼",""))</f>
        <v/>
      </c>
      <c r="S23" s="31" t="str">
        <f aca="false">IF($X23=0,"",IF(AND(INDEX(工程マスタ!$I:$I,$X23)="○",$E23=S$3),"▼",""))</f>
        <v/>
      </c>
      <c r="T23" s="31" t="str">
        <f aca="false">IF($X23=0,"",IF(AND(INDEX(工程マスタ!$I:$I,$X23)="○",$E23=T$3),"▼",""))</f>
        <v/>
      </c>
      <c r="U23" s="31" t="str">
        <f aca="false">IF($X23=0,"",IF(AND(INDEX(工程マスタ!$I:$I,$X23)="○",$E23=U$3),"▼",""))</f>
        <v/>
      </c>
      <c r="V23" s="40" t="str">
        <f aca="false">IF($X23=0,"",IF(INDEX(工程マスタ!$J:$J,$X23)="","",INDEX(工程マスタ!$J:$J,$X23)))</f>
        <v/>
      </c>
      <c r="X23" s="27" t="n">
        <f aca="false" t="array" ref="X23:X23">IFERROR(SMALL(IF((工程マスタ!$K$5:$K$154&gt;0)*(工程マスタ!$K$5:$K$154&lt;=$B$2+13)*(工程マスタ!$L$5:$L$154&gt;=$B$2),ROW(工程マスタ!$C$5:$C$154)),17),0)</f>
        <v>0</v>
      </c>
      <c r="Y23" s="27" t="n">
        <f aca="false">IF($X23=0,0,INDEX(工程マスタ!$M:$M,$X23))</f>
        <v>0</v>
      </c>
    </row>
    <row r="24" customFormat="false" ht="15" hidden="false" customHeight="false" outlineLevel="0" collapsed="false">
      <c r="A24" s="28" t="str">
        <f aca="false">IF($X24=0,"",IF(INDEX(工程マスタ!$A:$A,$X24)="","",INDEX(工程マスタ!$A:$A,$X24)))</f>
        <v/>
      </c>
      <c r="B24" s="21" t="str">
        <f aca="false">IF($X24=0,"",IF(INDEX(工程マスタ!$B:$B,$X24)="","",INDEX(工程マスタ!$B:$B,$X24)))</f>
        <v/>
      </c>
      <c r="C24" s="21" t="str">
        <f aca="false">IF($X24=0,"",IF(INDEX(工程マスタ!$C:$C,$X24)="","",INDEX(工程マスタ!$C:$C,$X24)))</f>
        <v/>
      </c>
      <c r="D24" s="21" t="str">
        <f aca="false">IF($X24=0,"",IF(INDEX(工程マスタ!$D:$D,$X24)="","",INDEX(工程マスタ!$D:$D,$X24)))</f>
        <v/>
      </c>
      <c r="E24" s="29" t="str">
        <f aca="false">IF($X24=0,"",IF(INDEX(工程マスタ!$E:$E,$X24)="","",INDEX(工程マスタ!$E:$E,$X24)))</f>
        <v/>
      </c>
      <c r="F24" s="29" t="str">
        <f aca="false">IF($X24=0,"",IF(INDEX(工程マスタ!$F:$F,$X24)="","",INDEX(工程マスタ!$F:$F,$X24)))</f>
        <v/>
      </c>
      <c r="G24" s="30" t="str">
        <f aca="false">IF($X24=0,"",IF(INDEX(工程マスタ!$H:$H,$X24)="","",INDEX(工程マスタ!$H:$H,$X24)))</f>
        <v/>
      </c>
      <c r="H24" s="31" t="str">
        <f aca="false">IF($X24=0,"",IF(AND(INDEX(工程マスタ!$I:$I,$X24)="○",$E24=H$3),"▼",""))</f>
        <v/>
      </c>
      <c r="I24" s="31" t="str">
        <f aca="false">IF($X24=0,"",IF(AND(INDEX(工程マスタ!$I:$I,$X24)="○",$E24=I$3),"▼",""))</f>
        <v/>
      </c>
      <c r="J24" s="31" t="str">
        <f aca="false">IF($X24=0,"",IF(AND(INDEX(工程マスタ!$I:$I,$X24)="○",$E24=J$3),"▼",""))</f>
        <v/>
      </c>
      <c r="K24" s="31" t="str">
        <f aca="false">IF($X24=0,"",IF(AND(INDEX(工程マスタ!$I:$I,$X24)="○",$E24=K$3),"▼",""))</f>
        <v/>
      </c>
      <c r="L24" s="31" t="str">
        <f aca="false">IF($X24=0,"",IF(AND(INDEX(工程マスタ!$I:$I,$X24)="○",$E24=L$3),"▼",""))</f>
        <v/>
      </c>
      <c r="M24" s="31" t="str">
        <f aca="false">IF($X24=0,"",IF(AND(INDEX(工程マスタ!$I:$I,$X24)="○",$E24=M$3),"▼",""))</f>
        <v/>
      </c>
      <c r="N24" s="31" t="str">
        <f aca="false">IF($X24=0,"",IF(AND(INDEX(工程マスタ!$I:$I,$X24)="○",$E24=N$3),"▼",""))</f>
        <v/>
      </c>
      <c r="O24" s="31" t="str">
        <f aca="false">IF($X24=0,"",IF(AND(INDEX(工程マスタ!$I:$I,$X24)="○",$E24=O$3),"▼",""))</f>
        <v/>
      </c>
      <c r="P24" s="31" t="str">
        <f aca="false">IF($X24=0,"",IF(AND(INDEX(工程マスタ!$I:$I,$X24)="○",$E24=P$3),"▼",""))</f>
        <v/>
      </c>
      <c r="Q24" s="31" t="str">
        <f aca="false">IF($X24=0,"",IF(AND(INDEX(工程マスタ!$I:$I,$X24)="○",$E24=Q$3),"▼",""))</f>
        <v/>
      </c>
      <c r="R24" s="31" t="str">
        <f aca="false">IF($X24=0,"",IF(AND(INDEX(工程マスタ!$I:$I,$X24)="○",$E24=R$3),"▼",""))</f>
        <v/>
      </c>
      <c r="S24" s="31" t="str">
        <f aca="false">IF($X24=0,"",IF(AND(INDEX(工程マスタ!$I:$I,$X24)="○",$E24=S$3),"▼",""))</f>
        <v/>
      </c>
      <c r="T24" s="31" t="str">
        <f aca="false">IF($X24=0,"",IF(AND(INDEX(工程マスタ!$I:$I,$X24)="○",$E24=T$3),"▼",""))</f>
        <v/>
      </c>
      <c r="U24" s="31" t="str">
        <f aca="false">IF($X24=0,"",IF(AND(INDEX(工程マスタ!$I:$I,$X24)="○",$E24=U$3),"▼",""))</f>
        <v/>
      </c>
      <c r="V24" s="40" t="str">
        <f aca="false">IF($X24=0,"",IF(INDEX(工程マスタ!$J:$J,$X24)="","",INDEX(工程マスタ!$J:$J,$X24)))</f>
        <v/>
      </c>
      <c r="X24" s="27" t="n">
        <f aca="false" t="array" ref="X24:X24">IFERROR(SMALL(IF((工程マスタ!$K$5:$K$154&gt;0)*(工程マスタ!$K$5:$K$154&lt;=$B$2+13)*(工程マスタ!$L$5:$L$154&gt;=$B$2),ROW(工程マスタ!$C$5:$C$154)),18),0)</f>
        <v>0</v>
      </c>
      <c r="Y24" s="27" t="n">
        <f aca="false">IF($X24=0,0,INDEX(工程マスタ!$M:$M,$X24))</f>
        <v>0</v>
      </c>
    </row>
    <row r="25" customFormat="false" ht="15" hidden="false" customHeight="false" outlineLevel="0" collapsed="false">
      <c r="A25" s="28" t="str">
        <f aca="false">IF($X25=0,"",IF(INDEX(工程マスタ!$A:$A,$X25)="","",INDEX(工程マスタ!$A:$A,$X25)))</f>
        <v/>
      </c>
      <c r="B25" s="21" t="str">
        <f aca="false">IF($X25=0,"",IF(INDEX(工程マスタ!$B:$B,$X25)="","",INDEX(工程マスタ!$B:$B,$X25)))</f>
        <v/>
      </c>
      <c r="C25" s="21" t="str">
        <f aca="false">IF($X25=0,"",IF(INDEX(工程マスタ!$C:$C,$X25)="","",INDEX(工程マスタ!$C:$C,$X25)))</f>
        <v/>
      </c>
      <c r="D25" s="21" t="str">
        <f aca="false">IF($X25=0,"",IF(INDEX(工程マスタ!$D:$D,$X25)="","",INDEX(工程マスタ!$D:$D,$X25)))</f>
        <v/>
      </c>
      <c r="E25" s="29" t="str">
        <f aca="false">IF($X25=0,"",IF(INDEX(工程マスタ!$E:$E,$X25)="","",INDEX(工程マスタ!$E:$E,$X25)))</f>
        <v/>
      </c>
      <c r="F25" s="29" t="str">
        <f aca="false">IF($X25=0,"",IF(INDEX(工程マスタ!$F:$F,$X25)="","",INDEX(工程マスタ!$F:$F,$X25)))</f>
        <v/>
      </c>
      <c r="G25" s="30" t="str">
        <f aca="false">IF($X25=0,"",IF(INDEX(工程マスタ!$H:$H,$X25)="","",INDEX(工程マスタ!$H:$H,$X25)))</f>
        <v/>
      </c>
      <c r="H25" s="31" t="str">
        <f aca="false">IF($X25=0,"",IF(AND(INDEX(工程マスタ!$I:$I,$X25)="○",$E25=H$3),"▼",""))</f>
        <v/>
      </c>
      <c r="I25" s="31" t="str">
        <f aca="false">IF($X25=0,"",IF(AND(INDEX(工程マスタ!$I:$I,$X25)="○",$E25=I$3),"▼",""))</f>
        <v/>
      </c>
      <c r="J25" s="31" t="str">
        <f aca="false">IF($X25=0,"",IF(AND(INDEX(工程マスタ!$I:$I,$X25)="○",$E25=J$3),"▼",""))</f>
        <v/>
      </c>
      <c r="K25" s="31" t="str">
        <f aca="false">IF($X25=0,"",IF(AND(INDEX(工程マスタ!$I:$I,$X25)="○",$E25=K$3),"▼",""))</f>
        <v/>
      </c>
      <c r="L25" s="31" t="str">
        <f aca="false">IF($X25=0,"",IF(AND(INDEX(工程マスタ!$I:$I,$X25)="○",$E25=L$3),"▼",""))</f>
        <v/>
      </c>
      <c r="M25" s="31" t="str">
        <f aca="false">IF($X25=0,"",IF(AND(INDEX(工程マスタ!$I:$I,$X25)="○",$E25=M$3),"▼",""))</f>
        <v/>
      </c>
      <c r="N25" s="31" t="str">
        <f aca="false">IF($X25=0,"",IF(AND(INDEX(工程マスタ!$I:$I,$X25)="○",$E25=N$3),"▼",""))</f>
        <v/>
      </c>
      <c r="O25" s="31" t="str">
        <f aca="false">IF($X25=0,"",IF(AND(INDEX(工程マスタ!$I:$I,$X25)="○",$E25=O$3),"▼",""))</f>
        <v/>
      </c>
      <c r="P25" s="31" t="str">
        <f aca="false">IF($X25=0,"",IF(AND(INDEX(工程マスタ!$I:$I,$X25)="○",$E25=P$3),"▼",""))</f>
        <v/>
      </c>
      <c r="Q25" s="31" t="str">
        <f aca="false">IF($X25=0,"",IF(AND(INDEX(工程マスタ!$I:$I,$X25)="○",$E25=Q$3),"▼",""))</f>
        <v/>
      </c>
      <c r="R25" s="31" t="str">
        <f aca="false">IF($X25=0,"",IF(AND(INDEX(工程マスタ!$I:$I,$X25)="○",$E25=R$3),"▼",""))</f>
        <v/>
      </c>
      <c r="S25" s="31" t="str">
        <f aca="false">IF($X25=0,"",IF(AND(INDEX(工程マスタ!$I:$I,$X25)="○",$E25=S$3),"▼",""))</f>
        <v/>
      </c>
      <c r="T25" s="31" t="str">
        <f aca="false">IF($X25=0,"",IF(AND(INDEX(工程マスタ!$I:$I,$X25)="○",$E25=T$3),"▼",""))</f>
        <v/>
      </c>
      <c r="U25" s="31" t="str">
        <f aca="false">IF($X25=0,"",IF(AND(INDEX(工程マスタ!$I:$I,$X25)="○",$E25=U$3),"▼",""))</f>
        <v/>
      </c>
      <c r="V25" s="40" t="str">
        <f aca="false">IF($X25=0,"",IF(INDEX(工程マスタ!$J:$J,$X25)="","",INDEX(工程マスタ!$J:$J,$X25)))</f>
        <v/>
      </c>
      <c r="X25" s="27" t="n">
        <f aca="false" t="array" ref="X25:X25">IFERROR(SMALL(IF((工程マスタ!$K$5:$K$154&gt;0)*(工程マスタ!$K$5:$K$154&lt;=$B$2+13)*(工程マスタ!$L$5:$L$154&gt;=$B$2),ROW(工程マスタ!$C$5:$C$154)),19),0)</f>
        <v>0</v>
      </c>
      <c r="Y25" s="27" t="n">
        <f aca="false">IF($X25=0,0,INDEX(工程マスタ!$M:$M,$X25))</f>
        <v>0</v>
      </c>
    </row>
    <row r="26" customFormat="false" ht="15" hidden="false" customHeight="false" outlineLevel="0" collapsed="false">
      <c r="A26" s="28" t="str">
        <f aca="false">IF($X26=0,"",IF(INDEX(工程マスタ!$A:$A,$X26)="","",INDEX(工程マスタ!$A:$A,$X26)))</f>
        <v/>
      </c>
      <c r="B26" s="21" t="str">
        <f aca="false">IF($X26=0,"",IF(INDEX(工程マスタ!$B:$B,$X26)="","",INDEX(工程マスタ!$B:$B,$X26)))</f>
        <v/>
      </c>
      <c r="C26" s="21" t="str">
        <f aca="false">IF($X26=0,"",IF(INDEX(工程マスタ!$C:$C,$X26)="","",INDEX(工程マスタ!$C:$C,$X26)))</f>
        <v/>
      </c>
      <c r="D26" s="21" t="str">
        <f aca="false">IF($X26=0,"",IF(INDEX(工程マスタ!$D:$D,$X26)="","",INDEX(工程マスタ!$D:$D,$X26)))</f>
        <v/>
      </c>
      <c r="E26" s="29" t="str">
        <f aca="false">IF($X26=0,"",IF(INDEX(工程マスタ!$E:$E,$X26)="","",INDEX(工程マスタ!$E:$E,$X26)))</f>
        <v/>
      </c>
      <c r="F26" s="29" t="str">
        <f aca="false">IF($X26=0,"",IF(INDEX(工程マスタ!$F:$F,$X26)="","",INDEX(工程マスタ!$F:$F,$X26)))</f>
        <v/>
      </c>
      <c r="G26" s="30" t="str">
        <f aca="false">IF($X26=0,"",IF(INDEX(工程マスタ!$H:$H,$X26)="","",INDEX(工程マスタ!$H:$H,$X26)))</f>
        <v/>
      </c>
      <c r="H26" s="31" t="str">
        <f aca="false">IF($X26=0,"",IF(AND(INDEX(工程マスタ!$I:$I,$X26)="○",$E26=H$3),"▼",""))</f>
        <v/>
      </c>
      <c r="I26" s="31" t="str">
        <f aca="false">IF($X26=0,"",IF(AND(INDEX(工程マスタ!$I:$I,$X26)="○",$E26=I$3),"▼",""))</f>
        <v/>
      </c>
      <c r="J26" s="31" t="str">
        <f aca="false">IF($X26=0,"",IF(AND(INDEX(工程マスタ!$I:$I,$X26)="○",$E26=J$3),"▼",""))</f>
        <v/>
      </c>
      <c r="K26" s="31" t="str">
        <f aca="false">IF($X26=0,"",IF(AND(INDEX(工程マスタ!$I:$I,$X26)="○",$E26=K$3),"▼",""))</f>
        <v/>
      </c>
      <c r="L26" s="31" t="str">
        <f aca="false">IF($X26=0,"",IF(AND(INDEX(工程マスタ!$I:$I,$X26)="○",$E26=L$3),"▼",""))</f>
        <v/>
      </c>
      <c r="M26" s="31" t="str">
        <f aca="false">IF($X26=0,"",IF(AND(INDEX(工程マスタ!$I:$I,$X26)="○",$E26=M$3),"▼",""))</f>
        <v/>
      </c>
      <c r="N26" s="31" t="str">
        <f aca="false">IF($X26=0,"",IF(AND(INDEX(工程マスタ!$I:$I,$X26)="○",$E26=N$3),"▼",""))</f>
        <v/>
      </c>
      <c r="O26" s="31" t="str">
        <f aca="false">IF($X26=0,"",IF(AND(INDEX(工程マスタ!$I:$I,$X26)="○",$E26=O$3),"▼",""))</f>
        <v/>
      </c>
      <c r="P26" s="31" t="str">
        <f aca="false">IF($X26=0,"",IF(AND(INDEX(工程マスタ!$I:$I,$X26)="○",$E26=P$3),"▼",""))</f>
        <v/>
      </c>
      <c r="Q26" s="31" t="str">
        <f aca="false">IF($X26=0,"",IF(AND(INDEX(工程マスタ!$I:$I,$X26)="○",$E26=Q$3),"▼",""))</f>
        <v/>
      </c>
      <c r="R26" s="31" t="str">
        <f aca="false">IF($X26=0,"",IF(AND(INDEX(工程マスタ!$I:$I,$X26)="○",$E26=R$3),"▼",""))</f>
        <v/>
      </c>
      <c r="S26" s="31" t="str">
        <f aca="false">IF($X26=0,"",IF(AND(INDEX(工程マスタ!$I:$I,$X26)="○",$E26=S$3),"▼",""))</f>
        <v/>
      </c>
      <c r="T26" s="31" t="str">
        <f aca="false">IF($X26=0,"",IF(AND(INDEX(工程マスタ!$I:$I,$X26)="○",$E26=T$3),"▼",""))</f>
        <v/>
      </c>
      <c r="U26" s="31" t="str">
        <f aca="false">IF($X26=0,"",IF(AND(INDEX(工程マスタ!$I:$I,$X26)="○",$E26=U$3),"▼",""))</f>
        <v/>
      </c>
      <c r="V26" s="40" t="str">
        <f aca="false">IF($X26=0,"",IF(INDEX(工程マスタ!$J:$J,$X26)="","",INDEX(工程マスタ!$J:$J,$X26)))</f>
        <v/>
      </c>
      <c r="X26" s="27" t="n">
        <f aca="false" t="array" ref="X26:X26">IFERROR(SMALL(IF((工程マスタ!$K$5:$K$154&gt;0)*(工程マスタ!$K$5:$K$154&lt;=$B$2+13)*(工程マスタ!$L$5:$L$154&gt;=$B$2),ROW(工程マスタ!$C$5:$C$154)),20),0)</f>
        <v>0</v>
      </c>
      <c r="Y26" s="27" t="n">
        <f aca="false">IF($X26=0,0,INDEX(工程マスタ!$M:$M,$X26))</f>
        <v>0</v>
      </c>
    </row>
    <row r="27" customFormat="false" ht="15" hidden="false" customHeight="false" outlineLevel="0" collapsed="false">
      <c r="A27" s="28" t="str">
        <f aca="false">IF($X27=0,"",IF(INDEX(工程マスタ!$A:$A,$X27)="","",INDEX(工程マスタ!$A:$A,$X27)))</f>
        <v/>
      </c>
      <c r="B27" s="21" t="str">
        <f aca="false">IF($X27=0,"",IF(INDEX(工程マスタ!$B:$B,$X27)="","",INDEX(工程マスタ!$B:$B,$X27)))</f>
        <v/>
      </c>
      <c r="C27" s="21" t="str">
        <f aca="false">IF($X27=0,"",IF(INDEX(工程マスタ!$C:$C,$X27)="","",INDEX(工程マスタ!$C:$C,$X27)))</f>
        <v/>
      </c>
      <c r="D27" s="21" t="str">
        <f aca="false">IF($X27=0,"",IF(INDEX(工程マスタ!$D:$D,$X27)="","",INDEX(工程マスタ!$D:$D,$X27)))</f>
        <v/>
      </c>
      <c r="E27" s="29" t="str">
        <f aca="false">IF($X27=0,"",IF(INDEX(工程マスタ!$E:$E,$X27)="","",INDEX(工程マスタ!$E:$E,$X27)))</f>
        <v/>
      </c>
      <c r="F27" s="29" t="str">
        <f aca="false">IF($X27=0,"",IF(INDEX(工程マスタ!$F:$F,$X27)="","",INDEX(工程マスタ!$F:$F,$X27)))</f>
        <v/>
      </c>
      <c r="G27" s="30" t="str">
        <f aca="false">IF($X27=0,"",IF(INDEX(工程マスタ!$H:$H,$X27)="","",INDEX(工程マスタ!$H:$H,$X27)))</f>
        <v/>
      </c>
      <c r="H27" s="31" t="str">
        <f aca="false">IF($X27=0,"",IF(AND(INDEX(工程マスタ!$I:$I,$X27)="○",$E27=H$3),"▼",""))</f>
        <v/>
      </c>
      <c r="I27" s="31" t="str">
        <f aca="false">IF($X27=0,"",IF(AND(INDEX(工程マスタ!$I:$I,$X27)="○",$E27=I$3),"▼",""))</f>
        <v/>
      </c>
      <c r="J27" s="31" t="str">
        <f aca="false">IF($X27=0,"",IF(AND(INDEX(工程マスタ!$I:$I,$X27)="○",$E27=J$3),"▼",""))</f>
        <v/>
      </c>
      <c r="K27" s="31" t="str">
        <f aca="false">IF($X27=0,"",IF(AND(INDEX(工程マスタ!$I:$I,$X27)="○",$E27=K$3),"▼",""))</f>
        <v/>
      </c>
      <c r="L27" s="31" t="str">
        <f aca="false">IF($X27=0,"",IF(AND(INDEX(工程マスタ!$I:$I,$X27)="○",$E27=L$3),"▼",""))</f>
        <v/>
      </c>
      <c r="M27" s="31" t="str">
        <f aca="false">IF($X27=0,"",IF(AND(INDEX(工程マスタ!$I:$I,$X27)="○",$E27=M$3),"▼",""))</f>
        <v/>
      </c>
      <c r="N27" s="31" t="str">
        <f aca="false">IF($X27=0,"",IF(AND(INDEX(工程マスタ!$I:$I,$X27)="○",$E27=N$3),"▼",""))</f>
        <v/>
      </c>
      <c r="O27" s="31" t="str">
        <f aca="false">IF($X27=0,"",IF(AND(INDEX(工程マスタ!$I:$I,$X27)="○",$E27=O$3),"▼",""))</f>
        <v/>
      </c>
      <c r="P27" s="31" t="str">
        <f aca="false">IF($X27=0,"",IF(AND(INDEX(工程マスタ!$I:$I,$X27)="○",$E27=P$3),"▼",""))</f>
        <v/>
      </c>
      <c r="Q27" s="31" t="str">
        <f aca="false">IF($X27=0,"",IF(AND(INDEX(工程マスタ!$I:$I,$X27)="○",$E27=Q$3),"▼",""))</f>
        <v/>
      </c>
      <c r="R27" s="31" t="str">
        <f aca="false">IF($X27=0,"",IF(AND(INDEX(工程マスタ!$I:$I,$X27)="○",$E27=R$3),"▼",""))</f>
        <v/>
      </c>
      <c r="S27" s="31" t="str">
        <f aca="false">IF($X27=0,"",IF(AND(INDEX(工程マスタ!$I:$I,$X27)="○",$E27=S$3),"▼",""))</f>
        <v/>
      </c>
      <c r="T27" s="31" t="str">
        <f aca="false">IF($X27=0,"",IF(AND(INDEX(工程マスタ!$I:$I,$X27)="○",$E27=T$3),"▼",""))</f>
        <v/>
      </c>
      <c r="U27" s="31" t="str">
        <f aca="false">IF($X27=0,"",IF(AND(INDEX(工程マスタ!$I:$I,$X27)="○",$E27=U$3),"▼",""))</f>
        <v/>
      </c>
      <c r="V27" s="40" t="str">
        <f aca="false">IF($X27=0,"",IF(INDEX(工程マスタ!$J:$J,$X27)="","",INDEX(工程マスタ!$J:$J,$X27)))</f>
        <v/>
      </c>
      <c r="X27" s="27" t="n">
        <f aca="false" t="array" ref="X27:X27">IFERROR(SMALL(IF((工程マスタ!$K$5:$K$154&gt;0)*(工程マスタ!$K$5:$K$154&lt;=$B$2+13)*(工程マスタ!$L$5:$L$154&gt;=$B$2),ROW(工程マスタ!$C$5:$C$154)),21),0)</f>
        <v>0</v>
      </c>
      <c r="Y27" s="27" t="n">
        <f aca="false">IF($X27=0,0,INDEX(工程マスタ!$M:$M,$X27))</f>
        <v>0</v>
      </c>
    </row>
    <row r="28" customFormat="false" ht="15" hidden="false" customHeight="false" outlineLevel="0" collapsed="false">
      <c r="A28" s="28" t="str">
        <f aca="false">IF($X28=0,"",IF(INDEX(工程マスタ!$A:$A,$X28)="","",INDEX(工程マスタ!$A:$A,$X28)))</f>
        <v/>
      </c>
      <c r="B28" s="21" t="str">
        <f aca="false">IF($X28=0,"",IF(INDEX(工程マスタ!$B:$B,$X28)="","",INDEX(工程マスタ!$B:$B,$X28)))</f>
        <v/>
      </c>
      <c r="C28" s="21" t="str">
        <f aca="false">IF($X28=0,"",IF(INDEX(工程マスタ!$C:$C,$X28)="","",INDEX(工程マスタ!$C:$C,$X28)))</f>
        <v/>
      </c>
      <c r="D28" s="21" t="str">
        <f aca="false">IF($X28=0,"",IF(INDEX(工程マスタ!$D:$D,$X28)="","",INDEX(工程マスタ!$D:$D,$X28)))</f>
        <v/>
      </c>
      <c r="E28" s="29" t="str">
        <f aca="false">IF($X28=0,"",IF(INDEX(工程マスタ!$E:$E,$X28)="","",INDEX(工程マスタ!$E:$E,$X28)))</f>
        <v/>
      </c>
      <c r="F28" s="29" t="str">
        <f aca="false">IF($X28=0,"",IF(INDEX(工程マスタ!$F:$F,$X28)="","",INDEX(工程マスタ!$F:$F,$X28)))</f>
        <v/>
      </c>
      <c r="G28" s="30" t="str">
        <f aca="false">IF($X28=0,"",IF(INDEX(工程マスタ!$H:$H,$X28)="","",INDEX(工程マスタ!$H:$H,$X28)))</f>
        <v/>
      </c>
      <c r="H28" s="31" t="str">
        <f aca="false">IF($X28=0,"",IF(AND(INDEX(工程マスタ!$I:$I,$X28)="○",$E28=H$3),"▼",""))</f>
        <v/>
      </c>
      <c r="I28" s="31" t="str">
        <f aca="false">IF($X28=0,"",IF(AND(INDEX(工程マスタ!$I:$I,$X28)="○",$E28=I$3),"▼",""))</f>
        <v/>
      </c>
      <c r="J28" s="31" t="str">
        <f aca="false">IF($X28=0,"",IF(AND(INDEX(工程マスタ!$I:$I,$X28)="○",$E28=J$3),"▼",""))</f>
        <v/>
      </c>
      <c r="K28" s="31" t="str">
        <f aca="false">IF($X28=0,"",IF(AND(INDEX(工程マスタ!$I:$I,$X28)="○",$E28=K$3),"▼",""))</f>
        <v/>
      </c>
      <c r="L28" s="31" t="str">
        <f aca="false">IF($X28=0,"",IF(AND(INDEX(工程マスタ!$I:$I,$X28)="○",$E28=L$3),"▼",""))</f>
        <v/>
      </c>
      <c r="M28" s="31" t="str">
        <f aca="false">IF($X28=0,"",IF(AND(INDEX(工程マスタ!$I:$I,$X28)="○",$E28=M$3),"▼",""))</f>
        <v/>
      </c>
      <c r="N28" s="31" t="str">
        <f aca="false">IF($X28=0,"",IF(AND(INDEX(工程マスタ!$I:$I,$X28)="○",$E28=N$3),"▼",""))</f>
        <v/>
      </c>
      <c r="O28" s="31" t="str">
        <f aca="false">IF($X28=0,"",IF(AND(INDEX(工程マスタ!$I:$I,$X28)="○",$E28=O$3),"▼",""))</f>
        <v/>
      </c>
      <c r="P28" s="31" t="str">
        <f aca="false">IF($X28=0,"",IF(AND(INDEX(工程マスタ!$I:$I,$X28)="○",$E28=P$3),"▼",""))</f>
        <v/>
      </c>
      <c r="Q28" s="31" t="str">
        <f aca="false">IF($X28=0,"",IF(AND(INDEX(工程マスタ!$I:$I,$X28)="○",$E28=Q$3),"▼",""))</f>
        <v/>
      </c>
      <c r="R28" s="31" t="str">
        <f aca="false">IF($X28=0,"",IF(AND(INDEX(工程マスタ!$I:$I,$X28)="○",$E28=R$3),"▼",""))</f>
        <v/>
      </c>
      <c r="S28" s="31" t="str">
        <f aca="false">IF($X28=0,"",IF(AND(INDEX(工程マスタ!$I:$I,$X28)="○",$E28=S$3),"▼",""))</f>
        <v/>
      </c>
      <c r="T28" s="31" t="str">
        <f aca="false">IF($X28=0,"",IF(AND(INDEX(工程マスタ!$I:$I,$X28)="○",$E28=T$3),"▼",""))</f>
        <v/>
      </c>
      <c r="U28" s="31" t="str">
        <f aca="false">IF($X28=0,"",IF(AND(INDEX(工程マスタ!$I:$I,$X28)="○",$E28=U$3),"▼",""))</f>
        <v/>
      </c>
      <c r="V28" s="40" t="str">
        <f aca="false">IF($X28=0,"",IF(INDEX(工程マスタ!$J:$J,$X28)="","",INDEX(工程マスタ!$J:$J,$X28)))</f>
        <v/>
      </c>
      <c r="X28" s="27" t="n">
        <f aca="false" t="array" ref="X28:X28">IFERROR(SMALL(IF((工程マスタ!$K$5:$K$154&gt;0)*(工程マスタ!$K$5:$K$154&lt;=$B$2+13)*(工程マスタ!$L$5:$L$154&gt;=$B$2),ROW(工程マスタ!$C$5:$C$154)),22),0)</f>
        <v>0</v>
      </c>
      <c r="Y28" s="27" t="n">
        <f aca="false">IF($X28=0,0,INDEX(工程マスタ!$M:$M,$X28))</f>
        <v>0</v>
      </c>
    </row>
    <row r="29" customFormat="false" ht="15" hidden="false" customHeight="false" outlineLevel="0" collapsed="false">
      <c r="A29" s="28" t="str">
        <f aca="false">IF($X29=0,"",IF(INDEX(工程マスタ!$A:$A,$X29)="","",INDEX(工程マスタ!$A:$A,$X29)))</f>
        <v/>
      </c>
      <c r="B29" s="21" t="str">
        <f aca="false">IF($X29=0,"",IF(INDEX(工程マスタ!$B:$B,$X29)="","",INDEX(工程マスタ!$B:$B,$X29)))</f>
        <v/>
      </c>
      <c r="C29" s="21" t="str">
        <f aca="false">IF($X29=0,"",IF(INDEX(工程マスタ!$C:$C,$X29)="","",INDEX(工程マスタ!$C:$C,$X29)))</f>
        <v/>
      </c>
      <c r="D29" s="21" t="str">
        <f aca="false">IF($X29=0,"",IF(INDEX(工程マスタ!$D:$D,$X29)="","",INDEX(工程マスタ!$D:$D,$X29)))</f>
        <v/>
      </c>
      <c r="E29" s="29" t="str">
        <f aca="false">IF($X29=0,"",IF(INDEX(工程マスタ!$E:$E,$X29)="","",INDEX(工程マスタ!$E:$E,$X29)))</f>
        <v/>
      </c>
      <c r="F29" s="29" t="str">
        <f aca="false">IF($X29=0,"",IF(INDEX(工程マスタ!$F:$F,$X29)="","",INDEX(工程マスタ!$F:$F,$X29)))</f>
        <v/>
      </c>
      <c r="G29" s="30" t="str">
        <f aca="false">IF($X29=0,"",IF(INDEX(工程マスタ!$H:$H,$X29)="","",INDEX(工程マスタ!$H:$H,$X29)))</f>
        <v/>
      </c>
      <c r="H29" s="31" t="str">
        <f aca="false">IF($X29=0,"",IF(AND(INDEX(工程マスタ!$I:$I,$X29)="○",$E29=H$3),"▼",""))</f>
        <v/>
      </c>
      <c r="I29" s="31" t="str">
        <f aca="false">IF($X29=0,"",IF(AND(INDEX(工程マスタ!$I:$I,$X29)="○",$E29=I$3),"▼",""))</f>
        <v/>
      </c>
      <c r="J29" s="31" t="str">
        <f aca="false">IF($X29=0,"",IF(AND(INDEX(工程マスタ!$I:$I,$X29)="○",$E29=J$3),"▼",""))</f>
        <v/>
      </c>
      <c r="K29" s="31" t="str">
        <f aca="false">IF($X29=0,"",IF(AND(INDEX(工程マスタ!$I:$I,$X29)="○",$E29=K$3),"▼",""))</f>
        <v/>
      </c>
      <c r="L29" s="31" t="str">
        <f aca="false">IF($X29=0,"",IF(AND(INDEX(工程マスタ!$I:$I,$X29)="○",$E29=L$3),"▼",""))</f>
        <v/>
      </c>
      <c r="M29" s="31" t="str">
        <f aca="false">IF($X29=0,"",IF(AND(INDEX(工程マスタ!$I:$I,$X29)="○",$E29=M$3),"▼",""))</f>
        <v/>
      </c>
      <c r="N29" s="31" t="str">
        <f aca="false">IF($X29=0,"",IF(AND(INDEX(工程マスタ!$I:$I,$X29)="○",$E29=N$3),"▼",""))</f>
        <v/>
      </c>
      <c r="O29" s="31" t="str">
        <f aca="false">IF($X29=0,"",IF(AND(INDEX(工程マスタ!$I:$I,$X29)="○",$E29=O$3),"▼",""))</f>
        <v/>
      </c>
      <c r="P29" s="31" t="str">
        <f aca="false">IF($X29=0,"",IF(AND(INDEX(工程マスタ!$I:$I,$X29)="○",$E29=P$3),"▼",""))</f>
        <v/>
      </c>
      <c r="Q29" s="31" t="str">
        <f aca="false">IF($X29=0,"",IF(AND(INDEX(工程マスタ!$I:$I,$X29)="○",$E29=Q$3),"▼",""))</f>
        <v/>
      </c>
      <c r="R29" s="31" t="str">
        <f aca="false">IF($X29=0,"",IF(AND(INDEX(工程マスタ!$I:$I,$X29)="○",$E29=R$3),"▼",""))</f>
        <v/>
      </c>
      <c r="S29" s="31" t="str">
        <f aca="false">IF($X29=0,"",IF(AND(INDEX(工程マスタ!$I:$I,$X29)="○",$E29=S$3),"▼",""))</f>
        <v/>
      </c>
      <c r="T29" s="31" t="str">
        <f aca="false">IF($X29=0,"",IF(AND(INDEX(工程マスタ!$I:$I,$X29)="○",$E29=T$3),"▼",""))</f>
        <v/>
      </c>
      <c r="U29" s="31" t="str">
        <f aca="false">IF($X29=0,"",IF(AND(INDEX(工程マスタ!$I:$I,$X29)="○",$E29=U$3),"▼",""))</f>
        <v/>
      </c>
      <c r="V29" s="40" t="str">
        <f aca="false">IF($X29=0,"",IF(INDEX(工程マスタ!$J:$J,$X29)="","",INDEX(工程マスタ!$J:$J,$X29)))</f>
        <v/>
      </c>
      <c r="X29" s="27" t="n">
        <f aca="false" t="array" ref="X29:X29">IFERROR(SMALL(IF((工程マスタ!$K$5:$K$154&gt;0)*(工程マスタ!$K$5:$K$154&lt;=$B$2+13)*(工程マスタ!$L$5:$L$154&gt;=$B$2),ROW(工程マスタ!$C$5:$C$154)),23),0)</f>
        <v>0</v>
      </c>
      <c r="Y29" s="27" t="n">
        <f aca="false">IF($X29=0,0,INDEX(工程マスタ!$M:$M,$X29))</f>
        <v>0</v>
      </c>
    </row>
    <row r="30" customFormat="false" ht="15" hidden="false" customHeight="false" outlineLevel="0" collapsed="false">
      <c r="A30" s="28" t="str">
        <f aca="false">IF($X30=0,"",IF(INDEX(工程マスタ!$A:$A,$X30)="","",INDEX(工程マスタ!$A:$A,$X30)))</f>
        <v/>
      </c>
      <c r="B30" s="21" t="str">
        <f aca="false">IF($X30=0,"",IF(INDEX(工程マスタ!$B:$B,$X30)="","",INDEX(工程マスタ!$B:$B,$X30)))</f>
        <v/>
      </c>
      <c r="C30" s="21" t="str">
        <f aca="false">IF($X30=0,"",IF(INDEX(工程マスタ!$C:$C,$X30)="","",INDEX(工程マスタ!$C:$C,$X30)))</f>
        <v/>
      </c>
      <c r="D30" s="21" t="str">
        <f aca="false">IF($X30=0,"",IF(INDEX(工程マスタ!$D:$D,$X30)="","",INDEX(工程マスタ!$D:$D,$X30)))</f>
        <v/>
      </c>
      <c r="E30" s="29" t="str">
        <f aca="false">IF($X30=0,"",IF(INDEX(工程マスタ!$E:$E,$X30)="","",INDEX(工程マスタ!$E:$E,$X30)))</f>
        <v/>
      </c>
      <c r="F30" s="29" t="str">
        <f aca="false">IF($X30=0,"",IF(INDEX(工程マスタ!$F:$F,$X30)="","",INDEX(工程マスタ!$F:$F,$X30)))</f>
        <v/>
      </c>
      <c r="G30" s="30" t="str">
        <f aca="false">IF($X30=0,"",IF(INDEX(工程マスタ!$H:$H,$X30)="","",INDEX(工程マスタ!$H:$H,$X30)))</f>
        <v/>
      </c>
      <c r="H30" s="31" t="str">
        <f aca="false">IF($X30=0,"",IF(AND(INDEX(工程マスタ!$I:$I,$X30)="○",$E30=H$3),"▼",""))</f>
        <v/>
      </c>
      <c r="I30" s="31" t="str">
        <f aca="false">IF($X30=0,"",IF(AND(INDEX(工程マスタ!$I:$I,$X30)="○",$E30=I$3),"▼",""))</f>
        <v/>
      </c>
      <c r="J30" s="31" t="str">
        <f aca="false">IF($X30=0,"",IF(AND(INDEX(工程マスタ!$I:$I,$X30)="○",$E30=J$3),"▼",""))</f>
        <v/>
      </c>
      <c r="K30" s="31" t="str">
        <f aca="false">IF($X30=0,"",IF(AND(INDEX(工程マスタ!$I:$I,$X30)="○",$E30=K$3),"▼",""))</f>
        <v/>
      </c>
      <c r="L30" s="31" t="str">
        <f aca="false">IF($X30=0,"",IF(AND(INDEX(工程マスタ!$I:$I,$X30)="○",$E30=L$3),"▼",""))</f>
        <v/>
      </c>
      <c r="M30" s="31" t="str">
        <f aca="false">IF($X30=0,"",IF(AND(INDEX(工程マスタ!$I:$I,$X30)="○",$E30=M$3),"▼",""))</f>
        <v/>
      </c>
      <c r="N30" s="31" t="str">
        <f aca="false">IF($X30=0,"",IF(AND(INDEX(工程マスタ!$I:$I,$X30)="○",$E30=N$3),"▼",""))</f>
        <v/>
      </c>
      <c r="O30" s="31" t="str">
        <f aca="false">IF($X30=0,"",IF(AND(INDEX(工程マスタ!$I:$I,$X30)="○",$E30=O$3),"▼",""))</f>
        <v/>
      </c>
      <c r="P30" s="31" t="str">
        <f aca="false">IF($X30=0,"",IF(AND(INDEX(工程マスタ!$I:$I,$X30)="○",$E30=P$3),"▼",""))</f>
        <v/>
      </c>
      <c r="Q30" s="31" t="str">
        <f aca="false">IF($X30=0,"",IF(AND(INDEX(工程マスタ!$I:$I,$X30)="○",$E30=Q$3),"▼",""))</f>
        <v/>
      </c>
      <c r="R30" s="31" t="str">
        <f aca="false">IF($X30=0,"",IF(AND(INDEX(工程マスタ!$I:$I,$X30)="○",$E30=R$3),"▼",""))</f>
        <v/>
      </c>
      <c r="S30" s="31" t="str">
        <f aca="false">IF($X30=0,"",IF(AND(INDEX(工程マスタ!$I:$I,$X30)="○",$E30=S$3),"▼",""))</f>
        <v/>
      </c>
      <c r="T30" s="31" t="str">
        <f aca="false">IF($X30=0,"",IF(AND(INDEX(工程マスタ!$I:$I,$X30)="○",$E30=T$3),"▼",""))</f>
        <v/>
      </c>
      <c r="U30" s="31" t="str">
        <f aca="false">IF($X30=0,"",IF(AND(INDEX(工程マスタ!$I:$I,$X30)="○",$E30=U$3),"▼",""))</f>
        <v/>
      </c>
      <c r="V30" s="40" t="str">
        <f aca="false">IF($X30=0,"",IF(INDEX(工程マスタ!$J:$J,$X30)="","",INDEX(工程マスタ!$J:$J,$X30)))</f>
        <v/>
      </c>
      <c r="X30" s="27" t="n">
        <f aca="false" t="array" ref="X30:X30">IFERROR(SMALL(IF((工程マスタ!$K$5:$K$154&gt;0)*(工程マスタ!$K$5:$K$154&lt;=$B$2+13)*(工程マスタ!$L$5:$L$154&gt;=$B$2),ROW(工程マスタ!$C$5:$C$154)),24),0)</f>
        <v>0</v>
      </c>
      <c r="Y30" s="27" t="n">
        <f aca="false">IF($X30=0,0,INDEX(工程マスタ!$M:$M,$X30))</f>
        <v>0</v>
      </c>
    </row>
    <row r="31" customFormat="false" ht="15" hidden="false" customHeight="false" outlineLevel="0" collapsed="false">
      <c r="A31" s="28" t="str">
        <f aca="false">IF($X31=0,"",IF(INDEX(工程マスタ!$A:$A,$X31)="","",INDEX(工程マスタ!$A:$A,$X31)))</f>
        <v/>
      </c>
      <c r="B31" s="21" t="str">
        <f aca="false">IF($X31=0,"",IF(INDEX(工程マスタ!$B:$B,$X31)="","",INDEX(工程マスタ!$B:$B,$X31)))</f>
        <v/>
      </c>
      <c r="C31" s="21" t="str">
        <f aca="false">IF($X31=0,"",IF(INDEX(工程マスタ!$C:$C,$X31)="","",INDEX(工程マスタ!$C:$C,$X31)))</f>
        <v/>
      </c>
      <c r="D31" s="21" t="str">
        <f aca="false">IF($X31=0,"",IF(INDEX(工程マスタ!$D:$D,$X31)="","",INDEX(工程マスタ!$D:$D,$X31)))</f>
        <v/>
      </c>
      <c r="E31" s="29" t="str">
        <f aca="false">IF($X31=0,"",IF(INDEX(工程マスタ!$E:$E,$X31)="","",INDEX(工程マスタ!$E:$E,$X31)))</f>
        <v/>
      </c>
      <c r="F31" s="29" t="str">
        <f aca="false">IF($X31=0,"",IF(INDEX(工程マスタ!$F:$F,$X31)="","",INDEX(工程マスタ!$F:$F,$X31)))</f>
        <v/>
      </c>
      <c r="G31" s="30" t="str">
        <f aca="false">IF($X31=0,"",IF(INDEX(工程マスタ!$H:$H,$X31)="","",INDEX(工程マスタ!$H:$H,$X31)))</f>
        <v/>
      </c>
      <c r="H31" s="31" t="str">
        <f aca="false">IF($X31=0,"",IF(AND(INDEX(工程マスタ!$I:$I,$X31)="○",$E31=H$3),"▼",""))</f>
        <v/>
      </c>
      <c r="I31" s="31" t="str">
        <f aca="false">IF($X31=0,"",IF(AND(INDEX(工程マスタ!$I:$I,$X31)="○",$E31=I$3),"▼",""))</f>
        <v/>
      </c>
      <c r="J31" s="31" t="str">
        <f aca="false">IF($X31=0,"",IF(AND(INDEX(工程マスタ!$I:$I,$X31)="○",$E31=J$3),"▼",""))</f>
        <v/>
      </c>
      <c r="K31" s="31" t="str">
        <f aca="false">IF($X31=0,"",IF(AND(INDEX(工程マスタ!$I:$I,$X31)="○",$E31=K$3),"▼",""))</f>
        <v/>
      </c>
      <c r="L31" s="31" t="str">
        <f aca="false">IF($X31=0,"",IF(AND(INDEX(工程マスタ!$I:$I,$X31)="○",$E31=L$3),"▼",""))</f>
        <v/>
      </c>
      <c r="M31" s="31" t="str">
        <f aca="false">IF($X31=0,"",IF(AND(INDEX(工程マスタ!$I:$I,$X31)="○",$E31=M$3),"▼",""))</f>
        <v/>
      </c>
      <c r="N31" s="31" t="str">
        <f aca="false">IF($X31=0,"",IF(AND(INDEX(工程マスタ!$I:$I,$X31)="○",$E31=N$3),"▼",""))</f>
        <v/>
      </c>
      <c r="O31" s="31" t="str">
        <f aca="false">IF($X31=0,"",IF(AND(INDEX(工程マスタ!$I:$I,$X31)="○",$E31=O$3),"▼",""))</f>
        <v/>
      </c>
      <c r="P31" s="31" t="str">
        <f aca="false">IF($X31=0,"",IF(AND(INDEX(工程マスタ!$I:$I,$X31)="○",$E31=P$3),"▼",""))</f>
        <v/>
      </c>
      <c r="Q31" s="31" t="str">
        <f aca="false">IF($X31=0,"",IF(AND(INDEX(工程マスタ!$I:$I,$X31)="○",$E31=Q$3),"▼",""))</f>
        <v/>
      </c>
      <c r="R31" s="31" t="str">
        <f aca="false">IF($X31=0,"",IF(AND(INDEX(工程マスタ!$I:$I,$X31)="○",$E31=R$3),"▼",""))</f>
        <v/>
      </c>
      <c r="S31" s="31" t="str">
        <f aca="false">IF($X31=0,"",IF(AND(INDEX(工程マスタ!$I:$I,$X31)="○",$E31=S$3),"▼",""))</f>
        <v/>
      </c>
      <c r="T31" s="31" t="str">
        <f aca="false">IF($X31=0,"",IF(AND(INDEX(工程マスタ!$I:$I,$X31)="○",$E31=T$3),"▼",""))</f>
        <v/>
      </c>
      <c r="U31" s="31" t="str">
        <f aca="false">IF($X31=0,"",IF(AND(INDEX(工程マスタ!$I:$I,$X31)="○",$E31=U$3),"▼",""))</f>
        <v/>
      </c>
      <c r="V31" s="40" t="str">
        <f aca="false">IF($X31=0,"",IF(INDEX(工程マスタ!$J:$J,$X31)="","",INDEX(工程マスタ!$J:$J,$X31)))</f>
        <v/>
      </c>
      <c r="X31" s="27" t="n">
        <f aca="false" t="array" ref="X31:X31">IFERROR(SMALL(IF((工程マスタ!$K$5:$K$154&gt;0)*(工程マスタ!$K$5:$K$154&lt;=$B$2+13)*(工程マスタ!$L$5:$L$154&gt;=$B$2),ROW(工程マスタ!$C$5:$C$154)),25),0)</f>
        <v>0</v>
      </c>
      <c r="Y31" s="27" t="n">
        <f aca="false">IF($X31=0,0,INDEX(工程マスタ!$M:$M,$X31))</f>
        <v>0</v>
      </c>
    </row>
    <row r="32" customFormat="false" ht="15" hidden="false" customHeight="false" outlineLevel="0" collapsed="false">
      <c r="A32" s="28" t="str">
        <f aca="false">IF($X32=0,"",IF(INDEX(工程マスタ!$A:$A,$X32)="","",INDEX(工程マスタ!$A:$A,$X32)))</f>
        <v/>
      </c>
      <c r="B32" s="21" t="str">
        <f aca="false">IF($X32=0,"",IF(INDEX(工程マスタ!$B:$B,$X32)="","",INDEX(工程マスタ!$B:$B,$X32)))</f>
        <v/>
      </c>
      <c r="C32" s="21" t="str">
        <f aca="false">IF($X32=0,"",IF(INDEX(工程マスタ!$C:$C,$X32)="","",INDEX(工程マスタ!$C:$C,$X32)))</f>
        <v/>
      </c>
      <c r="D32" s="21" t="str">
        <f aca="false">IF($X32=0,"",IF(INDEX(工程マスタ!$D:$D,$X32)="","",INDEX(工程マスタ!$D:$D,$X32)))</f>
        <v/>
      </c>
      <c r="E32" s="29" t="str">
        <f aca="false">IF($X32=0,"",IF(INDEX(工程マスタ!$E:$E,$X32)="","",INDEX(工程マスタ!$E:$E,$X32)))</f>
        <v/>
      </c>
      <c r="F32" s="29" t="str">
        <f aca="false">IF($X32=0,"",IF(INDEX(工程マスタ!$F:$F,$X32)="","",INDEX(工程マスタ!$F:$F,$X32)))</f>
        <v/>
      </c>
      <c r="G32" s="30" t="str">
        <f aca="false">IF($X32=0,"",IF(INDEX(工程マスタ!$H:$H,$X32)="","",INDEX(工程マスタ!$H:$H,$X32)))</f>
        <v/>
      </c>
      <c r="H32" s="31" t="str">
        <f aca="false">IF($X32=0,"",IF(AND(INDEX(工程マスタ!$I:$I,$X32)="○",$E32=H$3),"▼",""))</f>
        <v/>
      </c>
      <c r="I32" s="31" t="str">
        <f aca="false">IF($X32=0,"",IF(AND(INDEX(工程マスタ!$I:$I,$X32)="○",$E32=I$3),"▼",""))</f>
        <v/>
      </c>
      <c r="J32" s="31" t="str">
        <f aca="false">IF($X32=0,"",IF(AND(INDEX(工程マスタ!$I:$I,$X32)="○",$E32=J$3),"▼",""))</f>
        <v/>
      </c>
      <c r="K32" s="31" t="str">
        <f aca="false">IF($X32=0,"",IF(AND(INDEX(工程マスタ!$I:$I,$X32)="○",$E32=K$3),"▼",""))</f>
        <v/>
      </c>
      <c r="L32" s="31" t="str">
        <f aca="false">IF($X32=0,"",IF(AND(INDEX(工程マスタ!$I:$I,$X32)="○",$E32=L$3),"▼",""))</f>
        <v/>
      </c>
      <c r="M32" s="31" t="str">
        <f aca="false">IF($X32=0,"",IF(AND(INDEX(工程マスタ!$I:$I,$X32)="○",$E32=M$3),"▼",""))</f>
        <v/>
      </c>
      <c r="N32" s="31" t="str">
        <f aca="false">IF($X32=0,"",IF(AND(INDEX(工程マスタ!$I:$I,$X32)="○",$E32=N$3),"▼",""))</f>
        <v/>
      </c>
      <c r="O32" s="31" t="str">
        <f aca="false">IF($X32=0,"",IF(AND(INDEX(工程マスタ!$I:$I,$X32)="○",$E32=O$3),"▼",""))</f>
        <v/>
      </c>
      <c r="P32" s="31" t="str">
        <f aca="false">IF($X32=0,"",IF(AND(INDEX(工程マスタ!$I:$I,$X32)="○",$E32=P$3),"▼",""))</f>
        <v/>
      </c>
      <c r="Q32" s="31" t="str">
        <f aca="false">IF($X32=0,"",IF(AND(INDEX(工程マスタ!$I:$I,$X32)="○",$E32=Q$3),"▼",""))</f>
        <v/>
      </c>
      <c r="R32" s="31" t="str">
        <f aca="false">IF($X32=0,"",IF(AND(INDEX(工程マスタ!$I:$I,$X32)="○",$E32=R$3),"▼",""))</f>
        <v/>
      </c>
      <c r="S32" s="31" t="str">
        <f aca="false">IF($X32=0,"",IF(AND(INDEX(工程マスタ!$I:$I,$X32)="○",$E32=S$3),"▼",""))</f>
        <v/>
      </c>
      <c r="T32" s="31" t="str">
        <f aca="false">IF($X32=0,"",IF(AND(INDEX(工程マスタ!$I:$I,$X32)="○",$E32=T$3),"▼",""))</f>
        <v/>
      </c>
      <c r="U32" s="31" t="str">
        <f aca="false">IF($X32=0,"",IF(AND(INDEX(工程マスタ!$I:$I,$X32)="○",$E32=U$3),"▼",""))</f>
        <v/>
      </c>
      <c r="V32" s="40" t="str">
        <f aca="false">IF($X32=0,"",IF(INDEX(工程マスタ!$J:$J,$X32)="","",INDEX(工程マスタ!$J:$J,$X32)))</f>
        <v/>
      </c>
      <c r="X32" s="27" t="n">
        <f aca="false" t="array" ref="X32:X32">IFERROR(SMALL(IF((工程マスタ!$K$5:$K$154&gt;0)*(工程マスタ!$K$5:$K$154&lt;=$B$2+13)*(工程マスタ!$L$5:$L$154&gt;=$B$2),ROW(工程マスタ!$C$5:$C$154)),26),0)</f>
        <v>0</v>
      </c>
      <c r="Y32" s="27" t="n">
        <f aca="false">IF($X32=0,0,INDEX(工程マスタ!$M:$M,$X32))</f>
        <v>0</v>
      </c>
    </row>
    <row r="33" customFormat="false" ht="15" hidden="false" customHeight="false" outlineLevel="0" collapsed="false">
      <c r="A33" s="28" t="str">
        <f aca="false">IF($X33=0,"",IF(INDEX(工程マスタ!$A:$A,$X33)="","",INDEX(工程マスタ!$A:$A,$X33)))</f>
        <v/>
      </c>
      <c r="B33" s="21" t="str">
        <f aca="false">IF($X33=0,"",IF(INDEX(工程マスタ!$B:$B,$X33)="","",INDEX(工程マスタ!$B:$B,$X33)))</f>
        <v/>
      </c>
      <c r="C33" s="21" t="str">
        <f aca="false">IF($X33=0,"",IF(INDEX(工程マスタ!$C:$C,$X33)="","",INDEX(工程マスタ!$C:$C,$X33)))</f>
        <v/>
      </c>
      <c r="D33" s="21" t="str">
        <f aca="false">IF($X33=0,"",IF(INDEX(工程マスタ!$D:$D,$X33)="","",INDEX(工程マスタ!$D:$D,$X33)))</f>
        <v/>
      </c>
      <c r="E33" s="29" t="str">
        <f aca="false">IF($X33=0,"",IF(INDEX(工程マスタ!$E:$E,$X33)="","",INDEX(工程マスタ!$E:$E,$X33)))</f>
        <v/>
      </c>
      <c r="F33" s="29" t="str">
        <f aca="false">IF($X33=0,"",IF(INDEX(工程マスタ!$F:$F,$X33)="","",INDEX(工程マスタ!$F:$F,$X33)))</f>
        <v/>
      </c>
      <c r="G33" s="30" t="str">
        <f aca="false">IF($X33=0,"",IF(INDEX(工程マスタ!$H:$H,$X33)="","",INDEX(工程マスタ!$H:$H,$X33)))</f>
        <v/>
      </c>
      <c r="H33" s="31" t="str">
        <f aca="false">IF($X33=0,"",IF(AND(INDEX(工程マスタ!$I:$I,$X33)="○",$E33=H$3),"▼",""))</f>
        <v/>
      </c>
      <c r="I33" s="31" t="str">
        <f aca="false">IF($X33=0,"",IF(AND(INDEX(工程マスタ!$I:$I,$X33)="○",$E33=I$3),"▼",""))</f>
        <v/>
      </c>
      <c r="J33" s="31" t="str">
        <f aca="false">IF($X33=0,"",IF(AND(INDEX(工程マスタ!$I:$I,$X33)="○",$E33=J$3),"▼",""))</f>
        <v/>
      </c>
      <c r="K33" s="31" t="str">
        <f aca="false">IF($X33=0,"",IF(AND(INDEX(工程マスタ!$I:$I,$X33)="○",$E33=K$3),"▼",""))</f>
        <v/>
      </c>
      <c r="L33" s="31" t="str">
        <f aca="false">IF($X33=0,"",IF(AND(INDEX(工程マスタ!$I:$I,$X33)="○",$E33=L$3),"▼",""))</f>
        <v/>
      </c>
      <c r="M33" s="31" t="str">
        <f aca="false">IF($X33=0,"",IF(AND(INDEX(工程マスタ!$I:$I,$X33)="○",$E33=M$3),"▼",""))</f>
        <v/>
      </c>
      <c r="N33" s="31" t="str">
        <f aca="false">IF($X33=0,"",IF(AND(INDEX(工程マスタ!$I:$I,$X33)="○",$E33=N$3),"▼",""))</f>
        <v/>
      </c>
      <c r="O33" s="31" t="str">
        <f aca="false">IF($X33=0,"",IF(AND(INDEX(工程マスタ!$I:$I,$X33)="○",$E33=O$3),"▼",""))</f>
        <v/>
      </c>
      <c r="P33" s="31" t="str">
        <f aca="false">IF($X33=0,"",IF(AND(INDEX(工程マスタ!$I:$I,$X33)="○",$E33=P$3),"▼",""))</f>
        <v/>
      </c>
      <c r="Q33" s="31" t="str">
        <f aca="false">IF($X33=0,"",IF(AND(INDEX(工程マスタ!$I:$I,$X33)="○",$E33=Q$3),"▼",""))</f>
        <v/>
      </c>
      <c r="R33" s="31" t="str">
        <f aca="false">IF($X33=0,"",IF(AND(INDEX(工程マスタ!$I:$I,$X33)="○",$E33=R$3),"▼",""))</f>
        <v/>
      </c>
      <c r="S33" s="31" t="str">
        <f aca="false">IF($X33=0,"",IF(AND(INDEX(工程マスタ!$I:$I,$X33)="○",$E33=S$3),"▼",""))</f>
        <v/>
      </c>
      <c r="T33" s="31" t="str">
        <f aca="false">IF($X33=0,"",IF(AND(INDEX(工程マスタ!$I:$I,$X33)="○",$E33=T$3),"▼",""))</f>
        <v/>
      </c>
      <c r="U33" s="31" t="str">
        <f aca="false">IF($X33=0,"",IF(AND(INDEX(工程マスタ!$I:$I,$X33)="○",$E33=U$3),"▼",""))</f>
        <v/>
      </c>
      <c r="V33" s="40" t="str">
        <f aca="false">IF($X33=0,"",IF(INDEX(工程マスタ!$J:$J,$X33)="","",INDEX(工程マスタ!$J:$J,$X33)))</f>
        <v/>
      </c>
      <c r="X33" s="27" t="n">
        <f aca="false" t="array" ref="X33:X33">IFERROR(SMALL(IF((工程マスタ!$K$5:$K$154&gt;0)*(工程マスタ!$K$5:$K$154&lt;=$B$2+13)*(工程マスタ!$L$5:$L$154&gt;=$B$2),ROW(工程マスタ!$C$5:$C$154)),27),0)</f>
        <v>0</v>
      </c>
      <c r="Y33" s="27" t="n">
        <f aca="false">IF($X33=0,0,INDEX(工程マスタ!$M:$M,$X33))</f>
        <v>0</v>
      </c>
    </row>
    <row r="34" customFormat="false" ht="15" hidden="false" customHeight="false" outlineLevel="0" collapsed="false">
      <c r="A34" s="28" t="str">
        <f aca="false">IF($X34=0,"",IF(INDEX(工程マスタ!$A:$A,$X34)="","",INDEX(工程マスタ!$A:$A,$X34)))</f>
        <v/>
      </c>
      <c r="B34" s="21" t="str">
        <f aca="false">IF($X34=0,"",IF(INDEX(工程マスタ!$B:$B,$X34)="","",INDEX(工程マスタ!$B:$B,$X34)))</f>
        <v/>
      </c>
      <c r="C34" s="21" t="str">
        <f aca="false">IF($X34=0,"",IF(INDEX(工程マスタ!$C:$C,$X34)="","",INDEX(工程マスタ!$C:$C,$X34)))</f>
        <v/>
      </c>
      <c r="D34" s="21" t="str">
        <f aca="false">IF($X34=0,"",IF(INDEX(工程マスタ!$D:$D,$X34)="","",INDEX(工程マスタ!$D:$D,$X34)))</f>
        <v/>
      </c>
      <c r="E34" s="29" t="str">
        <f aca="false">IF($X34=0,"",IF(INDEX(工程マスタ!$E:$E,$X34)="","",INDEX(工程マスタ!$E:$E,$X34)))</f>
        <v/>
      </c>
      <c r="F34" s="29" t="str">
        <f aca="false">IF($X34=0,"",IF(INDEX(工程マスタ!$F:$F,$X34)="","",INDEX(工程マスタ!$F:$F,$X34)))</f>
        <v/>
      </c>
      <c r="G34" s="30" t="str">
        <f aca="false">IF($X34=0,"",IF(INDEX(工程マスタ!$H:$H,$X34)="","",INDEX(工程マスタ!$H:$H,$X34)))</f>
        <v/>
      </c>
      <c r="H34" s="31" t="str">
        <f aca="false">IF($X34=0,"",IF(AND(INDEX(工程マスタ!$I:$I,$X34)="○",$E34=H$3),"▼",""))</f>
        <v/>
      </c>
      <c r="I34" s="31" t="str">
        <f aca="false">IF($X34=0,"",IF(AND(INDEX(工程マスタ!$I:$I,$X34)="○",$E34=I$3),"▼",""))</f>
        <v/>
      </c>
      <c r="J34" s="31" t="str">
        <f aca="false">IF($X34=0,"",IF(AND(INDEX(工程マスタ!$I:$I,$X34)="○",$E34=J$3),"▼",""))</f>
        <v/>
      </c>
      <c r="K34" s="31" t="str">
        <f aca="false">IF($X34=0,"",IF(AND(INDEX(工程マスタ!$I:$I,$X34)="○",$E34=K$3),"▼",""))</f>
        <v/>
      </c>
      <c r="L34" s="31" t="str">
        <f aca="false">IF($X34=0,"",IF(AND(INDEX(工程マスタ!$I:$I,$X34)="○",$E34=L$3),"▼",""))</f>
        <v/>
      </c>
      <c r="M34" s="31" t="str">
        <f aca="false">IF($X34=0,"",IF(AND(INDEX(工程マスタ!$I:$I,$X34)="○",$E34=M$3),"▼",""))</f>
        <v/>
      </c>
      <c r="N34" s="31" t="str">
        <f aca="false">IF($X34=0,"",IF(AND(INDEX(工程マスタ!$I:$I,$X34)="○",$E34=N$3),"▼",""))</f>
        <v/>
      </c>
      <c r="O34" s="31" t="str">
        <f aca="false">IF($X34=0,"",IF(AND(INDEX(工程マスタ!$I:$I,$X34)="○",$E34=O$3),"▼",""))</f>
        <v/>
      </c>
      <c r="P34" s="31" t="str">
        <f aca="false">IF($X34=0,"",IF(AND(INDEX(工程マスタ!$I:$I,$X34)="○",$E34=P$3),"▼",""))</f>
        <v/>
      </c>
      <c r="Q34" s="31" t="str">
        <f aca="false">IF($X34=0,"",IF(AND(INDEX(工程マスタ!$I:$I,$X34)="○",$E34=Q$3),"▼",""))</f>
        <v/>
      </c>
      <c r="R34" s="31" t="str">
        <f aca="false">IF($X34=0,"",IF(AND(INDEX(工程マスタ!$I:$I,$X34)="○",$E34=R$3),"▼",""))</f>
        <v/>
      </c>
      <c r="S34" s="31" t="str">
        <f aca="false">IF($X34=0,"",IF(AND(INDEX(工程マスタ!$I:$I,$X34)="○",$E34=S$3),"▼",""))</f>
        <v/>
      </c>
      <c r="T34" s="31" t="str">
        <f aca="false">IF($X34=0,"",IF(AND(INDEX(工程マスタ!$I:$I,$X34)="○",$E34=T$3),"▼",""))</f>
        <v/>
      </c>
      <c r="U34" s="31" t="str">
        <f aca="false">IF($X34=0,"",IF(AND(INDEX(工程マスタ!$I:$I,$X34)="○",$E34=U$3),"▼",""))</f>
        <v/>
      </c>
      <c r="V34" s="40" t="str">
        <f aca="false">IF($X34=0,"",IF(INDEX(工程マスタ!$J:$J,$X34)="","",INDEX(工程マスタ!$J:$J,$X34)))</f>
        <v/>
      </c>
      <c r="X34" s="27" t="n">
        <f aca="false" t="array" ref="X34:X34">IFERROR(SMALL(IF((工程マスタ!$K$5:$K$154&gt;0)*(工程マスタ!$K$5:$K$154&lt;=$B$2+13)*(工程マスタ!$L$5:$L$154&gt;=$B$2),ROW(工程マスタ!$C$5:$C$154)),28),0)</f>
        <v>0</v>
      </c>
      <c r="Y34" s="27" t="n">
        <f aca="false">IF($X34=0,0,INDEX(工程マスタ!$M:$M,$X34))</f>
        <v>0</v>
      </c>
    </row>
    <row r="35" customFormat="false" ht="15" hidden="false" customHeight="false" outlineLevel="0" collapsed="false">
      <c r="A35" s="28" t="str">
        <f aca="false">IF($X35=0,"",IF(INDEX(工程マスタ!$A:$A,$X35)="","",INDEX(工程マスタ!$A:$A,$X35)))</f>
        <v/>
      </c>
      <c r="B35" s="21" t="str">
        <f aca="false">IF($X35=0,"",IF(INDEX(工程マスタ!$B:$B,$X35)="","",INDEX(工程マスタ!$B:$B,$X35)))</f>
        <v/>
      </c>
      <c r="C35" s="21" t="str">
        <f aca="false">IF($X35=0,"",IF(INDEX(工程マスタ!$C:$C,$X35)="","",INDEX(工程マスタ!$C:$C,$X35)))</f>
        <v/>
      </c>
      <c r="D35" s="21" t="str">
        <f aca="false">IF($X35=0,"",IF(INDEX(工程マスタ!$D:$D,$X35)="","",INDEX(工程マスタ!$D:$D,$X35)))</f>
        <v/>
      </c>
      <c r="E35" s="29" t="str">
        <f aca="false">IF($X35=0,"",IF(INDEX(工程マスタ!$E:$E,$X35)="","",INDEX(工程マスタ!$E:$E,$X35)))</f>
        <v/>
      </c>
      <c r="F35" s="29" t="str">
        <f aca="false">IF($X35=0,"",IF(INDEX(工程マスタ!$F:$F,$X35)="","",INDEX(工程マスタ!$F:$F,$X35)))</f>
        <v/>
      </c>
      <c r="G35" s="30" t="str">
        <f aca="false">IF($X35=0,"",IF(INDEX(工程マスタ!$H:$H,$X35)="","",INDEX(工程マスタ!$H:$H,$X35)))</f>
        <v/>
      </c>
      <c r="H35" s="31" t="str">
        <f aca="false">IF($X35=0,"",IF(AND(INDEX(工程マスタ!$I:$I,$X35)="○",$E35=H$3),"▼",""))</f>
        <v/>
      </c>
      <c r="I35" s="31" t="str">
        <f aca="false">IF($X35=0,"",IF(AND(INDEX(工程マスタ!$I:$I,$X35)="○",$E35=I$3),"▼",""))</f>
        <v/>
      </c>
      <c r="J35" s="31" t="str">
        <f aca="false">IF($X35=0,"",IF(AND(INDEX(工程マスタ!$I:$I,$X35)="○",$E35=J$3),"▼",""))</f>
        <v/>
      </c>
      <c r="K35" s="31" t="str">
        <f aca="false">IF($X35=0,"",IF(AND(INDEX(工程マスタ!$I:$I,$X35)="○",$E35=K$3),"▼",""))</f>
        <v/>
      </c>
      <c r="L35" s="31" t="str">
        <f aca="false">IF($X35=0,"",IF(AND(INDEX(工程マスタ!$I:$I,$X35)="○",$E35=L$3),"▼",""))</f>
        <v/>
      </c>
      <c r="M35" s="31" t="str">
        <f aca="false">IF($X35=0,"",IF(AND(INDEX(工程マスタ!$I:$I,$X35)="○",$E35=M$3),"▼",""))</f>
        <v/>
      </c>
      <c r="N35" s="31" t="str">
        <f aca="false">IF($X35=0,"",IF(AND(INDEX(工程マスタ!$I:$I,$X35)="○",$E35=N$3),"▼",""))</f>
        <v/>
      </c>
      <c r="O35" s="31" t="str">
        <f aca="false">IF($X35=0,"",IF(AND(INDEX(工程マスタ!$I:$I,$X35)="○",$E35=O$3),"▼",""))</f>
        <v/>
      </c>
      <c r="P35" s="31" t="str">
        <f aca="false">IF($X35=0,"",IF(AND(INDEX(工程マスタ!$I:$I,$X35)="○",$E35=P$3),"▼",""))</f>
        <v/>
      </c>
      <c r="Q35" s="31" t="str">
        <f aca="false">IF($X35=0,"",IF(AND(INDEX(工程マスタ!$I:$I,$X35)="○",$E35=Q$3),"▼",""))</f>
        <v/>
      </c>
      <c r="R35" s="31" t="str">
        <f aca="false">IF($X35=0,"",IF(AND(INDEX(工程マスタ!$I:$I,$X35)="○",$E35=R$3),"▼",""))</f>
        <v/>
      </c>
      <c r="S35" s="31" t="str">
        <f aca="false">IF($X35=0,"",IF(AND(INDEX(工程マスタ!$I:$I,$X35)="○",$E35=S$3),"▼",""))</f>
        <v/>
      </c>
      <c r="T35" s="31" t="str">
        <f aca="false">IF($X35=0,"",IF(AND(INDEX(工程マスタ!$I:$I,$X35)="○",$E35=T$3),"▼",""))</f>
        <v/>
      </c>
      <c r="U35" s="31" t="str">
        <f aca="false">IF($X35=0,"",IF(AND(INDEX(工程マスタ!$I:$I,$X35)="○",$E35=U$3),"▼",""))</f>
        <v/>
      </c>
      <c r="V35" s="40" t="str">
        <f aca="false">IF($X35=0,"",IF(INDEX(工程マスタ!$J:$J,$X35)="","",INDEX(工程マスタ!$J:$J,$X35)))</f>
        <v/>
      </c>
      <c r="X35" s="27" t="n">
        <f aca="false" t="array" ref="X35:X35">IFERROR(SMALL(IF((工程マスタ!$K$5:$K$154&gt;0)*(工程マスタ!$K$5:$K$154&lt;=$B$2+13)*(工程マスタ!$L$5:$L$154&gt;=$B$2),ROW(工程マスタ!$C$5:$C$154)),29),0)</f>
        <v>0</v>
      </c>
      <c r="Y35" s="27" t="n">
        <f aca="false">IF($X35=0,0,INDEX(工程マスタ!$M:$M,$X35))</f>
        <v>0</v>
      </c>
    </row>
    <row r="36" customFormat="false" ht="15" hidden="false" customHeight="false" outlineLevel="0" collapsed="false">
      <c r="A36" s="28" t="str">
        <f aca="false">IF($X36=0,"",IF(INDEX(工程マスタ!$A:$A,$X36)="","",INDEX(工程マスタ!$A:$A,$X36)))</f>
        <v/>
      </c>
      <c r="B36" s="21" t="str">
        <f aca="false">IF($X36=0,"",IF(INDEX(工程マスタ!$B:$B,$X36)="","",INDEX(工程マスタ!$B:$B,$X36)))</f>
        <v/>
      </c>
      <c r="C36" s="21" t="str">
        <f aca="false">IF($X36=0,"",IF(INDEX(工程マスタ!$C:$C,$X36)="","",INDEX(工程マスタ!$C:$C,$X36)))</f>
        <v/>
      </c>
      <c r="D36" s="21" t="str">
        <f aca="false">IF($X36=0,"",IF(INDEX(工程マスタ!$D:$D,$X36)="","",INDEX(工程マスタ!$D:$D,$X36)))</f>
        <v/>
      </c>
      <c r="E36" s="29" t="str">
        <f aca="false">IF($X36=0,"",IF(INDEX(工程マスタ!$E:$E,$X36)="","",INDEX(工程マスタ!$E:$E,$X36)))</f>
        <v/>
      </c>
      <c r="F36" s="29" t="str">
        <f aca="false">IF($X36=0,"",IF(INDEX(工程マスタ!$F:$F,$X36)="","",INDEX(工程マスタ!$F:$F,$X36)))</f>
        <v/>
      </c>
      <c r="G36" s="30" t="str">
        <f aca="false">IF($X36=0,"",IF(INDEX(工程マスタ!$H:$H,$X36)="","",INDEX(工程マスタ!$H:$H,$X36)))</f>
        <v/>
      </c>
      <c r="H36" s="31" t="str">
        <f aca="false">IF($X36=0,"",IF(AND(INDEX(工程マスタ!$I:$I,$X36)="○",$E36=H$3),"▼",""))</f>
        <v/>
      </c>
      <c r="I36" s="31" t="str">
        <f aca="false">IF($X36=0,"",IF(AND(INDEX(工程マスタ!$I:$I,$X36)="○",$E36=I$3),"▼",""))</f>
        <v/>
      </c>
      <c r="J36" s="31" t="str">
        <f aca="false">IF($X36=0,"",IF(AND(INDEX(工程マスタ!$I:$I,$X36)="○",$E36=J$3),"▼",""))</f>
        <v/>
      </c>
      <c r="K36" s="31" t="str">
        <f aca="false">IF($X36=0,"",IF(AND(INDEX(工程マスタ!$I:$I,$X36)="○",$E36=K$3),"▼",""))</f>
        <v/>
      </c>
      <c r="L36" s="31" t="str">
        <f aca="false">IF($X36=0,"",IF(AND(INDEX(工程マスタ!$I:$I,$X36)="○",$E36=L$3),"▼",""))</f>
        <v/>
      </c>
      <c r="M36" s="31" t="str">
        <f aca="false">IF($X36=0,"",IF(AND(INDEX(工程マスタ!$I:$I,$X36)="○",$E36=M$3),"▼",""))</f>
        <v/>
      </c>
      <c r="N36" s="31" t="str">
        <f aca="false">IF($X36=0,"",IF(AND(INDEX(工程マスタ!$I:$I,$X36)="○",$E36=N$3),"▼",""))</f>
        <v/>
      </c>
      <c r="O36" s="31" t="str">
        <f aca="false">IF($X36=0,"",IF(AND(INDEX(工程マスタ!$I:$I,$X36)="○",$E36=O$3),"▼",""))</f>
        <v/>
      </c>
      <c r="P36" s="31" t="str">
        <f aca="false">IF($X36=0,"",IF(AND(INDEX(工程マスタ!$I:$I,$X36)="○",$E36=P$3),"▼",""))</f>
        <v/>
      </c>
      <c r="Q36" s="31" t="str">
        <f aca="false">IF($X36=0,"",IF(AND(INDEX(工程マスタ!$I:$I,$X36)="○",$E36=Q$3),"▼",""))</f>
        <v/>
      </c>
      <c r="R36" s="31" t="str">
        <f aca="false">IF($X36=0,"",IF(AND(INDEX(工程マスタ!$I:$I,$X36)="○",$E36=R$3),"▼",""))</f>
        <v/>
      </c>
      <c r="S36" s="31" t="str">
        <f aca="false">IF($X36=0,"",IF(AND(INDEX(工程マスタ!$I:$I,$X36)="○",$E36=S$3),"▼",""))</f>
        <v/>
      </c>
      <c r="T36" s="31" t="str">
        <f aca="false">IF($X36=0,"",IF(AND(INDEX(工程マスタ!$I:$I,$X36)="○",$E36=T$3),"▼",""))</f>
        <v/>
      </c>
      <c r="U36" s="31" t="str">
        <f aca="false">IF($X36=0,"",IF(AND(INDEX(工程マスタ!$I:$I,$X36)="○",$E36=U$3),"▼",""))</f>
        <v/>
      </c>
      <c r="V36" s="40" t="str">
        <f aca="false">IF($X36=0,"",IF(INDEX(工程マスタ!$J:$J,$X36)="","",INDEX(工程マスタ!$J:$J,$X36)))</f>
        <v/>
      </c>
      <c r="X36" s="27" t="n">
        <f aca="false" t="array" ref="X36:X36">IFERROR(SMALL(IF((工程マスタ!$K$5:$K$154&gt;0)*(工程マスタ!$K$5:$K$154&lt;=$B$2+13)*(工程マスタ!$L$5:$L$154&gt;=$B$2),ROW(工程マスタ!$C$5:$C$154)),30),0)</f>
        <v>0</v>
      </c>
      <c r="Y36" s="27" t="n">
        <f aca="false">IF($X36=0,0,INDEX(工程マスタ!$M:$M,$X36))</f>
        <v>0</v>
      </c>
    </row>
    <row r="37" customFormat="false" ht="15" hidden="false" customHeight="false" outlineLevel="0" collapsed="false">
      <c r="A37" s="28" t="str">
        <f aca="false">IF($X37=0,"",IF(INDEX(工程マスタ!$A:$A,$X37)="","",INDEX(工程マスタ!$A:$A,$X37)))</f>
        <v/>
      </c>
      <c r="B37" s="21" t="str">
        <f aca="false">IF($X37=0,"",IF(INDEX(工程マスタ!$B:$B,$X37)="","",INDEX(工程マスタ!$B:$B,$X37)))</f>
        <v/>
      </c>
      <c r="C37" s="21" t="str">
        <f aca="false">IF($X37=0,"",IF(INDEX(工程マスタ!$C:$C,$X37)="","",INDEX(工程マスタ!$C:$C,$X37)))</f>
        <v/>
      </c>
      <c r="D37" s="21" t="str">
        <f aca="false">IF($X37=0,"",IF(INDEX(工程マスタ!$D:$D,$X37)="","",INDEX(工程マスタ!$D:$D,$X37)))</f>
        <v/>
      </c>
      <c r="E37" s="29" t="str">
        <f aca="false">IF($X37=0,"",IF(INDEX(工程マスタ!$E:$E,$X37)="","",INDEX(工程マスタ!$E:$E,$X37)))</f>
        <v/>
      </c>
      <c r="F37" s="29" t="str">
        <f aca="false">IF($X37=0,"",IF(INDEX(工程マスタ!$F:$F,$X37)="","",INDEX(工程マスタ!$F:$F,$X37)))</f>
        <v/>
      </c>
      <c r="G37" s="30" t="str">
        <f aca="false">IF($X37=0,"",IF(INDEX(工程マスタ!$H:$H,$X37)="","",INDEX(工程マスタ!$H:$H,$X37)))</f>
        <v/>
      </c>
      <c r="H37" s="31" t="str">
        <f aca="false">IF($X37=0,"",IF(AND(INDEX(工程マスタ!$I:$I,$X37)="○",$E37=H$3),"▼",""))</f>
        <v/>
      </c>
      <c r="I37" s="31" t="str">
        <f aca="false">IF($X37=0,"",IF(AND(INDEX(工程マスタ!$I:$I,$X37)="○",$E37=I$3),"▼",""))</f>
        <v/>
      </c>
      <c r="J37" s="31" t="str">
        <f aca="false">IF($X37=0,"",IF(AND(INDEX(工程マスタ!$I:$I,$X37)="○",$E37=J$3),"▼",""))</f>
        <v/>
      </c>
      <c r="K37" s="31" t="str">
        <f aca="false">IF($X37=0,"",IF(AND(INDEX(工程マスタ!$I:$I,$X37)="○",$E37=K$3),"▼",""))</f>
        <v/>
      </c>
      <c r="L37" s="31" t="str">
        <f aca="false">IF($X37=0,"",IF(AND(INDEX(工程マスタ!$I:$I,$X37)="○",$E37=L$3),"▼",""))</f>
        <v/>
      </c>
      <c r="M37" s="31" t="str">
        <f aca="false">IF($X37=0,"",IF(AND(INDEX(工程マスタ!$I:$I,$X37)="○",$E37=M$3),"▼",""))</f>
        <v/>
      </c>
      <c r="N37" s="31" t="str">
        <f aca="false">IF($X37=0,"",IF(AND(INDEX(工程マスタ!$I:$I,$X37)="○",$E37=N$3),"▼",""))</f>
        <v/>
      </c>
      <c r="O37" s="31" t="str">
        <f aca="false">IF($X37=0,"",IF(AND(INDEX(工程マスタ!$I:$I,$X37)="○",$E37=O$3),"▼",""))</f>
        <v/>
      </c>
      <c r="P37" s="31" t="str">
        <f aca="false">IF($X37=0,"",IF(AND(INDEX(工程マスタ!$I:$I,$X37)="○",$E37=P$3),"▼",""))</f>
        <v/>
      </c>
      <c r="Q37" s="31" t="str">
        <f aca="false">IF($X37=0,"",IF(AND(INDEX(工程マスタ!$I:$I,$X37)="○",$E37=Q$3),"▼",""))</f>
        <v/>
      </c>
      <c r="R37" s="31" t="str">
        <f aca="false">IF($X37=0,"",IF(AND(INDEX(工程マスタ!$I:$I,$X37)="○",$E37=R$3),"▼",""))</f>
        <v/>
      </c>
      <c r="S37" s="31" t="str">
        <f aca="false">IF($X37=0,"",IF(AND(INDEX(工程マスタ!$I:$I,$X37)="○",$E37=S$3),"▼",""))</f>
        <v/>
      </c>
      <c r="T37" s="31" t="str">
        <f aca="false">IF($X37=0,"",IF(AND(INDEX(工程マスタ!$I:$I,$X37)="○",$E37=T$3),"▼",""))</f>
        <v/>
      </c>
      <c r="U37" s="31" t="str">
        <f aca="false">IF($X37=0,"",IF(AND(INDEX(工程マスタ!$I:$I,$X37)="○",$E37=U$3),"▼",""))</f>
        <v/>
      </c>
      <c r="V37" s="40" t="str">
        <f aca="false">IF($X37=0,"",IF(INDEX(工程マスタ!$J:$J,$X37)="","",INDEX(工程マスタ!$J:$J,$X37)))</f>
        <v/>
      </c>
      <c r="X37" s="27" t="n">
        <f aca="false" t="array" ref="X37:X37">IFERROR(SMALL(IF((工程マスタ!$K$5:$K$154&gt;0)*(工程マスタ!$K$5:$K$154&lt;=$B$2+13)*(工程マスタ!$L$5:$L$154&gt;=$B$2),ROW(工程マスタ!$C$5:$C$154)),31),0)</f>
        <v>0</v>
      </c>
      <c r="Y37" s="27" t="n">
        <f aca="false">IF($X37=0,0,INDEX(工程マスタ!$M:$M,$X37))</f>
        <v>0</v>
      </c>
    </row>
    <row r="38" customFormat="false" ht="15" hidden="false" customHeight="false" outlineLevel="0" collapsed="false">
      <c r="A38" s="28" t="str">
        <f aca="false">IF($X38=0,"",IF(INDEX(工程マスタ!$A:$A,$X38)="","",INDEX(工程マスタ!$A:$A,$X38)))</f>
        <v/>
      </c>
      <c r="B38" s="21" t="str">
        <f aca="false">IF($X38=0,"",IF(INDEX(工程マスタ!$B:$B,$X38)="","",INDEX(工程マスタ!$B:$B,$X38)))</f>
        <v/>
      </c>
      <c r="C38" s="21" t="str">
        <f aca="false">IF($X38=0,"",IF(INDEX(工程マスタ!$C:$C,$X38)="","",INDEX(工程マスタ!$C:$C,$X38)))</f>
        <v/>
      </c>
      <c r="D38" s="21" t="str">
        <f aca="false">IF($X38=0,"",IF(INDEX(工程マスタ!$D:$D,$X38)="","",INDEX(工程マスタ!$D:$D,$X38)))</f>
        <v/>
      </c>
      <c r="E38" s="29" t="str">
        <f aca="false">IF($X38=0,"",IF(INDEX(工程マスタ!$E:$E,$X38)="","",INDEX(工程マスタ!$E:$E,$X38)))</f>
        <v/>
      </c>
      <c r="F38" s="29" t="str">
        <f aca="false">IF($X38=0,"",IF(INDEX(工程マスタ!$F:$F,$X38)="","",INDEX(工程マスタ!$F:$F,$X38)))</f>
        <v/>
      </c>
      <c r="G38" s="30" t="str">
        <f aca="false">IF($X38=0,"",IF(INDEX(工程マスタ!$H:$H,$X38)="","",INDEX(工程マスタ!$H:$H,$X38)))</f>
        <v/>
      </c>
      <c r="H38" s="31" t="str">
        <f aca="false">IF($X38=0,"",IF(AND(INDEX(工程マスタ!$I:$I,$X38)="○",$E38=H$3),"▼",""))</f>
        <v/>
      </c>
      <c r="I38" s="31" t="str">
        <f aca="false">IF($X38=0,"",IF(AND(INDEX(工程マスタ!$I:$I,$X38)="○",$E38=I$3),"▼",""))</f>
        <v/>
      </c>
      <c r="J38" s="31" t="str">
        <f aca="false">IF($X38=0,"",IF(AND(INDEX(工程マスタ!$I:$I,$X38)="○",$E38=J$3),"▼",""))</f>
        <v/>
      </c>
      <c r="K38" s="31" t="str">
        <f aca="false">IF($X38=0,"",IF(AND(INDEX(工程マスタ!$I:$I,$X38)="○",$E38=K$3),"▼",""))</f>
        <v/>
      </c>
      <c r="L38" s="31" t="str">
        <f aca="false">IF($X38=0,"",IF(AND(INDEX(工程マスタ!$I:$I,$X38)="○",$E38=L$3),"▼",""))</f>
        <v/>
      </c>
      <c r="M38" s="31" t="str">
        <f aca="false">IF($X38=0,"",IF(AND(INDEX(工程マスタ!$I:$I,$X38)="○",$E38=M$3),"▼",""))</f>
        <v/>
      </c>
      <c r="N38" s="31" t="str">
        <f aca="false">IF($X38=0,"",IF(AND(INDEX(工程マスタ!$I:$I,$X38)="○",$E38=N$3),"▼",""))</f>
        <v/>
      </c>
      <c r="O38" s="31" t="str">
        <f aca="false">IF($X38=0,"",IF(AND(INDEX(工程マスタ!$I:$I,$X38)="○",$E38=O$3),"▼",""))</f>
        <v/>
      </c>
      <c r="P38" s="31" t="str">
        <f aca="false">IF($X38=0,"",IF(AND(INDEX(工程マスタ!$I:$I,$X38)="○",$E38=P$3),"▼",""))</f>
        <v/>
      </c>
      <c r="Q38" s="31" t="str">
        <f aca="false">IF($X38=0,"",IF(AND(INDEX(工程マスタ!$I:$I,$X38)="○",$E38=Q$3),"▼",""))</f>
        <v/>
      </c>
      <c r="R38" s="31" t="str">
        <f aca="false">IF($X38=0,"",IF(AND(INDEX(工程マスタ!$I:$I,$X38)="○",$E38=R$3),"▼",""))</f>
        <v/>
      </c>
      <c r="S38" s="31" t="str">
        <f aca="false">IF($X38=0,"",IF(AND(INDEX(工程マスタ!$I:$I,$X38)="○",$E38=S$3),"▼",""))</f>
        <v/>
      </c>
      <c r="T38" s="31" t="str">
        <f aca="false">IF($X38=0,"",IF(AND(INDEX(工程マスタ!$I:$I,$X38)="○",$E38=T$3),"▼",""))</f>
        <v/>
      </c>
      <c r="U38" s="31" t="str">
        <f aca="false">IF($X38=0,"",IF(AND(INDEX(工程マスタ!$I:$I,$X38)="○",$E38=U$3),"▼",""))</f>
        <v/>
      </c>
      <c r="V38" s="40" t="str">
        <f aca="false">IF($X38=0,"",IF(INDEX(工程マスタ!$J:$J,$X38)="","",INDEX(工程マスタ!$J:$J,$X38)))</f>
        <v/>
      </c>
      <c r="X38" s="27" t="n">
        <f aca="false" t="array" ref="X38:X38">IFERROR(SMALL(IF((工程マスタ!$K$5:$K$154&gt;0)*(工程マスタ!$K$5:$K$154&lt;=$B$2+13)*(工程マスタ!$L$5:$L$154&gt;=$B$2),ROW(工程マスタ!$C$5:$C$154)),32),0)</f>
        <v>0</v>
      </c>
      <c r="Y38" s="27" t="n">
        <f aca="false">IF($X38=0,0,INDEX(工程マスタ!$M:$M,$X38))</f>
        <v>0</v>
      </c>
    </row>
    <row r="39" customFormat="false" ht="15" hidden="false" customHeight="false" outlineLevel="0" collapsed="false">
      <c r="A39" s="28" t="str">
        <f aca="false">IF($X39=0,"",IF(INDEX(工程マスタ!$A:$A,$X39)="","",INDEX(工程マスタ!$A:$A,$X39)))</f>
        <v/>
      </c>
      <c r="B39" s="21" t="str">
        <f aca="false">IF($X39=0,"",IF(INDEX(工程マスタ!$B:$B,$X39)="","",INDEX(工程マスタ!$B:$B,$X39)))</f>
        <v/>
      </c>
      <c r="C39" s="21" t="str">
        <f aca="false">IF($X39=0,"",IF(INDEX(工程マスタ!$C:$C,$X39)="","",INDEX(工程マスタ!$C:$C,$X39)))</f>
        <v/>
      </c>
      <c r="D39" s="21" t="str">
        <f aca="false">IF($X39=0,"",IF(INDEX(工程マスタ!$D:$D,$X39)="","",INDEX(工程マスタ!$D:$D,$X39)))</f>
        <v/>
      </c>
      <c r="E39" s="29" t="str">
        <f aca="false">IF($X39=0,"",IF(INDEX(工程マスタ!$E:$E,$X39)="","",INDEX(工程マスタ!$E:$E,$X39)))</f>
        <v/>
      </c>
      <c r="F39" s="29" t="str">
        <f aca="false">IF($X39=0,"",IF(INDEX(工程マスタ!$F:$F,$X39)="","",INDEX(工程マスタ!$F:$F,$X39)))</f>
        <v/>
      </c>
      <c r="G39" s="30" t="str">
        <f aca="false">IF($X39=0,"",IF(INDEX(工程マスタ!$H:$H,$X39)="","",INDEX(工程マスタ!$H:$H,$X39)))</f>
        <v/>
      </c>
      <c r="H39" s="31" t="str">
        <f aca="false">IF($X39=0,"",IF(AND(INDEX(工程マスタ!$I:$I,$X39)="○",$E39=H$3),"▼",""))</f>
        <v/>
      </c>
      <c r="I39" s="31" t="str">
        <f aca="false">IF($X39=0,"",IF(AND(INDEX(工程マスタ!$I:$I,$X39)="○",$E39=I$3),"▼",""))</f>
        <v/>
      </c>
      <c r="J39" s="31" t="str">
        <f aca="false">IF($X39=0,"",IF(AND(INDEX(工程マスタ!$I:$I,$X39)="○",$E39=J$3),"▼",""))</f>
        <v/>
      </c>
      <c r="K39" s="31" t="str">
        <f aca="false">IF($X39=0,"",IF(AND(INDEX(工程マスタ!$I:$I,$X39)="○",$E39=K$3),"▼",""))</f>
        <v/>
      </c>
      <c r="L39" s="31" t="str">
        <f aca="false">IF($X39=0,"",IF(AND(INDEX(工程マスタ!$I:$I,$X39)="○",$E39=L$3),"▼",""))</f>
        <v/>
      </c>
      <c r="M39" s="31" t="str">
        <f aca="false">IF($X39=0,"",IF(AND(INDEX(工程マスタ!$I:$I,$X39)="○",$E39=M$3),"▼",""))</f>
        <v/>
      </c>
      <c r="N39" s="31" t="str">
        <f aca="false">IF($X39=0,"",IF(AND(INDEX(工程マスタ!$I:$I,$X39)="○",$E39=N$3),"▼",""))</f>
        <v/>
      </c>
      <c r="O39" s="31" t="str">
        <f aca="false">IF($X39=0,"",IF(AND(INDEX(工程マスタ!$I:$I,$X39)="○",$E39=O$3),"▼",""))</f>
        <v/>
      </c>
      <c r="P39" s="31" t="str">
        <f aca="false">IF($X39=0,"",IF(AND(INDEX(工程マスタ!$I:$I,$X39)="○",$E39=P$3),"▼",""))</f>
        <v/>
      </c>
      <c r="Q39" s="31" t="str">
        <f aca="false">IF($X39=0,"",IF(AND(INDEX(工程マスタ!$I:$I,$X39)="○",$E39=Q$3),"▼",""))</f>
        <v/>
      </c>
      <c r="R39" s="31" t="str">
        <f aca="false">IF($X39=0,"",IF(AND(INDEX(工程マスタ!$I:$I,$X39)="○",$E39=R$3),"▼",""))</f>
        <v/>
      </c>
      <c r="S39" s="31" t="str">
        <f aca="false">IF($X39=0,"",IF(AND(INDEX(工程マスタ!$I:$I,$X39)="○",$E39=S$3),"▼",""))</f>
        <v/>
      </c>
      <c r="T39" s="31" t="str">
        <f aca="false">IF($X39=0,"",IF(AND(INDEX(工程マスタ!$I:$I,$X39)="○",$E39=T$3),"▼",""))</f>
        <v/>
      </c>
      <c r="U39" s="31" t="str">
        <f aca="false">IF($X39=0,"",IF(AND(INDEX(工程マスタ!$I:$I,$X39)="○",$E39=U$3),"▼",""))</f>
        <v/>
      </c>
      <c r="V39" s="40" t="str">
        <f aca="false">IF($X39=0,"",IF(INDEX(工程マスタ!$J:$J,$X39)="","",INDEX(工程マスタ!$J:$J,$X39)))</f>
        <v/>
      </c>
      <c r="X39" s="27" t="n">
        <f aca="false" t="array" ref="X39:X39">IFERROR(SMALL(IF((工程マスタ!$K$5:$K$154&gt;0)*(工程マスタ!$K$5:$K$154&lt;=$B$2+13)*(工程マスタ!$L$5:$L$154&gt;=$B$2),ROW(工程マスタ!$C$5:$C$154)),33),0)</f>
        <v>0</v>
      </c>
      <c r="Y39" s="27" t="n">
        <f aca="false">IF($X39=0,0,INDEX(工程マスタ!$M:$M,$X39))</f>
        <v>0</v>
      </c>
    </row>
    <row r="40" customFormat="false" ht="15" hidden="false" customHeight="false" outlineLevel="0" collapsed="false">
      <c r="A40" s="28" t="str">
        <f aca="false">IF($X40=0,"",IF(INDEX(工程マスタ!$A:$A,$X40)="","",INDEX(工程マスタ!$A:$A,$X40)))</f>
        <v/>
      </c>
      <c r="B40" s="21" t="str">
        <f aca="false">IF($X40=0,"",IF(INDEX(工程マスタ!$B:$B,$X40)="","",INDEX(工程マスタ!$B:$B,$X40)))</f>
        <v/>
      </c>
      <c r="C40" s="21" t="str">
        <f aca="false">IF($X40=0,"",IF(INDEX(工程マスタ!$C:$C,$X40)="","",INDEX(工程マスタ!$C:$C,$X40)))</f>
        <v/>
      </c>
      <c r="D40" s="21" t="str">
        <f aca="false">IF($X40=0,"",IF(INDEX(工程マスタ!$D:$D,$X40)="","",INDEX(工程マスタ!$D:$D,$X40)))</f>
        <v/>
      </c>
      <c r="E40" s="29" t="str">
        <f aca="false">IF($X40=0,"",IF(INDEX(工程マスタ!$E:$E,$X40)="","",INDEX(工程マスタ!$E:$E,$X40)))</f>
        <v/>
      </c>
      <c r="F40" s="29" t="str">
        <f aca="false">IF($X40=0,"",IF(INDEX(工程マスタ!$F:$F,$X40)="","",INDEX(工程マスタ!$F:$F,$X40)))</f>
        <v/>
      </c>
      <c r="G40" s="30" t="str">
        <f aca="false">IF($X40=0,"",IF(INDEX(工程マスタ!$H:$H,$X40)="","",INDEX(工程マスタ!$H:$H,$X40)))</f>
        <v/>
      </c>
      <c r="H40" s="31" t="str">
        <f aca="false">IF($X40=0,"",IF(AND(INDEX(工程マスタ!$I:$I,$X40)="○",$E40=H$3),"▼",""))</f>
        <v/>
      </c>
      <c r="I40" s="31" t="str">
        <f aca="false">IF($X40=0,"",IF(AND(INDEX(工程マスタ!$I:$I,$X40)="○",$E40=I$3),"▼",""))</f>
        <v/>
      </c>
      <c r="J40" s="31" t="str">
        <f aca="false">IF($X40=0,"",IF(AND(INDEX(工程マスタ!$I:$I,$X40)="○",$E40=J$3),"▼",""))</f>
        <v/>
      </c>
      <c r="K40" s="31" t="str">
        <f aca="false">IF($X40=0,"",IF(AND(INDEX(工程マスタ!$I:$I,$X40)="○",$E40=K$3),"▼",""))</f>
        <v/>
      </c>
      <c r="L40" s="31" t="str">
        <f aca="false">IF($X40=0,"",IF(AND(INDEX(工程マスタ!$I:$I,$X40)="○",$E40=L$3),"▼",""))</f>
        <v/>
      </c>
      <c r="M40" s="31" t="str">
        <f aca="false">IF($X40=0,"",IF(AND(INDEX(工程マスタ!$I:$I,$X40)="○",$E40=M$3),"▼",""))</f>
        <v/>
      </c>
      <c r="N40" s="31" t="str">
        <f aca="false">IF($X40=0,"",IF(AND(INDEX(工程マスタ!$I:$I,$X40)="○",$E40=N$3),"▼",""))</f>
        <v/>
      </c>
      <c r="O40" s="31" t="str">
        <f aca="false">IF($X40=0,"",IF(AND(INDEX(工程マスタ!$I:$I,$X40)="○",$E40=O$3),"▼",""))</f>
        <v/>
      </c>
      <c r="P40" s="31" t="str">
        <f aca="false">IF($X40=0,"",IF(AND(INDEX(工程マスタ!$I:$I,$X40)="○",$E40=P$3),"▼",""))</f>
        <v/>
      </c>
      <c r="Q40" s="31" t="str">
        <f aca="false">IF($X40=0,"",IF(AND(INDEX(工程マスタ!$I:$I,$X40)="○",$E40=Q$3),"▼",""))</f>
        <v/>
      </c>
      <c r="R40" s="31" t="str">
        <f aca="false">IF($X40=0,"",IF(AND(INDEX(工程マスタ!$I:$I,$X40)="○",$E40=R$3),"▼",""))</f>
        <v/>
      </c>
      <c r="S40" s="31" t="str">
        <f aca="false">IF($X40=0,"",IF(AND(INDEX(工程マスタ!$I:$I,$X40)="○",$E40=S$3),"▼",""))</f>
        <v/>
      </c>
      <c r="T40" s="31" t="str">
        <f aca="false">IF($X40=0,"",IF(AND(INDEX(工程マスタ!$I:$I,$X40)="○",$E40=T$3),"▼",""))</f>
        <v/>
      </c>
      <c r="U40" s="31" t="str">
        <f aca="false">IF($X40=0,"",IF(AND(INDEX(工程マスタ!$I:$I,$X40)="○",$E40=U$3),"▼",""))</f>
        <v/>
      </c>
      <c r="V40" s="40" t="str">
        <f aca="false">IF($X40=0,"",IF(INDEX(工程マスタ!$J:$J,$X40)="","",INDEX(工程マスタ!$J:$J,$X40)))</f>
        <v/>
      </c>
      <c r="X40" s="27" t="n">
        <f aca="false" t="array" ref="X40:X40">IFERROR(SMALL(IF((工程マスタ!$K$5:$K$154&gt;0)*(工程マスタ!$K$5:$K$154&lt;=$B$2+13)*(工程マスタ!$L$5:$L$154&gt;=$B$2),ROW(工程マスタ!$C$5:$C$154)),34),0)</f>
        <v>0</v>
      </c>
      <c r="Y40" s="27" t="n">
        <f aca="false">IF($X40=0,0,INDEX(工程マスタ!$M:$M,$X40))</f>
        <v>0</v>
      </c>
    </row>
    <row r="41" customFormat="false" ht="15" hidden="false" customHeight="false" outlineLevel="0" collapsed="false">
      <c r="A41" s="28" t="str">
        <f aca="false">IF($X41=0,"",IF(INDEX(工程マスタ!$A:$A,$X41)="","",INDEX(工程マスタ!$A:$A,$X41)))</f>
        <v/>
      </c>
      <c r="B41" s="21" t="str">
        <f aca="false">IF($X41=0,"",IF(INDEX(工程マスタ!$B:$B,$X41)="","",INDEX(工程マスタ!$B:$B,$X41)))</f>
        <v/>
      </c>
      <c r="C41" s="21" t="str">
        <f aca="false">IF($X41=0,"",IF(INDEX(工程マスタ!$C:$C,$X41)="","",INDEX(工程マスタ!$C:$C,$X41)))</f>
        <v/>
      </c>
      <c r="D41" s="21" t="str">
        <f aca="false">IF($X41=0,"",IF(INDEX(工程マスタ!$D:$D,$X41)="","",INDEX(工程マスタ!$D:$D,$X41)))</f>
        <v/>
      </c>
      <c r="E41" s="29" t="str">
        <f aca="false">IF($X41=0,"",IF(INDEX(工程マスタ!$E:$E,$X41)="","",INDEX(工程マスタ!$E:$E,$X41)))</f>
        <v/>
      </c>
      <c r="F41" s="29" t="str">
        <f aca="false">IF($X41=0,"",IF(INDEX(工程マスタ!$F:$F,$X41)="","",INDEX(工程マスタ!$F:$F,$X41)))</f>
        <v/>
      </c>
      <c r="G41" s="30" t="str">
        <f aca="false">IF($X41=0,"",IF(INDEX(工程マスタ!$H:$H,$X41)="","",INDEX(工程マスタ!$H:$H,$X41)))</f>
        <v/>
      </c>
      <c r="H41" s="31" t="str">
        <f aca="false">IF($X41=0,"",IF(AND(INDEX(工程マスタ!$I:$I,$X41)="○",$E41=H$3),"▼",""))</f>
        <v/>
      </c>
      <c r="I41" s="31" t="str">
        <f aca="false">IF($X41=0,"",IF(AND(INDEX(工程マスタ!$I:$I,$X41)="○",$E41=I$3),"▼",""))</f>
        <v/>
      </c>
      <c r="J41" s="31" t="str">
        <f aca="false">IF($X41=0,"",IF(AND(INDEX(工程マスタ!$I:$I,$X41)="○",$E41=J$3),"▼",""))</f>
        <v/>
      </c>
      <c r="K41" s="31" t="str">
        <f aca="false">IF($X41=0,"",IF(AND(INDEX(工程マスタ!$I:$I,$X41)="○",$E41=K$3),"▼",""))</f>
        <v/>
      </c>
      <c r="L41" s="31" t="str">
        <f aca="false">IF($X41=0,"",IF(AND(INDEX(工程マスタ!$I:$I,$X41)="○",$E41=L$3),"▼",""))</f>
        <v/>
      </c>
      <c r="M41" s="31" t="str">
        <f aca="false">IF($X41=0,"",IF(AND(INDEX(工程マスタ!$I:$I,$X41)="○",$E41=M$3),"▼",""))</f>
        <v/>
      </c>
      <c r="N41" s="31" t="str">
        <f aca="false">IF($X41=0,"",IF(AND(INDEX(工程マスタ!$I:$I,$X41)="○",$E41=N$3),"▼",""))</f>
        <v/>
      </c>
      <c r="O41" s="31" t="str">
        <f aca="false">IF($X41=0,"",IF(AND(INDEX(工程マスタ!$I:$I,$X41)="○",$E41=O$3),"▼",""))</f>
        <v/>
      </c>
      <c r="P41" s="31" t="str">
        <f aca="false">IF($X41=0,"",IF(AND(INDEX(工程マスタ!$I:$I,$X41)="○",$E41=P$3),"▼",""))</f>
        <v/>
      </c>
      <c r="Q41" s="31" t="str">
        <f aca="false">IF($X41=0,"",IF(AND(INDEX(工程マスタ!$I:$I,$X41)="○",$E41=Q$3),"▼",""))</f>
        <v/>
      </c>
      <c r="R41" s="31" t="str">
        <f aca="false">IF($X41=0,"",IF(AND(INDEX(工程マスタ!$I:$I,$X41)="○",$E41=R$3),"▼",""))</f>
        <v/>
      </c>
      <c r="S41" s="31" t="str">
        <f aca="false">IF($X41=0,"",IF(AND(INDEX(工程マスタ!$I:$I,$X41)="○",$E41=S$3),"▼",""))</f>
        <v/>
      </c>
      <c r="T41" s="31" t="str">
        <f aca="false">IF($X41=0,"",IF(AND(INDEX(工程マスタ!$I:$I,$X41)="○",$E41=T$3),"▼",""))</f>
        <v/>
      </c>
      <c r="U41" s="31" t="str">
        <f aca="false">IF($X41=0,"",IF(AND(INDEX(工程マスタ!$I:$I,$X41)="○",$E41=U$3),"▼",""))</f>
        <v/>
      </c>
      <c r="V41" s="40" t="str">
        <f aca="false">IF($X41=0,"",IF(INDEX(工程マスタ!$J:$J,$X41)="","",INDEX(工程マスタ!$J:$J,$X41)))</f>
        <v/>
      </c>
      <c r="X41" s="27" t="n">
        <f aca="false" t="array" ref="X41:X41">IFERROR(SMALL(IF((工程マスタ!$K$5:$K$154&gt;0)*(工程マスタ!$K$5:$K$154&lt;=$B$2+13)*(工程マスタ!$L$5:$L$154&gt;=$B$2),ROW(工程マスタ!$C$5:$C$154)),35),0)</f>
        <v>0</v>
      </c>
      <c r="Y41" s="27" t="n">
        <f aca="false">IF($X41=0,0,INDEX(工程マスタ!$M:$M,$X41))</f>
        <v>0</v>
      </c>
    </row>
    <row r="42" customFormat="false" ht="15" hidden="false" customHeight="false" outlineLevel="0" collapsed="false">
      <c r="A42" s="28" t="str">
        <f aca="false">IF($X42=0,"",IF(INDEX(工程マスタ!$A:$A,$X42)="","",INDEX(工程マスタ!$A:$A,$X42)))</f>
        <v/>
      </c>
      <c r="B42" s="21" t="str">
        <f aca="false">IF($X42=0,"",IF(INDEX(工程マスタ!$B:$B,$X42)="","",INDEX(工程マスタ!$B:$B,$X42)))</f>
        <v/>
      </c>
      <c r="C42" s="21" t="str">
        <f aca="false">IF($X42=0,"",IF(INDEX(工程マスタ!$C:$C,$X42)="","",INDEX(工程マスタ!$C:$C,$X42)))</f>
        <v/>
      </c>
      <c r="D42" s="21" t="str">
        <f aca="false">IF($X42=0,"",IF(INDEX(工程マスタ!$D:$D,$X42)="","",INDEX(工程マスタ!$D:$D,$X42)))</f>
        <v/>
      </c>
      <c r="E42" s="29" t="str">
        <f aca="false">IF($X42=0,"",IF(INDEX(工程マスタ!$E:$E,$X42)="","",INDEX(工程マスタ!$E:$E,$X42)))</f>
        <v/>
      </c>
      <c r="F42" s="29" t="str">
        <f aca="false">IF($X42=0,"",IF(INDEX(工程マスタ!$F:$F,$X42)="","",INDEX(工程マスタ!$F:$F,$X42)))</f>
        <v/>
      </c>
      <c r="G42" s="30" t="str">
        <f aca="false">IF($X42=0,"",IF(INDEX(工程マスタ!$H:$H,$X42)="","",INDEX(工程マスタ!$H:$H,$X42)))</f>
        <v/>
      </c>
      <c r="H42" s="31" t="str">
        <f aca="false">IF($X42=0,"",IF(AND(INDEX(工程マスタ!$I:$I,$X42)="○",$E42=H$3),"▼",""))</f>
        <v/>
      </c>
      <c r="I42" s="31" t="str">
        <f aca="false">IF($X42=0,"",IF(AND(INDEX(工程マスタ!$I:$I,$X42)="○",$E42=I$3),"▼",""))</f>
        <v/>
      </c>
      <c r="J42" s="31" t="str">
        <f aca="false">IF($X42=0,"",IF(AND(INDEX(工程マスタ!$I:$I,$X42)="○",$E42=J$3),"▼",""))</f>
        <v/>
      </c>
      <c r="K42" s="31" t="str">
        <f aca="false">IF($X42=0,"",IF(AND(INDEX(工程マスタ!$I:$I,$X42)="○",$E42=K$3),"▼",""))</f>
        <v/>
      </c>
      <c r="L42" s="31" t="str">
        <f aca="false">IF($X42=0,"",IF(AND(INDEX(工程マスタ!$I:$I,$X42)="○",$E42=L$3),"▼",""))</f>
        <v/>
      </c>
      <c r="M42" s="31" t="str">
        <f aca="false">IF($X42=0,"",IF(AND(INDEX(工程マスタ!$I:$I,$X42)="○",$E42=M$3),"▼",""))</f>
        <v/>
      </c>
      <c r="N42" s="31" t="str">
        <f aca="false">IF($X42=0,"",IF(AND(INDEX(工程マスタ!$I:$I,$X42)="○",$E42=N$3),"▼",""))</f>
        <v/>
      </c>
      <c r="O42" s="31" t="str">
        <f aca="false">IF($X42=0,"",IF(AND(INDEX(工程マスタ!$I:$I,$X42)="○",$E42=O$3),"▼",""))</f>
        <v/>
      </c>
      <c r="P42" s="31" t="str">
        <f aca="false">IF($X42=0,"",IF(AND(INDEX(工程マスタ!$I:$I,$X42)="○",$E42=P$3),"▼",""))</f>
        <v/>
      </c>
      <c r="Q42" s="31" t="str">
        <f aca="false">IF($X42=0,"",IF(AND(INDEX(工程マスタ!$I:$I,$X42)="○",$E42=Q$3),"▼",""))</f>
        <v/>
      </c>
      <c r="R42" s="31" t="str">
        <f aca="false">IF($X42=0,"",IF(AND(INDEX(工程マスタ!$I:$I,$X42)="○",$E42=R$3),"▼",""))</f>
        <v/>
      </c>
      <c r="S42" s="31" t="str">
        <f aca="false">IF($X42=0,"",IF(AND(INDEX(工程マスタ!$I:$I,$X42)="○",$E42=S$3),"▼",""))</f>
        <v/>
      </c>
      <c r="T42" s="31" t="str">
        <f aca="false">IF($X42=0,"",IF(AND(INDEX(工程マスタ!$I:$I,$X42)="○",$E42=T$3),"▼",""))</f>
        <v/>
      </c>
      <c r="U42" s="31" t="str">
        <f aca="false">IF($X42=0,"",IF(AND(INDEX(工程マスタ!$I:$I,$X42)="○",$E42=U$3),"▼",""))</f>
        <v/>
      </c>
      <c r="V42" s="40" t="str">
        <f aca="false">IF($X42=0,"",IF(INDEX(工程マスタ!$J:$J,$X42)="","",INDEX(工程マスタ!$J:$J,$X42)))</f>
        <v/>
      </c>
      <c r="X42" s="27" t="n">
        <f aca="false" t="array" ref="X42:X42">IFERROR(SMALL(IF((工程マスタ!$K$5:$K$154&gt;0)*(工程マスタ!$K$5:$K$154&lt;=$B$2+13)*(工程マスタ!$L$5:$L$154&gt;=$B$2),ROW(工程マスタ!$C$5:$C$154)),36),0)</f>
        <v>0</v>
      </c>
      <c r="Y42" s="27" t="n">
        <f aca="false">IF($X42=0,0,INDEX(工程マスタ!$M:$M,$X42))</f>
        <v>0</v>
      </c>
    </row>
    <row r="43" customFormat="false" ht="15" hidden="false" customHeight="false" outlineLevel="0" collapsed="false">
      <c r="A43" s="28" t="str">
        <f aca="false">IF($X43=0,"",IF(INDEX(工程マスタ!$A:$A,$X43)="","",INDEX(工程マスタ!$A:$A,$X43)))</f>
        <v/>
      </c>
      <c r="B43" s="21" t="str">
        <f aca="false">IF($X43=0,"",IF(INDEX(工程マスタ!$B:$B,$X43)="","",INDEX(工程マスタ!$B:$B,$X43)))</f>
        <v/>
      </c>
      <c r="C43" s="21" t="str">
        <f aca="false">IF($X43=0,"",IF(INDEX(工程マスタ!$C:$C,$X43)="","",INDEX(工程マスタ!$C:$C,$X43)))</f>
        <v/>
      </c>
      <c r="D43" s="21" t="str">
        <f aca="false">IF($X43=0,"",IF(INDEX(工程マスタ!$D:$D,$X43)="","",INDEX(工程マスタ!$D:$D,$X43)))</f>
        <v/>
      </c>
      <c r="E43" s="29" t="str">
        <f aca="false">IF($X43=0,"",IF(INDEX(工程マスタ!$E:$E,$X43)="","",INDEX(工程マスタ!$E:$E,$X43)))</f>
        <v/>
      </c>
      <c r="F43" s="29" t="str">
        <f aca="false">IF($X43=0,"",IF(INDEX(工程マスタ!$F:$F,$X43)="","",INDEX(工程マスタ!$F:$F,$X43)))</f>
        <v/>
      </c>
      <c r="G43" s="30" t="str">
        <f aca="false">IF($X43=0,"",IF(INDEX(工程マスタ!$H:$H,$X43)="","",INDEX(工程マスタ!$H:$H,$X43)))</f>
        <v/>
      </c>
      <c r="H43" s="31" t="str">
        <f aca="false">IF($X43=0,"",IF(AND(INDEX(工程マスタ!$I:$I,$X43)="○",$E43=H$3),"▼",""))</f>
        <v/>
      </c>
      <c r="I43" s="31" t="str">
        <f aca="false">IF($X43=0,"",IF(AND(INDEX(工程マスタ!$I:$I,$X43)="○",$E43=I$3),"▼",""))</f>
        <v/>
      </c>
      <c r="J43" s="31" t="str">
        <f aca="false">IF($X43=0,"",IF(AND(INDEX(工程マスタ!$I:$I,$X43)="○",$E43=J$3),"▼",""))</f>
        <v/>
      </c>
      <c r="K43" s="31" t="str">
        <f aca="false">IF($X43=0,"",IF(AND(INDEX(工程マスタ!$I:$I,$X43)="○",$E43=K$3),"▼",""))</f>
        <v/>
      </c>
      <c r="L43" s="31" t="str">
        <f aca="false">IF($X43=0,"",IF(AND(INDEX(工程マスタ!$I:$I,$X43)="○",$E43=L$3),"▼",""))</f>
        <v/>
      </c>
      <c r="M43" s="31" t="str">
        <f aca="false">IF($X43=0,"",IF(AND(INDEX(工程マスタ!$I:$I,$X43)="○",$E43=M$3),"▼",""))</f>
        <v/>
      </c>
      <c r="N43" s="31" t="str">
        <f aca="false">IF($X43=0,"",IF(AND(INDEX(工程マスタ!$I:$I,$X43)="○",$E43=N$3),"▼",""))</f>
        <v/>
      </c>
      <c r="O43" s="31" t="str">
        <f aca="false">IF($X43=0,"",IF(AND(INDEX(工程マスタ!$I:$I,$X43)="○",$E43=O$3),"▼",""))</f>
        <v/>
      </c>
      <c r="P43" s="31" t="str">
        <f aca="false">IF($X43=0,"",IF(AND(INDEX(工程マスタ!$I:$I,$X43)="○",$E43=P$3),"▼",""))</f>
        <v/>
      </c>
      <c r="Q43" s="31" t="str">
        <f aca="false">IF($X43=0,"",IF(AND(INDEX(工程マスタ!$I:$I,$X43)="○",$E43=Q$3),"▼",""))</f>
        <v/>
      </c>
      <c r="R43" s="31" t="str">
        <f aca="false">IF($X43=0,"",IF(AND(INDEX(工程マスタ!$I:$I,$X43)="○",$E43=R$3),"▼",""))</f>
        <v/>
      </c>
      <c r="S43" s="31" t="str">
        <f aca="false">IF($X43=0,"",IF(AND(INDEX(工程マスタ!$I:$I,$X43)="○",$E43=S$3),"▼",""))</f>
        <v/>
      </c>
      <c r="T43" s="31" t="str">
        <f aca="false">IF($X43=0,"",IF(AND(INDEX(工程マスタ!$I:$I,$X43)="○",$E43=T$3),"▼",""))</f>
        <v/>
      </c>
      <c r="U43" s="31" t="str">
        <f aca="false">IF($X43=0,"",IF(AND(INDEX(工程マスタ!$I:$I,$X43)="○",$E43=U$3),"▼",""))</f>
        <v/>
      </c>
      <c r="V43" s="40" t="str">
        <f aca="false">IF($X43=0,"",IF(INDEX(工程マスタ!$J:$J,$X43)="","",INDEX(工程マスタ!$J:$J,$X43)))</f>
        <v/>
      </c>
      <c r="X43" s="27" t="n">
        <f aca="false" t="array" ref="X43:X43">IFERROR(SMALL(IF((工程マスタ!$K$5:$K$154&gt;0)*(工程マスタ!$K$5:$K$154&lt;=$B$2+13)*(工程マスタ!$L$5:$L$154&gt;=$B$2),ROW(工程マスタ!$C$5:$C$154)),37),0)</f>
        <v>0</v>
      </c>
      <c r="Y43" s="27" t="n">
        <f aca="false">IF($X43=0,0,INDEX(工程マスタ!$M:$M,$X43))</f>
        <v>0</v>
      </c>
    </row>
    <row r="44" customFormat="false" ht="15" hidden="false" customHeight="false" outlineLevel="0" collapsed="false">
      <c r="A44" s="28" t="str">
        <f aca="false">IF($X44=0,"",IF(INDEX(工程マスタ!$A:$A,$X44)="","",INDEX(工程マスタ!$A:$A,$X44)))</f>
        <v/>
      </c>
      <c r="B44" s="21" t="str">
        <f aca="false">IF($X44=0,"",IF(INDEX(工程マスタ!$B:$B,$X44)="","",INDEX(工程マスタ!$B:$B,$X44)))</f>
        <v/>
      </c>
      <c r="C44" s="21" t="str">
        <f aca="false">IF($X44=0,"",IF(INDEX(工程マスタ!$C:$C,$X44)="","",INDEX(工程マスタ!$C:$C,$X44)))</f>
        <v/>
      </c>
      <c r="D44" s="21" t="str">
        <f aca="false">IF($X44=0,"",IF(INDEX(工程マスタ!$D:$D,$X44)="","",INDEX(工程マスタ!$D:$D,$X44)))</f>
        <v/>
      </c>
      <c r="E44" s="29" t="str">
        <f aca="false">IF($X44=0,"",IF(INDEX(工程マスタ!$E:$E,$X44)="","",INDEX(工程マスタ!$E:$E,$X44)))</f>
        <v/>
      </c>
      <c r="F44" s="29" t="str">
        <f aca="false">IF($X44=0,"",IF(INDEX(工程マスタ!$F:$F,$X44)="","",INDEX(工程マスタ!$F:$F,$X44)))</f>
        <v/>
      </c>
      <c r="G44" s="30" t="str">
        <f aca="false">IF($X44=0,"",IF(INDEX(工程マスタ!$H:$H,$X44)="","",INDEX(工程マスタ!$H:$H,$X44)))</f>
        <v/>
      </c>
      <c r="H44" s="31" t="str">
        <f aca="false">IF($X44=0,"",IF(AND(INDEX(工程マスタ!$I:$I,$X44)="○",$E44=H$3),"▼",""))</f>
        <v/>
      </c>
      <c r="I44" s="31" t="str">
        <f aca="false">IF($X44=0,"",IF(AND(INDEX(工程マスタ!$I:$I,$X44)="○",$E44=I$3),"▼",""))</f>
        <v/>
      </c>
      <c r="J44" s="31" t="str">
        <f aca="false">IF($X44=0,"",IF(AND(INDEX(工程マスタ!$I:$I,$X44)="○",$E44=J$3),"▼",""))</f>
        <v/>
      </c>
      <c r="K44" s="31" t="str">
        <f aca="false">IF($X44=0,"",IF(AND(INDEX(工程マスタ!$I:$I,$X44)="○",$E44=K$3),"▼",""))</f>
        <v/>
      </c>
      <c r="L44" s="31" t="str">
        <f aca="false">IF($X44=0,"",IF(AND(INDEX(工程マスタ!$I:$I,$X44)="○",$E44=L$3),"▼",""))</f>
        <v/>
      </c>
      <c r="M44" s="31" t="str">
        <f aca="false">IF($X44=0,"",IF(AND(INDEX(工程マスタ!$I:$I,$X44)="○",$E44=M$3),"▼",""))</f>
        <v/>
      </c>
      <c r="N44" s="31" t="str">
        <f aca="false">IF($X44=0,"",IF(AND(INDEX(工程マスタ!$I:$I,$X44)="○",$E44=N$3),"▼",""))</f>
        <v/>
      </c>
      <c r="O44" s="31" t="str">
        <f aca="false">IF($X44=0,"",IF(AND(INDEX(工程マスタ!$I:$I,$X44)="○",$E44=O$3),"▼",""))</f>
        <v/>
      </c>
      <c r="P44" s="31" t="str">
        <f aca="false">IF($X44=0,"",IF(AND(INDEX(工程マスタ!$I:$I,$X44)="○",$E44=P$3),"▼",""))</f>
        <v/>
      </c>
      <c r="Q44" s="31" t="str">
        <f aca="false">IF($X44=0,"",IF(AND(INDEX(工程マスタ!$I:$I,$X44)="○",$E44=Q$3),"▼",""))</f>
        <v/>
      </c>
      <c r="R44" s="31" t="str">
        <f aca="false">IF($X44=0,"",IF(AND(INDEX(工程マスタ!$I:$I,$X44)="○",$E44=R$3),"▼",""))</f>
        <v/>
      </c>
      <c r="S44" s="31" t="str">
        <f aca="false">IF($X44=0,"",IF(AND(INDEX(工程マスタ!$I:$I,$X44)="○",$E44=S$3),"▼",""))</f>
        <v/>
      </c>
      <c r="T44" s="31" t="str">
        <f aca="false">IF($X44=0,"",IF(AND(INDEX(工程マスタ!$I:$I,$X44)="○",$E44=T$3),"▼",""))</f>
        <v/>
      </c>
      <c r="U44" s="31" t="str">
        <f aca="false">IF($X44=0,"",IF(AND(INDEX(工程マスタ!$I:$I,$X44)="○",$E44=U$3),"▼",""))</f>
        <v/>
      </c>
      <c r="V44" s="40" t="str">
        <f aca="false">IF($X44=0,"",IF(INDEX(工程マスタ!$J:$J,$X44)="","",INDEX(工程マスタ!$J:$J,$X44)))</f>
        <v/>
      </c>
      <c r="X44" s="27" t="n">
        <f aca="false" t="array" ref="X44:X44">IFERROR(SMALL(IF((工程マスタ!$K$5:$K$154&gt;0)*(工程マスタ!$K$5:$K$154&lt;=$B$2+13)*(工程マスタ!$L$5:$L$154&gt;=$B$2),ROW(工程マスタ!$C$5:$C$154)),38),0)</f>
        <v>0</v>
      </c>
      <c r="Y44" s="27" t="n">
        <f aca="false">IF($X44=0,0,INDEX(工程マスタ!$M:$M,$X44))</f>
        <v>0</v>
      </c>
    </row>
    <row r="45" customFormat="false" ht="15" hidden="false" customHeight="false" outlineLevel="0" collapsed="false">
      <c r="A45" s="28" t="str">
        <f aca="false">IF($X45=0,"",IF(INDEX(工程マスタ!$A:$A,$X45)="","",INDEX(工程マスタ!$A:$A,$X45)))</f>
        <v/>
      </c>
      <c r="B45" s="21" t="str">
        <f aca="false">IF($X45=0,"",IF(INDEX(工程マスタ!$B:$B,$X45)="","",INDEX(工程マスタ!$B:$B,$X45)))</f>
        <v/>
      </c>
      <c r="C45" s="21" t="str">
        <f aca="false">IF($X45=0,"",IF(INDEX(工程マスタ!$C:$C,$X45)="","",INDEX(工程マスタ!$C:$C,$X45)))</f>
        <v/>
      </c>
      <c r="D45" s="21" t="str">
        <f aca="false">IF($X45=0,"",IF(INDEX(工程マスタ!$D:$D,$X45)="","",INDEX(工程マスタ!$D:$D,$X45)))</f>
        <v/>
      </c>
      <c r="E45" s="29" t="str">
        <f aca="false">IF($X45=0,"",IF(INDEX(工程マスタ!$E:$E,$X45)="","",INDEX(工程マスタ!$E:$E,$X45)))</f>
        <v/>
      </c>
      <c r="F45" s="29" t="str">
        <f aca="false">IF($X45=0,"",IF(INDEX(工程マスタ!$F:$F,$X45)="","",INDEX(工程マスタ!$F:$F,$X45)))</f>
        <v/>
      </c>
      <c r="G45" s="30" t="str">
        <f aca="false">IF($X45=0,"",IF(INDEX(工程マスタ!$H:$H,$X45)="","",INDEX(工程マスタ!$H:$H,$X45)))</f>
        <v/>
      </c>
      <c r="H45" s="31" t="str">
        <f aca="false">IF($X45=0,"",IF(AND(INDEX(工程マスタ!$I:$I,$X45)="○",$E45=H$3),"▼",""))</f>
        <v/>
      </c>
      <c r="I45" s="31" t="str">
        <f aca="false">IF($X45=0,"",IF(AND(INDEX(工程マスタ!$I:$I,$X45)="○",$E45=I$3),"▼",""))</f>
        <v/>
      </c>
      <c r="J45" s="31" t="str">
        <f aca="false">IF($X45=0,"",IF(AND(INDEX(工程マスタ!$I:$I,$X45)="○",$E45=J$3),"▼",""))</f>
        <v/>
      </c>
      <c r="K45" s="31" t="str">
        <f aca="false">IF($X45=0,"",IF(AND(INDEX(工程マスタ!$I:$I,$X45)="○",$E45=K$3),"▼",""))</f>
        <v/>
      </c>
      <c r="L45" s="31" t="str">
        <f aca="false">IF($X45=0,"",IF(AND(INDEX(工程マスタ!$I:$I,$X45)="○",$E45=L$3),"▼",""))</f>
        <v/>
      </c>
      <c r="M45" s="31" t="str">
        <f aca="false">IF($X45=0,"",IF(AND(INDEX(工程マスタ!$I:$I,$X45)="○",$E45=M$3),"▼",""))</f>
        <v/>
      </c>
      <c r="N45" s="31" t="str">
        <f aca="false">IF($X45=0,"",IF(AND(INDEX(工程マスタ!$I:$I,$X45)="○",$E45=N$3),"▼",""))</f>
        <v/>
      </c>
      <c r="O45" s="31" t="str">
        <f aca="false">IF($X45=0,"",IF(AND(INDEX(工程マスタ!$I:$I,$X45)="○",$E45=O$3),"▼",""))</f>
        <v/>
      </c>
      <c r="P45" s="31" t="str">
        <f aca="false">IF($X45=0,"",IF(AND(INDEX(工程マスタ!$I:$I,$X45)="○",$E45=P$3),"▼",""))</f>
        <v/>
      </c>
      <c r="Q45" s="31" t="str">
        <f aca="false">IF($X45=0,"",IF(AND(INDEX(工程マスタ!$I:$I,$X45)="○",$E45=Q$3),"▼",""))</f>
        <v/>
      </c>
      <c r="R45" s="31" t="str">
        <f aca="false">IF($X45=0,"",IF(AND(INDEX(工程マスタ!$I:$I,$X45)="○",$E45=R$3),"▼",""))</f>
        <v/>
      </c>
      <c r="S45" s="31" t="str">
        <f aca="false">IF($X45=0,"",IF(AND(INDEX(工程マスタ!$I:$I,$X45)="○",$E45=S$3),"▼",""))</f>
        <v/>
      </c>
      <c r="T45" s="31" t="str">
        <f aca="false">IF($X45=0,"",IF(AND(INDEX(工程マスタ!$I:$I,$X45)="○",$E45=T$3),"▼",""))</f>
        <v/>
      </c>
      <c r="U45" s="31" t="str">
        <f aca="false">IF($X45=0,"",IF(AND(INDEX(工程マスタ!$I:$I,$X45)="○",$E45=U$3),"▼",""))</f>
        <v/>
      </c>
      <c r="V45" s="40" t="str">
        <f aca="false">IF($X45=0,"",IF(INDEX(工程マスタ!$J:$J,$X45)="","",INDEX(工程マスタ!$J:$J,$X45)))</f>
        <v/>
      </c>
      <c r="X45" s="27" t="n">
        <f aca="false" t="array" ref="X45:X45">IFERROR(SMALL(IF((工程マスタ!$K$5:$K$154&gt;0)*(工程マスタ!$K$5:$K$154&lt;=$B$2+13)*(工程マスタ!$L$5:$L$154&gt;=$B$2),ROW(工程マスタ!$C$5:$C$154)),39),0)</f>
        <v>0</v>
      </c>
      <c r="Y45" s="27" t="n">
        <f aca="false">IF($X45=0,0,INDEX(工程マスタ!$M:$M,$X45))</f>
        <v>0</v>
      </c>
    </row>
    <row r="46" customFormat="false" ht="15" hidden="false" customHeight="false" outlineLevel="0" collapsed="false">
      <c r="A46" s="28" t="str">
        <f aca="false">IF($X46=0,"",IF(INDEX(工程マスタ!$A:$A,$X46)="","",INDEX(工程マスタ!$A:$A,$X46)))</f>
        <v/>
      </c>
      <c r="B46" s="21" t="str">
        <f aca="false">IF($X46=0,"",IF(INDEX(工程マスタ!$B:$B,$X46)="","",INDEX(工程マスタ!$B:$B,$X46)))</f>
        <v/>
      </c>
      <c r="C46" s="21" t="str">
        <f aca="false">IF($X46=0,"",IF(INDEX(工程マスタ!$C:$C,$X46)="","",INDEX(工程マスタ!$C:$C,$X46)))</f>
        <v/>
      </c>
      <c r="D46" s="21" t="str">
        <f aca="false">IF($X46=0,"",IF(INDEX(工程マスタ!$D:$D,$X46)="","",INDEX(工程マスタ!$D:$D,$X46)))</f>
        <v/>
      </c>
      <c r="E46" s="29" t="str">
        <f aca="false">IF($X46=0,"",IF(INDEX(工程マスタ!$E:$E,$X46)="","",INDEX(工程マスタ!$E:$E,$X46)))</f>
        <v/>
      </c>
      <c r="F46" s="29" t="str">
        <f aca="false">IF($X46=0,"",IF(INDEX(工程マスタ!$F:$F,$X46)="","",INDEX(工程マスタ!$F:$F,$X46)))</f>
        <v/>
      </c>
      <c r="G46" s="30" t="str">
        <f aca="false">IF($X46=0,"",IF(INDEX(工程マスタ!$H:$H,$X46)="","",INDEX(工程マスタ!$H:$H,$X46)))</f>
        <v/>
      </c>
      <c r="H46" s="31" t="str">
        <f aca="false">IF($X46=0,"",IF(AND(INDEX(工程マスタ!$I:$I,$X46)="○",$E46=H$3),"▼",""))</f>
        <v/>
      </c>
      <c r="I46" s="31" t="str">
        <f aca="false">IF($X46=0,"",IF(AND(INDEX(工程マスタ!$I:$I,$X46)="○",$E46=I$3),"▼",""))</f>
        <v/>
      </c>
      <c r="J46" s="31" t="str">
        <f aca="false">IF($X46=0,"",IF(AND(INDEX(工程マスタ!$I:$I,$X46)="○",$E46=J$3),"▼",""))</f>
        <v/>
      </c>
      <c r="K46" s="31" t="str">
        <f aca="false">IF($X46=0,"",IF(AND(INDEX(工程マスタ!$I:$I,$X46)="○",$E46=K$3),"▼",""))</f>
        <v/>
      </c>
      <c r="L46" s="31" t="str">
        <f aca="false">IF($X46=0,"",IF(AND(INDEX(工程マスタ!$I:$I,$X46)="○",$E46=L$3),"▼",""))</f>
        <v/>
      </c>
      <c r="M46" s="31" t="str">
        <f aca="false">IF($X46=0,"",IF(AND(INDEX(工程マスタ!$I:$I,$X46)="○",$E46=M$3),"▼",""))</f>
        <v/>
      </c>
      <c r="N46" s="31" t="str">
        <f aca="false">IF($X46=0,"",IF(AND(INDEX(工程マスタ!$I:$I,$X46)="○",$E46=N$3),"▼",""))</f>
        <v/>
      </c>
      <c r="O46" s="31" t="str">
        <f aca="false">IF($X46=0,"",IF(AND(INDEX(工程マスタ!$I:$I,$X46)="○",$E46=O$3),"▼",""))</f>
        <v/>
      </c>
      <c r="P46" s="31" t="str">
        <f aca="false">IF($X46=0,"",IF(AND(INDEX(工程マスタ!$I:$I,$X46)="○",$E46=P$3),"▼",""))</f>
        <v/>
      </c>
      <c r="Q46" s="31" t="str">
        <f aca="false">IF($X46=0,"",IF(AND(INDEX(工程マスタ!$I:$I,$X46)="○",$E46=Q$3),"▼",""))</f>
        <v/>
      </c>
      <c r="R46" s="31" t="str">
        <f aca="false">IF($X46=0,"",IF(AND(INDEX(工程マスタ!$I:$I,$X46)="○",$E46=R$3),"▼",""))</f>
        <v/>
      </c>
      <c r="S46" s="31" t="str">
        <f aca="false">IF($X46=0,"",IF(AND(INDEX(工程マスタ!$I:$I,$X46)="○",$E46=S$3),"▼",""))</f>
        <v/>
      </c>
      <c r="T46" s="31" t="str">
        <f aca="false">IF($X46=0,"",IF(AND(INDEX(工程マスタ!$I:$I,$X46)="○",$E46=T$3),"▼",""))</f>
        <v/>
      </c>
      <c r="U46" s="31" t="str">
        <f aca="false">IF($X46=0,"",IF(AND(INDEX(工程マスタ!$I:$I,$X46)="○",$E46=U$3),"▼",""))</f>
        <v/>
      </c>
      <c r="V46" s="40" t="str">
        <f aca="false">IF($X46=0,"",IF(INDEX(工程マスタ!$J:$J,$X46)="","",INDEX(工程マスタ!$J:$J,$X46)))</f>
        <v/>
      </c>
      <c r="X46" s="27" t="n">
        <f aca="false" t="array" ref="X46:X46">IFERROR(SMALL(IF((工程マスタ!$K$5:$K$154&gt;0)*(工程マスタ!$K$5:$K$154&lt;=$B$2+13)*(工程マスタ!$L$5:$L$154&gt;=$B$2),ROW(工程マスタ!$C$5:$C$154)),40),0)</f>
        <v>0</v>
      </c>
      <c r="Y46" s="27" t="n">
        <f aca="false">IF($X46=0,0,INDEX(工程マスタ!$M:$M,$X46))</f>
        <v>0</v>
      </c>
    </row>
    <row r="47" customFormat="false" ht="15" hidden="false" customHeight="false" outlineLevel="0" collapsed="false">
      <c r="A47" s="28" t="str">
        <f aca="false">IF($X47=0,"",IF(INDEX(工程マスタ!$A:$A,$X47)="","",INDEX(工程マスタ!$A:$A,$X47)))</f>
        <v/>
      </c>
      <c r="B47" s="21" t="str">
        <f aca="false">IF($X47=0,"",IF(INDEX(工程マスタ!$B:$B,$X47)="","",INDEX(工程マスタ!$B:$B,$X47)))</f>
        <v/>
      </c>
      <c r="C47" s="21" t="str">
        <f aca="false">IF($X47=0,"",IF(INDEX(工程マスタ!$C:$C,$X47)="","",INDEX(工程マスタ!$C:$C,$X47)))</f>
        <v/>
      </c>
      <c r="D47" s="21" t="str">
        <f aca="false">IF($X47=0,"",IF(INDEX(工程マスタ!$D:$D,$X47)="","",INDEX(工程マスタ!$D:$D,$X47)))</f>
        <v/>
      </c>
      <c r="E47" s="29" t="str">
        <f aca="false">IF($X47=0,"",IF(INDEX(工程マスタ!$E:$E,$X47)="","",INDEX(工程マスタ!$E:$E,$X47)))</f>
        <v/>
      </c>
      <c r="F47" s="29" t="str">
        <f aca="false">IF($X47=0,"",IF(INDEX(工程マスタ!$F:$F,$X47)="","",INDEX(工程マスタ!$F:$F,$X47)))</f>
        <v/>
      </c>
      <c r="G47" s="30" t="str">
        <f aca="false">IF($X47=0,"",IF(INDEX(工程マスタ!$H:$H,$X47)="","",INDEX(工程マスタ!$H:$H,$X47)))</f>
        <v/>
      </c>
      <c r="H47" s="31" t="str">
        <f aca="false">IF($X47=0,"",IF(AND(INDEX(工程マスタ!$I:$I,$X47)="○",$E47=H$3),"▼",""))</f>
        <v/>
      </c>
      <c r="I47" s="31" t="str">
        <f aca="false">IF($X47=0,"",IF(AND(INDEX(工程マスタ!$I:$I,$X47)="○",$E47=I$3),"▼",""))</f>
        <v/>
      </c>
      <c r="J47" s="31" t="str">
        <f aca="false">IF($X47=0,"",IF(AND(INDEX(工程マスタ!$I:$I,$X47)="○",$E47=J$3),"▼",""))</f>
        <v/>
      </c>
      <c r="K47" s="31" t="str">
        <f aca="false">IF($X47=0,"",IF(AND(INDEX(工程マスタ!$I:$I,$X47)="○",$E47=K$3),"▼",""))</f>
        <v/>
      </c>
      <c r="L47" s="31" t="str">
        <f aca="false">IF($X47=0,"",IF(AND(INDEX(工程マスタ!$I:$I,$X47)="○",$E47=L$3),"▼",""))</f>
        <v/>
      </c>
      <c r="M47" s="31" t="str">
        <f aca="false">IF($X47=0,"",IF(AND(INDEX(工程マスタ!$I:$I,$X47)="○",$E47=M$3),"▼",""))</f>
        <v/>
      </c>
      <c r="N47" s="31" t="str">
        <f aca="false">IF($X47=0,"",IF(AND(INDEX(工程マスタ!$I:$I,$X47)="○",$E47=N$3),"▼",""))</f>
        <v/>
      </c>
      <c r="O47" s="31" t="str">
        <f aca="false">IF($X47=0,"",IF(AND(INDEX(工程マスタ!$I:$I,$X47)="○",$E47=O$3),"▼",""))</f>
        <v/>
      </c>
      <c r="P47" s="31" t="str">
        <f aca="false">IF($X47=0,"",IF(AND(INDEX(工程マスタ!$I:$I,$X47)="○",$E47=P$3),"▼",""))</f>
        <v/>
      </c>
      <c r="Q47" s="31" t="str">
        <f aca="false">IF($X47=0,"",IF(AND(INDEX(工程マスタ!$I:$I,$X47)="○",$E47=Q$3),"▼",""))</f>
        <v/>
      </c>
      <c r="R47" s="31" t="str">
        <f aca="false">IF($X47=0,"",IF(AND(INDEX(工程マスタ!$I:$I,$X47)="○",$E47=R$3),"▼",""))</f>
        <v/>
      </c>
      <c r="S47" s="31" t="str">
        <f aca="false">IF($X47=0,"",IF(AND(INDEX(工程マスタ!$I:$I,$X47)="○",$E47=S$3),"▼",""))</f>
        <v/>
      </c>
      <c r="T47" s="31" t="str">
        <f aca="false">IF($X47=0,"",IF(AND(INDEX(工程マスタ!$I:$I,$X47)="○",$E47=T$3),"▼",""))</f>
        <v/>
      </c>
      <c r="U47" s="31" t="str">
        <f aca="false">IF($X47=0,"",IF(AND(INDEX(工程マスタ!$I:$I,$X47)="○",$E47=U$3),"▼",""))</f>
        <v/>
      </c>
      <c r="V47" s="40" t="str">
        <f aca="false">IF($X47=0,"",IF(INDEX(工程マスタ!$J:$J,$X47)="","",INDEX(工程マスタ!$J:$J,$X47)))</f>
        <v/>
      </c>
      <c r="X47" s="27" t="n">
        <f aca="false" t="array" ref="X47:X47">IFERROR(SMALL(IF((工程マスタ!$K$5:$K$154&gt;0)*(工程マスタ!$K$5:$K$154&lt;=$B$2+13)*(工程マスタ!$L$5:$L$154&gt;=$B$2),ROW(工程マスタ!$C$5:$C$154)),41),0)</f>
        <v>0</v>
      </c>
      <c r="Y47" s="27" t="n">
        <f aca="false">IF($X47=0,0,INDEX(工程マスタ!$M:$M,$X47))</f>
        <v>0</v>
      </c>
    </row>
    <row r="48" customFormat="false" ht="15" hidden="false" customHeight="false" outlineLevel="0" collapsed="false">
      <c r="A48" s="28" t="str">
        <f aca="false">IF($X48=0,"",IF(INDEX(工程マスタ!$A:$A,$X48)="","",INDEX(工程マスタ!$A:$A,$X48)))</f>
        <v/>
      </c>
      <c r="B48" s="21" t="str">
        <f aca="false">IF($X48=0,"",IF(INDEX(工程マスタ!$B:$B,$X48)="","",INDEX(工程マスタ!$B:$B,$X48)))</f>
        <v/>
      </c>
      <c r="C48" s="21" t="str">
        <f aca="false">IF($X48=0,"",IF(INDEX(工程マスタ!$C:$C,$X48)="","",INDEX(工程マスタ!$C:$C,$X48)))</f>
        <v/>
      </c>
      <c r="D48" s="21" t="str">
        <f aca="false">IF($X48=0,"",IF(INDEX(工程マスタ!$D:$D,$X48)="","",INDEX(工程マスタ!$D:$D,$X48)))</f>
        <v/>
      </c>
      <c r="E48" s="29" t="str">
        <f aca="false">IF($X48=0,"",IF(INDEX(工程マスタ!$E:$E,$X48)="","",INDEX(工程マスタ!$E:$E,$X48)))</f>
        <v/>
      </c>
      <c r="F48" s="29" t="str">
        <f aca="false">IF($X48=0,"",IF(INDEX(工程マスタ!$F:$F,$X48)="","",INDEX(工程マスタ!$F:$F,$X48)))</f>
        <v/>
      </c>
      <c r="G48" s="30" t="str">
        <f aca="false">IF($X48=0,"",IF(INDEX(工程マスタ!$H:$H,$X48)="","",INDEX(工程マスタ!$H:$H,$X48)))</f>
        <v/>
      </c>
      <c r="H48" s="31" t="str">
        <f aca="false">IF($X48=0,"",IF(AND(INDEX(工程マスタ!$I:$I,$X48)="○",$E48=H$3),"▼",""))</f>
        <v/>
      </c>
      <c r="I48" s="31" t="str">
        <f aca="false">IF($X48=0,"",IF(AND(INDEX(工程マスタ!$I:$I,$X48)="○",$E48=I$3),"▼",""))</f>
        <v/>
      </c>
      <c r="J48" s="31" t="str">
        <f aca="false">IF($X48=0,"",IF(AND(INDEX(工程マスタ!$I:$I,$X48)="○",$E48=J$3),"▼",""))</f>
        <v/>
      </c>
      <c r="K48" s="31" t="str">
        <f aca="false">IF($X48=0,"",IF(AND(INDEX(工程マスタ!$I:$I,$X48)="○",$E48=K$3),"▼",""))</f>
        <v/>
      </c>
      <c r="L48" s="31" t="str">
        <f aca="false">IF($X48=0,"",IF(AND(INDEX(工程マスタ!$I:$I,$X48)="○",$E48=L$3),"▼",""))</f>
        <v/>
      </c>
      <c r="M48" s="31" t="str">
        <f aca="false">IF($X48=0,"",IF(AND(INDEX(工程マスタ!$I:$I,$X48)="○",$E48=M$3),"▼",""))</f>
        <v/>
      </c>
      <c r="N48" s="31" t="str">
        <f aca="false">IF($X48=0,"",IF(AND(INDEX(工程マスタ!$I:$I,$X48)="○",$E48=N$3),"▼",""))</f>
        <v/>
      </c>
      <c r="O48" s="31" t="str">
        <f aca="false">IF($X48=0,"",IF(AND(INDEX(工程マスタ!$I:$I,$X48)="○",$E48=O$3),"▼",""))</f>
        <v/>
      </c>
      <c r="P48" s="31" t="str">
        <f aca="false">IF($X48=0,"",IF(AND(INDEX(工程マスタ!$I:$I,$X48)="○",$E48=P$3),"▼",""))</f>
        <v/>
      </c>
      <c r="Q48" s="31" t="str">
        <f aca="false">IF($X48=0,"",IF(AND(INDEX(工程マスタ!$I:$I,$X48)="○",$E48=Q$3),"▼",""))</f>
        <v/>
      </c>
      <c r="R48" s="31" t="str">
        <f aca="false">IF($X48=0,"",IF(AND(INDEX(工程マスタ!$I:$I,$X48)="○",$E48=R$3),"▼",""))</f>
        <v/>
      </c>
      <c r="S48" s="31" t="str">
        <f aca="false">IF($X48=0,"",IF(AND(INDEX(工程マスタ!$I:$I,$X48)="○",$E48=S$3),"▼",""))</f>
        <v/>
      </c>
      <c r="T48" s="31" t="str">
        <f aca="false">IF($X48=0,"",IF(AND(INDEX(工程マスタ!$I:$I,$X48)="○",$E48=T$3),"▼",""))</f>
        <v/>
      </c>
      <c r="U48" s="31" t="str">
        <f aca="false">IF($X48=0,"",IF(AND(INDEX(工程マスタ!$I:$I,$X48)="○",$E48=U$3),"▼",""))</f>
        <v/>
      </c>
      <c r="V48" s="40" t="str">
        <f aca="false">IF($X48=0,"",IF(INDEX(工程マスタ!$J:$J,$X48)="","",INDEX(工程マスタ!$J:$J,$X48)))</f>
        <v/>
      </c>
      <c r="X48" s="27" t="n">
        <f aca="false" t="array" ref="X48:X48">IFERROR(SMALL(IF((工程マスタ!$K$5:$K$154&gt;0)*(工程マスタ!$K$5:$K$154&lt;=$B$2+13)*(工程マスタ!$L$5:$L$154&gt;=$B$2),ROW(工程マスタ!$C$5:$C$154)),42),0)</f>
        <v>0</v>
      </c>
      <c r="Y48" s="27" t="n">
        <f aca="false">IF($X48=0,0,INDEX(工程マスタ!$M:$M,$X48))</f>
        <v>0</v>
      </c>
    </row>
    <row r="49" customFormat="false" ht="15" hidden="false" customHeight="false" outlineLevel="0" collapsed="false">
      <c r="A49" s="28" t="str">
        <f aca="false">IF($X49=0,"",IF(INDEX(工程マスタ!$A:$A,$X49)="","",INDEX(工程マスタ!$A:$A,$X49)))</f>
        <v/>
      </c>
      <c r="B49" s="21" t="str">
        <f aca="false">IF($X49=0,"",IF(INDEX(工程マスタ!$B:$B,$X49)="","",INDEX(工程マスタ!$B:$B,$X49)))</f>
        <v/>
      </c>
      <c r="C49" s="21" t="str">
        <f aca="false">IF($X49=0,"",IF(INDEX(工程マスタ!$C:$C,$X49)="","",INDEX(工程マスタ!$C:$C,$X49)))</f>
        <v/>
      </c>
      <c r="D49" s="21" t="str">
        <f aca="false">IF($X49=0,"",IF(INDEX(工程マスタ!$D:$D,$X49)="","",INDEX(工程マスタ!$D:$D,$X49)))</f>
        <v/>
      </c>
      <c r="E49" s="29" t="str">
        <f aca="false">IF($X49=0,"",IF(INDEX(工程マスタ!$E:$E,$X49)="","",INDEX(工程マスタ!$E:$E,$X49)))</f>
        <v/>
      </c>
      <c r="F49" s="29" t="str">
        <f aca="false">IF($X49=0,"",IF(INDEX(工程マスタ!$F:$F,$X49)="","",INDEX(工程マスタ!$F:$F,$X49)))</f>
        <v/>
      </c>
      <c r="G49" s="30" t="str">
        <f aca="false">IF($X49=0,"",IF(INDEX(工程マスタ!$H:$H,$X49)="","",INDEX(工程マスタ!$H:$H,$X49)))</f>
        <v/>
      </c>
      <c r="H49" s="31" t="str">
        <f aca="false">IF($X49=0,"",IF(AND(INDEX(工程マスタ!$I:$I,$X49)="○",$E49=H$3),"▼",""))</f>
        <v/>
      </c>
      <c r="I49" s="31" t="str">
        <f aca="false">IF($X49=0,"",IF(AND(INDEX(工程マスタ!$I:$I,$X49)="○",$E49=I$3),"▼",""))</f>
        <v/>
      </c>
      <c r="J49" s="31" t="str">
        <f aca="false">IF($X49=0,"",IF(AND(INDEX(工程マスタ!$I:$I,$X49)="○",$E49=J$3),"▼",""))</f>
        <v/>
      </c>
      <c r="K49" s="31" t="str">
        <f aca="false">IF($X49=0,"",IF(AND(INDEX(工程マスタ!$I:$I,$X49)="○",$E49=K$3),"▼",""))</f>
        <v/>
      </c>
      <c r="L49" s="31" t="str">
        <f aca="false">IF($X49=0,"",IF(AND(INDEX(工程マスタ!$I:$I,$X49)="○",$E49=L$3),"▼",""))</f>
        <v/>
      </c>
      <c r="M49" s="31" t="str">
        <f aca="false">IF($X49=0,"",IF(AND(INDEX(工程マスタ!$I:$I,$X49)="○",$E49=M$3),"▼",""))</f>
        <v/>
      </c>
      <c r="N49" s="31" t="str">
        <f aca="false">IF($X49=0,"",IF(AND(INDEX(工程マスタ!$I:$I,$X49)="○",$E49=N$3),"▼",""))</f>
        <v/>
      </c>
      <c r="O49" s="31" t="str">
        <f aca="false">IF($X49=0,"",IF(AND(INDEX(工程マスタ!$I:$I,$X49)="○",$E49=O$3),"▼",""))</f>
        <v/>
      </c>
      <c r="P49" s="31" t="str">
        <f aca="false">IF($X49=0,"",IF(AND(INDEX(工程マスタ!$I:$I,$X49)="○",$E49=P$3),"▼",""))</f>
        <v/>
      </c>
      <c r="Q49" s="31" t="str">
        <f aca="false">IF($X49=0,"",IF(AND(INDEX(工程マスタ!$I:$I,$X49)="○",$E49=Q$3),"▼",""))</f>
        <v/>
      </c>
      <c r="R49" s="31" t="str">
        <f aca="false">IF($X49=0,"",IF(AND(INDEX(工程マスタ!$I:$I,$X49)="○",$E49=R$3),"▼",""))</f>
        <v/>
      </c>
      <c r="S49" s="31" t="str">
        <f aca="false">IF($X49=0,"",IF(AND(INDEX(工程マスタ!$I:$I,$X49)="○",$E49=S$3),"▼",""))</f>
        <v/>
      </c>
      <c r="T49" s="31" t="str">
        <f aca="false">IF($X49=0,"",IF(AND(INDEX(工程マスタ!$I:$I,$X49)="○",$E49=T$3),"▼",""))</f>
        <v/>
      </c>
      <c r="U49" s="31" t="str">
        <f aca="false">IF($X49=0,"",IF(AND(INDEX(工程マスタ!$I:$I,$X49)="○",$E49=U$3),"▼",""))</f>
        <v/>
      </c>
      <c r="V49" s="40" t="str">
        <f aca="false">IF($X49=0,"",IF(INDEX(工程マスタ!$J:$J,$X49)="","",INDEX(工程マスタ!$J:$J,$X49)))</f>
        <v/>
      </c>
      <c r="X49" s="27" t="n">
        <f aca="false" t="array" ref="X49:X49">IFERROR(SMALL(IF((工程マスタ!$K$5:$K$154&gt;0)*(工程マスタ!$K$5:$K$154&lt;=$B$2+13)*(工程マスタ!$L$5:$L$154&gt;=$B$2),ROW(工程マスタ!$C$5:$C$154)),43),0)</f>
        <v>0</v>
      </c>
      <c r="Y49" s="27" t="n">
        <f aca="false">IF($X49=0,0,INDEX(工程マスタ!$M:$M,$X49))</f>
        <v>0</v>
      </c>
    </row>
    <row r="50" customFormat="false" ht="15" hidden="false" customHeight="false" outlineLevel="0" collapsed="false">
      <c r="A50" s="28" t="str">
        <f aca="false">IF($X50=0,"",IF(INDEX(工程マスタ!$A:$A,$X50)="","",INDEX(工程マスタ!$A:$A,$X50)))</f>
        <v/>
      </c>
      <c r="B50" s="21" t="str">
        <f aca="false">IF($X50=0,"",IF(INDEX(工程マスタ!$B:$B,$X50)="","",INDEX(工程マスタ!$B:$B,$X50)))</f>
        <v/>
      </c>
      <c r="C50" s="21" t="str">
        <f aca="false">IF($X50=0,"",IF(INDEX(工程マスタ!$C:$C,$X50)="","",INDEX(工程マスタ!$C:$C,$X50)))</f>
        <v/>
      </c>
      <c r="D50" s="21" t="str">
        <f aca="false">IF($X50=0,"",IF(INDEX(工程マスタ!$D:$D,$X50)="","",INDEX(工程マスタ!$D:$D,$X50)))</f>
        <v/>
      </c>
      <c r="E50" s="29" t="str">
        <f aca="false">IF($X50=0,"",IF(INDEX(工程マスタ!$E:$E,$X50)="","",INDEX(工程マスタ!$E:$E,$X50)))</f>
        <v/>
      </c>
      <c r="F50" s="29" t="str">
        <f aca="false">IF($X50=0,"",IF(INDEX(工程マスタ!$F:$F,$X50)="","",INDEX(工程マスタ!$F:$F,$X50)))</f>
        <v/>
      </c>
      <c r="G50" s="30" t="str">
        <f aca="false">IF($X50=0,"",IF(INDEX(工程マスタ!$H:$H,$X50)="","",INDEX(工程マスタ!$H:$H,$X50)))</f>
        <v/>
      </c>
      <c r="H50" s="31" t="str">
        <f aca="false">IF($X50=0,"",IF(AND(INDEX(工程マスタ!$I:$I,$X50)="○",$E50=H$3),"▼",""))</f>
        <v/>
      </c>
      <c r="I50" s="31" t="str">
        <f aca="false">IF($X50=0,"",IF(AND(INDEX(工程マスタ!$I:$I,$X50)="○",$E50=I$3),"▼",""))</f>
        <v/>
      </c>
      <c r="J50" s="31" t="str">
        <f aca="false">IF($X50=0,"",IF(AND(INDEX(工程マスタ!$I:$I,$X50)="○",$E50=J$3),"▼",""))</f>
        <v/>
      </c>
      <c r="K50" s="31" t="str">
        <f aca="false">IF($X50=0,"",IF(AND(INDEX(工程マスタ!$I:$I,$X50)="○",$E50=K$3),"▼",""))</f>
        <v/>
      </c>
      <c r="L50" s="31" t="str">
        <f aca="false">IF($X50=0,"",IF(AND(INDEX(工程マスタ!$I:$I,$X50)="○",$E50=L$3),"▼",""))</f>
        <v/>
      </c>
      <c r="M50" s="31" t="str">
        <f aca="false">IF($X50=0,"",IF(AND(INDEX(工程マスタ!$I:$I,$X50)="○",$E50=M$3),"▼",""))</f>
        <v/>
      </c>
      <c r="N50" s="31" t="str">
        <f aca="false">IF($X50=0,"",IF(AND(INDEX(工程マスタ!$I:$I,$X50)="○",$E50=N$3),"▼",""))</f>
        <v/>
      </c>
      <c r="O50" s="31" t="str">
        <f aca="false">IF($X50=0,"",IF(AND(INDEX(工程マスタ!$I:$I,$X50)="○",$E50=O$3),"▼",""))</f>
        <v/>
      </c>
      <c r="P50" s="31" t="str">
        <f aca="false">IF($X50=0,"",IF(AND(INDEX(工程マスタ!$I:$I,$X50)="○",$E50=P$3),"▼",""))</f>
        <v/>
      </c>
      <c r="Q50" s="31" t="str">
        <f aca="false">IF($X50=0,"",IF(AND(INDEX(工程マスタ!$I:$I,$X50)="○",$E50=Q$3),"▼",""))</f>
        <v/>
      </c>
      <c r="R50" s="31" t="str">
        <f aca="false">IF($X50=0,"",IF(AND(INDEX(工程マスタ!$I:$I,$X50)="○",$E50=R$3),"▼",""))</f>
        <v/>
      </c>
      <c r="S50" s="31" t="str">
        <f aca="false">IF($X50=0,"",IF(AND(INDEX(工程マスタ!$I:$I,$X50)="○",$E50=S$3),"▼",""))</f>
        <v/>
      </c>
      <c r="T50" s="31" t="str">
        <f aca="false">IF($X50=0,"",IF(AND(INDEX(工程マスタ!$I:$I,$X50)="○",$E50=T$3),"▼",""))</f>
        <v/>
      </c>
      <c r="U50" s="31" t="str">
        <f aca="false">IF($X50=0,"",IF(AND(INDEX(工程マスタ!$I:$I,$X50)="○",$E50=U$3),"▼",""))</f>
        <v/>
      </c>
      <c r="V50" s="40" t="str">
        <f aca="false">IF($X50=0,"",IF(INDEX(工程マスタ!$J:$J,$X50)="","",INDEX(工程マスタ!$J:$J,$X50)))</f>
        <v/>
      </c>
      <c r="X50" s="27" t="n">
        <f aca="false" t="array" ref="X50:X50">IFERROR(SMALL(IF((工程マスタ!$K$5:$K$154&gt;0)*(工程マスタ!$K$5:$K$154&lt;=$B$2+13)*(工程マスタ!$L$5:$L$154&gt;=$B$2),ROW(工程マスタ!$C$5:$C$154)),44),0)</f>
        <v>0</v>
      </c>
      <c r="Y50" s="27" t="n">
        <f aca="false">IF($X50=0,0,INDEX(工程マスタ!$M:$M,$X50))</f>
        <v>0</v>
      </c>
    </row>
    <row r="51" customFormat="false" ht="15" hidden="false" customHeight="false" outlineLevel="0" collapsed="false">
      <c r="A51" s="28" t="str">
        <f aca="false">IF($X51=0,"",IF(INDEX(工程マスタ!$A:$A,$X51)="","",INDEX(工程マスタ!$A:$A,$X51)))</f>
        <v/>
      </c>
      <c r="B51" s="21" t="str">
        <f aca="false">IF($X51=0,"",IF(INDEX(工程マスタ!$B:$B,$X51)="","",INDEX(工程マスタ!$B:$B,$X51)))</f>
        <v/>
      </c>
      <c r="C51" s="21" t="str">
        <f aca="false">IF($X51=0,"",IF(INDEX(工程マスタ!$C:$C,$X51)="","",INDEX(工程マスタ!$C:$C,$X51)))</f>
        <v/>
      </c>
      <c r="D51" s="21" t="str">
        <f aca="false">IF($X51=0,"",IF(INDEX(工程マスタ!$D:$D,$X51)="","",INDEX(工程マスタ!$D:$D,$X51)))</f>
        <v/>
      </c>
      <c r="E51" s="29" t="str">
        <f aca="false">IF($X51=0,"",IF(INDEX(工程マスタ!$E:$E,$X51)="","",INDEX(工程マスタ!$E:$E,$X51)))</f>
        <v/>
      </c>
      <c r="F51" s="29" t="str">
        <f aca="false">IF($X51=0,"",IF(INDEX(工程マスタ!$F:$F,$X51)="","",INDEX(工程マスタ!$F:$F,$X51)))</f>
        <v/>
      </c>
      <c r="G51" s="30" t="str">
        <f aca="false">IF($X51=0,"",IF(INDEX(工程マスタ!$H:$H,$X51)="","",INDEX(工程マスタ!$H:$H,$X51)))</f>
        <v/>
      </c>
      <c r="H51" s="31" t="str">
        <f aca="false">IF($X51=0,"",IF(AND(INDEX(工程マスタ!$I:$I,$X51)="○",$E51=H$3),"▼",""))</f>
        <v/>
      </c>
      <c r="I51" s="31" t="str">
        <f aca="false">IF($X51=0,"",IF(AND(INDEX(工程マスタ!$I:$I,$X51)="○",$E51=I$3),"▼",""))</f>
        <v/>
      </c>
      <c r="J51" s="31" t="str">
        <f aca="false">IF($X51=0,"",IF(AND(INDEX(工程マスタ!$I:$I,$X51)="○",$E51=J$3),"▼",""))</f>
        <v/>
      </c>
      <c r="K51" s="31" t="str">
        <f aca="false">IF($X51=0,"",IF(AND(INDEX(工程マスタ!$I:$I,$X51)="○",$E51=K$3),"▼",""))</f>
        <v/>
      </c>
      <c r="L51" s="31" t="str">
        <f aca="false">IF($X51=0,"",IF(AND(INDEX(工程マスタ!$I:$I,$X51)="○",$E51=L$3),"▼",""))</f>
        <v/>
      </c>
      <c r="M51" s="31" t="str">
        <f aca="false">IF($X51=0,"",IF(AND(INDEX(工程マスタ!$I:$I,$X51)="○",$E51=M$3),"▼",""))</f>
        <v/>
      </c>
      <c r="N51" s="31" t="str">
        <f aca="false">IF($X51=0,"",IF(AND(INDEX(工程マスタ!$I:$I,$X51)="○",$E51=N$3),"▼",""))</f>
        <v/>
      </c>
      <c r="O51" s="31" t="str">
        <f aca="false">IF($X51=0,"",IF(AND(INDEX(工程マスタ!$I:$I,$X51)="○",$E51=O$3),"▼",""))</f>
        <v/>
      </c>
      <c r="P51" s="31" t="str">
        <f aca="false">IF($X51=0,"",IF(AND(INDEX(工程マスタ!$I:$I,$X51)="○",$E51=P$3),"▼",""))</f>
        <v/>
      </c>
      <c r="Q51" s="31" t="str">
        <f aca="false">IF($X51=0,"",IF(AND(INDEX(工程マスタ!$I:$I,$X51)="○",$E51=Q$3),"▼",""))</f>
        <v/>
      </c>
      <c r="R51" s="31" t="str">
        <f aca="false">IF($X51=0,"",IF(AND(INDEX(工程マスタ!$I:$I,$X51)="○",$E51=R$3),"▼",""))</f>
        <v/>
      </c>
      <c r="S51" s="31" t="str">
        <f aca="false">IF($X51=0,"",IF(AND(INDEX(工程マスタ!$I:$I,$X51)="○",$E51=S$3),"▼",""))</f>
        <v/>
      </c>
      <c r="T51" s="31" t="str">
        <f aca="false">IF($X51=0,"",IF(AND(INDEX(工程マスタ!$I:$I,$X51)="○",$E51=T$3),"▼",""))</f>
        <v/>
      </c>
      <c r="U51" s="31" t="str">
        <f aca="false">IF($X51=0,"",IF(AND(INDEX(工程マスタ!$I:$I,$X51)="○",$E51=U$3),"▼",""))</f>
        <v/>
      </c>
      <c r="V51" s="40" t="str">
        <f aca="false">IF($X51=0,"",IF(INDEX(工程マスタ!$J:$J,$X51)="","",INDEX(工程マスタ!$J:$J,$X51)))</f>
        <v/>
      </c>
      <c r="X51" s="27" t="n">
        <f aca="false" t="array" ref="X51:X51">IFERROR(SMALL(IF((工程マスタ!$K$5:$K$154&gt;0)*(工程マスタ!$K$5:$K$154&lt;=$B$2+13)*(工程マスタ!$L$5:$L$154&gt;=$B$2),ROW(工程マスタ!$C$5:$C$154)),45),0)</f>
        <v>0</v>
      </c>
      <c r="Y51" s="27" t="n">
        <f aca="false">IF($X51=0,0,INDEX(工程マスタ!$M:$M,$X51))</f>
        <v>0</v>
      </c>
    </row>
    <row r="52" customFormat="false" ht="15" hidden="false" customHeight="false" outlineLevel="0" collapsed="false">
      <c r="A52" s="28" t="str">
        <f aca="false">IF($X52=0,"",IF(INDEX(工程マスタ!$A:$A,$X52)="","",INDEX(工程マスタ!$A:$A,$X52)))</f>
        <v/>
      </c>
      <c r="B52" s="21" t="str">
        <f aca="false">IF($X52=0,"",IF(INDEX(工程マスタ!$B:$B,$X52)="","",INDEX(工程マスタ!$B:$B,$X52)))</f>
        <v/>
      </c>
      <c r="C52" s="21" t="str">
        <f aca="false">IF($X52=0,"",IF(INDEX(工程マスタ!$C:$C,$X52)="","",INDEX(工程マスタ!$C:$C,$X52)))</f>
        <v/>
      </c>
      <c r="D52" s="21" t="str">
        <f aca="false">IF($X52=0,"",IF(INDEX(工程マスタ!$D:$D,$X52)="","",INDEX(工程マスタ!$D:$D,$X52)))</f>
        <v/>
      </c>
      <c r="E52" s="29" t="str">
        <f aca="false">IF($X52=0,"",IF(INDEX(工程マスタ!$E:$E,$X52)="","",INDEX(工程マスタ!$E:$E,$X52)))</f>
        <v/>
      </c>
      <c r="F52" s="29" t="str">
        <f aca="false">IF($X52=0,"",IF(INDEX(工程マスタ!$F:$F,$X52)="","",INDEX(工程マスタ!$F:$F,$X52)))</f>
        <v/>
      </c>
      <c r="G52" s="30" t="str">
        <f aca="false">IF($X52=0,"",IF(INDEX(工程マスタ!$H:$H,$X52)="","",INDEX(工程マスタ!$H:$H,$X52)))</f>
        <v/>
      </c>
      <c r="H52" s="31" t="str">
        <f aca="false">IF($X52=0,"",IF(AND(INDEX(工程マスタ!$I:$I,$X52)="○",$E52=H$3),"▼",""))</f>
        <v/>
      </c>
      <c r="I52" s="31" t="str">
        <f aca="false">IF($X52=0,"",IF(AND(INDEX(工程マスタ!$I:$I,$X52)="○",$E52=I$3),"▼",""))</f>
        <v/>
      </c>
      <c r="J52" s="31" t="str">
        <f aca="false">IF($X52=0,"",IF(AND(INDEX(工程マスタ!$I:$I,$X52)="○",$E52=J$3),"▼",""))</f>
        <v/>
      </c>
      <c r="K52" s="31" t="str">
        <f aca="false">IF($X52=0,"",IF(AND(INDEX(工程マスタ!$I:$I,$X52)="○",$E52=K$3),"▼",""))</f>
        <v/>
      </c>
      <c r="L52" s="31" t="str">
        <f aca="false">IF($X52=0,"",IF(AND(INDEX(工程マスタ!$I:$I,$X52)="○",$E52=L$3),"▼",""))</f>
        <v/>
      </c>
      <c r="M52" s="31" t="str">
        <f aca="false">IF($X52=0,"",IF(AND(INDEX(工程マスタ!$I:$I,$X52)="○",$E52=M$3),"▼",""))</f>
        <v/>
      </c>
      <c r="N52" s="31" t="str">
        <f aca="false">IF($X52=0,"",IF(AND(INDEX(工程マスタ!$I:$I,$X52)="○",$E52=N$3),"▼",""))</f>
        <v/>
      </c>
      <c r="O52" s="31" t="str">
        <f aca="false">IF($X52=0,"",IF(AND(INDEX(工程マスタ!$I:$I,$X52)="○",$E52=O$3),"▼",""))</f>
        <v/>
      </c>
      <c r="P52" s="31" t="str">
        <f aca="false">IF($X52=0,"",IF(AND(INDEX(工程マスタ!$I:$I,$X52)="○",$E52=P$3),"▼",""))</f>
        <v/>
      </c>
      <c r="Q52" s="31" t="str">
        <f aca="false">IF($X52=0,"",IF(AND(INDEX(工程マスタ!$I:$I,$X52)="○",$E52=Q$3),"▼",""))</f>
        <v/>
      </c>
      <c r="R52" s="31" t="str">
        <f aca="false">IF($X52=0,"",IF(AND(INDEX(工程マスタ!$I:$I,$X52)="○",$E52=R$3),"▼",""))</f>
        <v/>
      </c>
      <c r="S52" s="31" t="str">
        <f aca="false">IF($X52=0,"",IF(AND(INDEX(工程マスタ!$I:$I,$X52)="○",$E52=S$3),"▼",""))</f>
        <v/>
      </c>
      <c r="T52" s="31" t="str">
        <f aca="false">IF($X52=0,"",IF(AND(INDEX(工程マスタ!$I:$I,$X52)="○",$E52=T$3),"▼",""))</f>
        <v/>
      </c>
      <c r="U52" s="31" t="str">
        <f aca="false">IF($X52=0,"",IF(AND(INDEX(工程マスタ!$I:$I,$X52)="○",$E52=U$3),"▼",""))</f>
        <v/>
      </c>
      <c r="V52" s="40" t="str">
        <f aca="false">IF($X52=0,"",IF(INDEX(工程マスタ!$J:$J,$X52)="","",INDEX(工程マスタ!$J:$J,$X52)))</f>
        <v/>
      </c>
      <c r="X52" s="27" t="n">
        <f aca="false" t="array" ref="X52:X52">IFERROR(SMALL(IF((工程マスタ!$K$5:$K$154&gt;0)*(工程マスタ!$K$5:$K$154&lt;=$B$2+13)*(工程マスタ!$L$5:$L$154&gt;=$B$2),ROW(工程マスタ!$C$5:$C$154)),46),0)</f>
        <v>0</v>
      </c>
      <c r="Y52" s="27" t="n">
        <f aca="false">IF($X52=0,0,INDEX(工程マスタ!$M:$M,$X52))</f>
        <v>0</v>
      </c>
    </row>
    <row r="53" customFormat="false" ht="15" hidden="false" customHeight="false" outlineLevel="0" collapsed="false">
      <c r="A53" s="28" t="str">
        <f aca="false">IF($X53=0,"",IF(INDEX(工程マスタ!$A:$A,$X53)="","",INDEX(工程マスタ!$A:$A,$X53)))</f>
        <v/>
      </c>
      <c r="B53" s="21" t="str">
        <f aca="false">IF($X53=0,"",IF(INDEX(工程マスタ!$B:$B,$X53)="","",INDEX(工程マスタ!$B:$B,$X53)))</f>
        <v/>
      </c>
      <c r="C53" s="21" t="str">
        <f aca="false">IF($X53=0,"",IF(INDEX(工程マスタ!$C:$C,$X53)="","",INDEX(工程マスタ!$C:$C,$X53)))</f>
        <v/>
      </c>
      <c r="D53" s="21" t="str">
        <f aca="false">IF($X53=0,"",IF(INDEX(工程マスタ!$D:$D,$X53)="","",INDEX(工程マスタ!$D:$D,$X53)))</f>
        <v/>
      </c>
      <c r="E53" s="29" t="str">
        <f aca="false">IF($X53=0,"",IF(INDEX(工程マスタ!$E:$E,$X53)="","",INDEX(工程マスタ!$E:$E,$X53)))</f>
        <v/>
      </c>
      <c r="F53" s="29" t="str">
        <f aca="false">IF($X53=0,"",IF(INDEX(工程マスタ!$F:$F,$X53)="","",INDEX(工程マスタ!$F:$F,$X53)))</f>
        <v/>
      </c>
      <c r="G53" s="30" t="str">
        <f aca="false">IF($X53=0,"",IF(INDEX(工程マスタ!$H:$H,$X53)="","",INDEX(工程マスタ!$H:$H,$X53)))</f>
        <v/>
      </c>
      <c r="H53" s="31" t="str">
        <f aca="false">IF($X53=0,"",IF(AND(INDEX(工程マスタ!$I:$I,$X53)="○",$E53=H$3),"▼",""))</f>
        <v/>
      </c>
      <c r="I53" s="31" t="str">
        <f aca="false">IF($X53=0,"",IF(AND(INDEX(工程マスタ!$I:$I,$X53)="○",$E53=I$3),"▼",""))</f>
        <v/>
      </c>
      <c r="J53" s="31" t="str">
        <f aca="false">IF($X53=0,"",IF(AND(INDEX(工程マスタ!$I:$I,$X53)="○",$E53=J$3),"▼",""))</f>
        <v/>
      </c>
      <c r="K53" s="31" t="str">
        <f aca="false">IF($X53=0,"",IF(AND(INDEX(工程マスタ!$I:$I,$X53)="○",$E53=K$3),"▼",""))</f>
        <v/>
      </c>
      <c r="L53" s="31" t="str">
        <f aca="false">IF($X53=0,"",IF(AND(INDEX(工程マスタ!$I:$I,$X53)="○",$E53=L$3),"▼",""))</f>
        <v/>
      </c>
      <c r="M53" s="31" t="str">
        <f aca="false">IF($X53=0,"",IF(AND(INDEX(工程マスタ!$I:$I,$X53)="○",$E53=M$3),"▼",""))</f>
        <v/>
      </c>
      <c r="N53" s="31" t="str">
        <f aca="false">IF($X53=0,"",IF(AND(INDEX(工程マスタ!$I:$I,$X53)="○",$E53=N$3),"▼",""))</f>
        <v/>
      </c>
      <c r="O53" s="31" t="str">
        <f aca="false">IF($X53=0,"",IF(AND(INDEX(工程マスタ!$I:$I,$X53)="○",$E53=O$3),"▼",""))</f>
        <v/>
      </c>
      <c r="P53" s="31" t="str">
        <f aca="false">IF($X53=0,"",IF(AND(INDEX(工程マスタ!$I:$I,$X53)="○",$E53=P$3),"▼",""))</f>
        <v/>
      </c>
      <c r="Q53" s="31" t="str">
        <f aca="false">IF($X53=0,"",IF(AND(INDEX(工程マスタ!$I:$I,$X53)="○",$E53=Q$3),"▼",""))</f>
        <v/>
      </c>
      <c r="R53" s="31" t="str">
        <f aca="false">IF($X53=0,"",IF(AND(INDEX(工程マスタ!$I:$I,$X53)="○",$E53=R$3),"▼",""))</f>
        <v/>
      </c>
      <c r="S53" s="31" t="str">
        <f aca="false">IF($X53=0,"",IF(AND(INDEX(工程マスタ!$I:$I,$X53)="○",$E53=S$3),"▼",""))</f>
        <v/>
      </c>
      <c r="T53" s="31" t="str">
        <f aca="false">IF($X53=0,"",IF(AND(INDEX(工程マスタ!$I:$I,$X53)="○",$E53=T$3),"▼",""))</f>
        <v/>
      </c>
      <c r="U53" s="31" t="str">
        <f aca="false">IF($X53=0,"",IF(AND(INDEX(工程マスタ!$I:$I,$X53)="○",$E53=U$3),"▼",""))</f>
        <v/>
      </c>
      <c r="V53" s="40" t="str">
        <f aca="false">IF($X53=0,"",IF(INDEX(工程マスタ!$J:$J,$X53)="","",INDEX(工程マスタ!$J:$J,$X53)))</f>
        <v/>
      </c>
      <c r="X53" s="27" t="n">
        <f aca="false" t="array" ref="X53:X53">IFERROR(SMALL(IF((工程マスタ!$K$5:$K$154&gt;0)*(工程マスタ!$K$5:$K$154&lt;=$B$2+13)*(工程マスタ!$L$5:$L$154&gt;=$B$2),ROW(工程マスタ!$C$5:$C$154)),47),0)</f>
        <v>0</v>
      </c>
      <c r="Y53" s="27" t="n">
        <f aca="false">IF($X53=0,0,INDEX(工程マスタ!$M:$M,$X53))</f>
        <v>0</v>
      </c>
    </row>
    <row r="54" customFormat="false" ht="15" hidden="false" customHeight="false" outlineLevel="0" collapsed="false">
      <c r="A54" s="28" t="str">
        <f aca="false">IF($X54=0,"",IF(INDEX(工程マスタ!$A:$A,$X54)="","",INDEX(工程マスタ!$A:$A,$X54)))</f>
        <v/>
      </c>
      <c r="B54" s="21" t="str">
        <f aca="false">IF($X54=0,"",IF(INDEX(工程マスタ!$B:$B,$X54)="","",INDEX(工程マスタ!$B:$B,$X54)))</f>
        <v/>
      </c>
      <c r="C54" s="21" t="str">
        <f aca="false">IF($X54=0,"",IF(INDEX(工程マスタ!$C:$C,$X54)="","",INDEX(工程マスタ!$C:$C,$X54)))</f>
        <v/>
      </c>
      <c r="D54" s="21" t="str">
        <f aca="false">IF($X54=0,"",IF(INDEX(工程マスタ!$D:$D,$X54)="","",INDEX(工程マスタ!$D:$D,$X54)))</f>
        <v/>
      </c>
      <c r="E54" s="29" t="str">
        <f aca="false">IF($X54=0,"",IF(INDEX(工程マスタ!$E:$E,$X54)="","",INDEX(工程マスタ!$E:$E,$X54)))</f>
        <v/>
      </c>
      <c r="F54" s="29" t="str">
        <f aca="false">IF($X54=0,"",IF(INDEX(工程マスタ!$F:$F,$X54)="","",INDEX(工程マスタ!$F:$F,$X54)))</f>
        <v/>
      </c>
      <c r="G54" s="30" t="str">
        <f aca="false">IF($X54=0,"",IF(INDEX(工程マスタ!$H:$H,$X54)="","",INDEX(工程マスタ!$H:$H,$X54)))</f>
        <v/>
      </c>
      <c r="H54" s="31" t="str">
        <f aca="false">IF($X54=0,"",IF(AND(INDEX(工程マスタ!$I:$I,$X54)="○",$E54=H$3),"▼",""))</f>
        <v/>
      </c>
      <c r="I54" s="31" t="str">
        <f aca="false">IF($X54=0,"",IF(AND(INDEX(工程マスタ!$I:$I,$X54)="○",$E54=I$3),"▼",""))</f>
        <v/>
      </c>
      <c r="J54" s="31" t="str">
        <f aca="false">IF($X54=0,"",IF(AND(INDEX(工程マスタ!$I:$I,$X54)="○",$E54=J$3),"▼",""))</f>
        <v/>
      </c>
      <c r="K54" s="31" t="str">
        <f aca="false">IF($X54=0,"",IF(AND(INDEX(工程マスタ!$I:$I,$X54)="○",$E54=K$3),"▼",""))</f>
        <v/>
      </c>
      <c r="L54" s="31" t="str">
        <f aca="false">IF($X54=0,"",IF(AND(INDEX(工程マスタ!$I:$I,$X54)="○",$E54=L$3),"▼",""))</f>
        <v/>
      </c>
      <c r="M54" s="31" t="str">
        <f aca="false">IF($X54=0,"",IF(AND(INDEX(工程マスタ!$I:$I,$X54)="○",$E54=M$3),"▼",""))</f>
        <v/>
      </c>
      <c r="N54" s="31" t="str">
        <f aca="false">IF($X54=0,"",IF(AND(INDEX(工程マスタ!$I:$I,$X54)="○",$E54=N$3),"▼",""))</f>
        <v/>
      </c>
      <c r="O54" s="31" t="str">
        <f aca="false">IF($X54=0,"",IF(AND(INDEX(工程マスタ!$I:$I,$X54)="○",$E54=O$3),"▼",""))</f>
        <v/>
      </c>
      <c r="P54" s="31" t="str">
        <f aca="false">IF($X54=0,"",IF(AND(INDEX(工程マスタ!$I:$I,$X54)="○",$E54=P$3),"▼",""))</f>
        <v/>
      </c>
      <c r="Q54" s="31" t="str">
        <f aca="false">IF($X54=0,"",IF(AND(INDEX(工程マスタ!$I:$I,$X54)="○",$E54=Q$3),"▼",""))</f>
        <v/>
      </c>
      <c r="R54" s="31" t="str">
        <f aca="false">IF($X54=0,"",IF(AND(INDEX(工程マスタ!$I:$I,$X54)="○",$E54=R$3),"▼",""))</f>
        <v/>
      </c>
      <c r="S54" s="31" t="str">
        <f aca="false">IF($X54=0,"",IF(AND(INDEX(工程マスタ!$I:$I,$X54)="○",$E54=S$3),"▼",""))</f>
        <v/>
      </c>
      <c r="T54" s="31" t="str">
        <f aca="false">IF($X54=0,"",IF(AND(INDEX(工程マスタ!$I:$I,$X54)="○",$E54=T$3),"▼",""))</f>
        <v/>
      </c>
      <c r="U54" s="31" t="str">
        <f aca="false">IF($X54=0,"",IF(AND(INDEX(工程マスタ!$I:$I,$X54)="○",$E54=U$3),"▼",""))</f>
        <v/>
      </c>
      <c r="V54" s="40" t="str">
        <f aca="false">IF($X54=0,"",IF(INDEX(工程マスタ!$J:$J,$X54)="","",INDEX(工程マスタ!$J:$J,$X54)))</f>
        <v/>
      </c>
      <c r="X54" s="27" t="n">
        <f aca="false" t="array" ref="X54:X54">IFERROR(SMALL(IF((工程マスタ!$K$5:$K$154&gt;0)*(工程マスタ!$K$5:$K$154&lt;=$B$2+13)*(工程マスタ!$L$5:$L$154&gt;=$B$2),ROW(工程マスタ!$C$5:$C$154)),48),0)</f>
        <v>0</v>
      </c>
      <c r="Y54" s="27" t="n">
        <f aca="false">IF($X54=0,0,INDEX(工程マスタ!$M:$M,$X54))</f>
        <v>0</v>
      </c>
    </row>
    <row r="55" customFormat="false" ht="15" hidden="false" customHeight="false" outlineLevel="0" collapsed="false">
      <c r="A55" s="28" t="str">
        <f aca="false">IF($X55=0,"",IF(INDEX(工程マスタ!$A:$A,$X55)="","",INDEX(工程マスタ!$A:$A,$X55)))</f>
        <v/>
      </c>
      <c r="B55" s="21" t="str">
        <f aca="false">IF($X55=0,"",IF(INDEX(工程マスタ!$B:$B,$X55)="","",INDEX(工程マスタ!$B:$B,$X55)))</f>
        <v/>
      </c>
      <c r="C55" s="21" t="str">
        <f aca="false">IF($X55=0,"",IF(INDEX(工程マスタ!$C:$C,$X55)="","",INDEX(工程マスタ!$C:$C,$X55)))</f>
        <v/>
      </c>
      <c r="D55" s="21" t="str">
        <f aca="false">IF($X55=0,"",IF(INDEX(工程マスタ!$D:$D,$X55)="","",INDEX(工程マスタ!$D:$D,$X55)))</f>
        <v/>
      </c>
      <c r="E55" s="29" t="str">
        <f aca="false">IF($X55=0,"",IF(INDEX(工程マスタ!$E:$E,$X55)="","",INDEX(工程マスタ!$E:$E,$X55)))</f>
        <v/>
      </c>
      <c r="F55" s="29" t="str">
        <f aca="false">IF($X55=0,"",IF(INDEX(工程マスタ!$F:$F,$X55)="","",INDEX(工程マスタ!$F:$F,$X55)))</f>
        <v/>
      </c>
      <c r="G55" s="30" t="str">
        <f aca="false">IF($X55=0,"",IF(INDEX(工程マスタ!$H:$H,$X55)="","",INDEX(工程マスタ!$H:$H,$X55)))</f>
        <v/>
      </c>
      <c r="H55" s="31" t="str">
        <f aca="false">IF($X55=0,"",IF(AND(INDEX(工程マスタ!$I:$I,$X55)="○",$E55=H$3),"▼",""))</f>
        <v/>
      </c>
      <c r="I55" s="31" t="str">
        <f aca="false">IF($X55=0,"",IF(AND(INDEX(工程マスタ!$I:$I,$X55)="○",$E55=I$3),"▼",""))</f>
        <v/>
      </c>
      <c r="J55" s="31" t="str">
        <f aca="false">IF($X55=0,"",IF(AND(INDEX(工程マスタ!$I:$I,$X55)="○",$E55=J$3),"▼",""))</f>
        <v/>
      </c>
      <c r="K55" s="31" t="str">
        <f aca="false">IF($X55=0,"",IF(AND(INDEX(工程マスタ!$I:$I,$X55)="○",$E55=K$3),"▼",""))</f>
        <v/>
      </c>
      <c r="L55" s="31" t="str">
        <f aca="false">IF($X55=0,"",IF(AND(INDEX(工程マスタ!$I:$I,$X55)="○",$E55=L$3),"▼",""))</f>
        <v/>
      </c>
      <c r="M55" s="31" t="str">
        <f aca="false">IF($X55=0,"",IF(AND(INDEX(工程マスタ!$I:$I,$X55)="○",$E55=M$3),"▼",""))</f>
        <v/>
      </c>
      <c r="N55" s="31" t="str">
        <f aca="false">IF($X55=0,"",IF(AND(INDEX(工程マスタ!$I:$I,$X55)="○",$E55=N$3),"▼",""))</f>
        <v/>
      </c>
      <c r="O55" s="31" t="str">
        <f aca="false">IF($X55=0,"",IF(AND(INDEX(工程マスタ!$I:$I,$X55)="○",$E55=O$3),"▼",""))</f>
        <v/>
      </c>
      <c r="P55" s="31" t="str">
        <f aca="false">IF($X55=0,"",IF(AND(INDEX(工程マスタ!$I:$I,$X55)="○",$E55=P$3),"▼",""))</f>
        <v/>
      </c>
      <c r="Q55" s="31" t="str">
        <f aca="false">IF($X55=0,"",IF(AND(INDEX(工程マスタ!$I:$I,$X55)="○",$E55=Q$3),"▼",""))</f>
        <v/>
      </c>
      <c r="R55" s="31" t="str">
        <f aca="false">IF($X55=0,"",IF(AND(INDEX(工程マスタ!$I:$I,$X55)="○",$E55=R$3),"▼",""))</f>
        <v/>
      </c>
      <c r="S55" s="31" t="str">
        <f aca="false">IF($X55=0,"",IF(AND(INDEX(工程マスタ!$I:$I,$X55)="○",$E55=S$3),"▼",""))</f>
        <v/>
      </c>
      <c r="T55" s="31" t="str">
        <f aca="false">IF($X55=0,"",IF(AND(INDEX(工程マスタ!$I:$I,$X55)="○",$E55=T$3),"▼",""))</f>
        <v/>
      </c>
      <c r="U55" s="31" t="str">
        <f aca="false">IF($X55=0,"",IF(AND(INDEX(工程マスタ!$I:$I,$X55)="○",$E55=U$3),"▼",""))</f>
        <v/>
      </c>
      <c r="V55" s="40" t="str">
        <f aca="false">IF($X55=0,"",IF(INDEX(工程マスタ!$J:$J,$X55)="","",INDEX(工程マスタ!$J:$J,$X55)))</f>
        <v/>
      </c>
      <c r="X55" s="27" t="n">
        <f aca="false" t="array" ref="X55:X55">IFERROR(SMALL(IF((工程マスタ!$K$5:$K$154&gt;0)*(工程マスタ!$K$5:$K$154&lt;=$B$2+13)*(工程マスタ!$L$5:$L$154&gt;=$B$2),ROW(工程マスタ!$C$5:$C$154)),49),0)</f>
        <v>0</v>
      </c>
      <c r="Y55" s="27" t="n">
        <f aca="false">IF($X55=0,0,INDEX(工程マスタ!$M:$M,$X55))</f>
        <v>0</v>
      </c>
    </row>
    <row r="56" customFormat="false" ht="15" hidden="false" customHeight="false" outlineLevel="0" collapsed="false">
      <c r="A56" s="28" t="str">
        <f aca="false">IF($X56=0,"",IF(INDEX(工程マスタ!$A:$A,$X56)="","",INDEX(工程マスタ!$A:$A,$X56)))</f>
        <v/>
      </c>
      <c r="B56" s="21" t="str">
        <f aca="false">IF($X56=0,"",IF(INDEX(工程マスタ!$B:$B,$X56)="","",INDEX(工程マスタ!$B:$B,$X56)))</f>
        <v/>
      </c>
      <c r="C56" s="21" t="str">
        <f aca="false">IF($X56=0,"",IF(INDEX(工程マスタ!$C:$C,$X56)="","",INDEX(工程マスタ!$C:$C,$X56)))</f>
        <v/>
      </c>
      <c r="D56" s="21" t="str">
        <f aca="false">IF($X56=0,"",IF(INDEX(工程マスタ!$D:$D,$X56)="","",INDEX(工程マスタ!$D:$D,$X56)))</f>
        <v/>
      </c>
      <c r="E56" s="29" t="str">
        <f aca="false">IF($X56=0,"",IF(INDEX(工程マスタ!$E:$E,$X56)="","",INDEX(工程マスタ!$E:$E,$X56)))</f>
        <v/>
      </c>
      <c r="F56" s="29" t="str">
        <f aca="false">IF($X56=0,"",IF(INDEX(工程マスタ!$F:$F,$X56)="","",INDEX(工程マスタ!$F:$F,$X56)))</f>
        <v/>
      </c>
      <c r="G56" s="30" t="str">
        <f aca="false">IF($X56=0,"",IF(INDEX(工程マスタ!$H:$H,$X56)="","",INDEX(工程マスタ!$H:$H,$X56)))</f>
        <v/>
      </c>
      <c r="H56" s="31" t="str">
        <f aca="false">IF($X56=0,"",IF(AND(INDEX(工程マスタ!$I:$I,$X56)="○",$E56=H$3),"▼",""))</f>
        <v/>
      </c>
      <c r="I56" s="31" t="str">
        <f aca="false">IF($X56=0,"",IF(AND(INDEX(工程マスタ!$I:$I,$X56)="○",$E56=I$3),"▼",""))</f>
        <v/>
      </c>
      <c r="J56" s="31" t="str">
        <f aca="false">IF($X56=0,"",IF(AND(INDEX(工程マスタ!$I:$I,$X56)="○",$E56=J$3),"▼",""))</f>
        <v/>
      </c>
      <c r="K56" s="31" t="str">
        <f aca="false">IF($X56=0,"",IF(AND(INDEX(工程マスタ!$I:$I,$X56)="○",$E56=K$3),"▼",""))</f>
        <v/>
      </c>
      <c r="L56" s="31" t="str">
        <f aca="false">IF($X56=0,"",IF(AND(INDEX(工程マスタ!$I:$I,$X56)="○",$E56=L$3),"▼",""))</f>
        <v/>
      </c>
      <c r="M56" s="31" t="str">
        <f aca="false">IF($X56=0,"",IF(AND(INDEX(工程マスタ!$I:$I,$X56)="○",$E56=M$3),"▼",""))</f>
        <v/>
      </c>
      <c r="N56" s="31" t="str">
        <f aca="false">IF($X56=0,"",IF(AND(INDEX(工程マスタ!$I:$I,$X56)="○",$E56=N$3),"▼",""))</f>
        <v/>
      </c>
      <c r="O56" s="31" t="str">
        <f aca="false">IF($X56=0,"",IF(AND(INDEX(工程マスタ!$I:$I,$X56)="○",$E56=O$3),"▼",""))</f>
        <v/>
      </c>
      <c r="P56" s="31" t="str">
        <f aca="false">IF($X56=0,"",IF(AND(INDEX(工程マスタ!$I:$I,$X56)="○",$E56=P$3),"▼",""))</f>
        <v/>
      </c>
      <c r="Q56" s="31" t="str">
        <f aca="false">IF($X56=0,"",IF(AND(INDEX(工程マスタ!$I:$I,$X56)="○",$E56=Q$3),"▼",""))</f>
        <v/>
      </c>
      <c r="R56" s="31" t="str">
        <f aca="false">IF($X56=0,"",IF(AND(INDEX(工程マスタ!$I:$I,$X56)="○",$E56=R$3),"▼",""))</f>
        <v/>
      </c>
      <c r="S56" s="31" t="str">
        <f aca="false">IF($X56=0,"",IF(AND(INDEX(工程マスタ!$I:$I,$X56)="○",$E56=S$3),"▼",""))</f>
        <v/>
      </c>
      <c r="T56" s="31" t="str">
        <f aca="false">IF($X56=0,"",IF(AND(INDEX(工程マスタ!$I:$I,$X56)="○",$E56=T$3),"▼",""))</f>
        <v/>
      </c>
      <c r="U56" s="31" t="str">
        <f aca="false">IF($X56=0,"",IF(AND(INDEX(工程マスタ!$I:$I,$X56)="○",$E56=U$3),"▼",""))</f>
        <v/>
      </c>
      <c r="V56" s="40" t="str">
        <f aca="false">IF($X56=0,"",IF(INDEX(工程マスタ!$J:$J,$X56)="","",INDEX(工程マスタ!$J:$J,$X56)))</f>
        <v/>
      </c>
      <c r="X56" s="27" t="n">
        <f aca="false" t="array" ref="X56:X56">IFERROR(SMALL(IF((工程マスタ!$K$5:$K$154&gt;0)*(工程マスタ!$K$5:$K$154&lt;=$B$2+13)*(工程マスタ!$L$5:$L$154&gt;=$B$2),ROW(工程マスタ!$C$5:$C$154)),50),0)</f>
        <v>0</v>
      </c>
      <c r="Y56" s="27" t="n">
        <f aca="false">IF($X56=0,0,INDEX(工程マスタ!$M:$M,$X56))</f>
        <v>0</v>
      </c>
    </row>
    <row r="57" customFormat="false" ht="15" hidden="false" customHeight="false" outlineLevel="0" collapsed="false">
      <c r="C57" s="38" t="s">
        <v>168</v>
      </c>
      <c r="D57" s="38"/>
      <c r="E57" s="38"/>
      <c r="F57" s="38"/>
      <c r="G57" s="38"/>
      <c r="H57" s="39" t="n">
        <f aca="false">SUMPRODUCT((工程マスタ!$K$5:$K$154&gt;0)*(工程マスタ!$I$5:$I$154&lt;&gt;"○")*(工程マスタ!$K$5:$K$154&lt;=H$3)*(工程マスタ!$L$5:$L$154&gt;=H$3))</f>
        <v>2</v>
      </c>
      <c r="I57" s="39" t="n">
        <f aca="false">SUMPRODUCT((工程マスタ!$K$5:$K$154&gt;0)*(工程マスタ!$I$5:$I$154&lt;&gt;"○")*(工程マスタ!$K$5:$K$154&lt;=I$3)*(工程マスタ!$L$5:$L$154&gt;=I$3))</f>
        <v>2</v>
      </c>
      <c r="J57" s="39" t="n">
        <f aca="false">SUMPRODUCT((工程マスタ!$K$5:$K$154&gt;0)*(工程マスタ!$I$5:$I$154&lt;&gt;"○")*(工程マスタ!$K$5:$K$154&lt;=J$3)*(工程マスタ!$L$5:$L$154&gt;=J$3))</f>
        <v>2</v>
      </c>
      <c r="K57" s="39" t="n">
        <f aca="false">SUMPRODUCT((工程マスタ!$K$5:$K$154&gt;0)*(工程マスタ!$I$5:$I$154&lt;&gt;"○")*(工程マスタ!$K$5:$K$154&lt;=K$3)*(工程マスタ!$L$5:$L$154&gt;=K$3))</f>
        <v>1</v>
      </c>
      <c r="L57" s="39" t="n">
        <f aca="false">SUMPRODUCT((工程マスタ!$K$5:$K$154&gt;0)*(工程マスタ!$I$5:$I$154&lt;&gt;"○")*(工程マスタ!$K$5:$K$154&lt;=L$3)*(工程マスタ!$L$5:$L$154&gt;=L$3))</f>
        <v>1</v>
      </c>
      <c r="M57" s="39" t="n">
        <f aca="false">SUMPRODUCT((工程マスタ!$K$5:$K$154&gt;0)*(工程マスタ!$I$5:$I$154&lt;&gt;"○")*(工程マスタ!$K$5:$K$154&lt;=M$3)*(工程マスタ!$L$5:$L$154&gt;=M$3))</f>
        <v>1</v>
      </c>
      <c r="N57" s="39" t="n">
        <f aca="false">SUMPRODUCT((工程マスタ!$K$5:$K$154&gt;0)*(工程マスタ!$I$5:$I$154&lt;&gt;"○")*(工程マスタ!$K$5:$K$154&lt;=N$3)*(工程マスタ!$L$5:$L$154&gt;=N$3))</f>
        <v>1</v>
      </c>
      <c r="O57" s="39" t="n">
        <f aca="false">SUMPRODUCT((工程マスタ!$K$5:$K$154&gt;0)*(工程マスタ!$I$5:$I$154&lt;&gt;"○")*(工程マスタ!$K$5:$K$154&lt;=O$3)*(工程マスタ!$L$5:$L$154&gt;=O$3))</f>
        <v>2</v>
      </c>
      <c r="P57" s="39" t="n">
        <f aca="false">SUMPRODUCT((工程マスタ!$K$5:$K$154&gt;0)*(工程マスタ!$I$5:$I$154&lt;&gt;"○")*(工程マスタ!$K$5:$K$154&lt;=P$3)*(工程マスタ!$L$5:$L$154&gt;=P$3))</f>
        <v>2</v>
      </c>
      <c r="Q57" s="39" t="n">
        <f aca="false">SUMPRODUCT((工程マスタ!$K$5:$K$154&gt;0)*(工程マスタ!$I$5:$I$154&lt;&gt;"○")*(工程マスタ!$K$5:$K$154&lt;=Q$3)*(工程マスタ!$L$5:$L$154&gt;=Q$3))</f>
        <v>2</v>
      </c>
      <c r="R57" s="39" t="n">
        <f aca="false">SUMPRODUCT((工程マスタ!$K$5:$K$154&gt;0)*(工程マスタ!$I$5:$I$154&lt;&gt;"○")*(工程マスタ!$K$5:$K$154&lt;=R$3)*(工程マスタ!$L$5:$L$154&gt;=R$3))</f>
        <v>2</v>
      </c>
      <c r="S57" s="39" t="n">
        <f aca="false">SUMPRODUCT((工程マスタ!$K$5:$K$154&gt;0)*(工程マスタ!$I$5:$I$154&lt;&gt;"○")*(工程マスタ!$K$5:$K$154&lt;=S$3)*(工程マスタ!$L$5:$L$154&gt;=S$3))</f>
        <v>2</v>
      </c>
      <c r="T57" s="39" t="n">
        <f aca="false">SUMPRODUCT((工程マスタ!$K$5:$K$154&gt;0)*(工程マスタ!$I$5:$I$154&lt;&gt;"○")*(工程マスタ!$K$5:$K$154&lt;=T$3)*(工程マスタ!$L$5:$L$154&gt;=T$3))</f>
        <v>1</v>
      </c>
      <c r="U57" s="39" t="n">
        <f aca="false">SUMPRODUCT((工程マスタ!$K$5:$K$154&gt;0)*(工程マスタ!$I$5:$I$154&lt;&gt;"○")*(工程マスタ!$K$5:$K$154&lt;=U$3)*(工程マスタ!$L$5:$L$154&gt;=U$3))</f>
        <v>1</v>
      </c>
    </row>
  </sheetData>
  <conditionalFormatting sqref="H7:U56">
    <cfRule type="expression" priority="2" aboveAverage="0" equalAverage="0" bottom="0" percent="0" rank="0" text="" dxfId="1">
      <formula>AND($X7&gt;0,H$3&gt;=$E7,H$3&lt;$Y7,INDEX(工程マスタ!$I:$I,$X7)&lt;&gt;"○")</formula>
    </cfRule>
    <cfRule type="expression" priority="3" aboveAverage="0" equalAverage="0" bottom="0" percent="0" rank="0" text="" dxfId="2">
      <formula>AND($X7&gt;0,H$3&gt;=$E7,H$3&lt;=$F7,INDEX(工程マスタ!$I:$I,$X7)&lt;&gt;"○")</formula>
    </cfRule>
  </conditionalFormatting>
  <conditionalFormatting sqref="H4:U5">
    <cfRule type="expression" priority="4" aboveAverage="0" equalAverage="0" bottom="0" percent="0" rank="0" text="" dxfId="4">
      <formula>H$3=TODAY()</formula>
    </cfRule>
    <cfRule type="expression" priority="5" aboveAverage="0" equalAverage="0" bottom="0" percent="0" rank="0" text="" dxfId="5">
      <formula>COUNTIF(祝日リスト,H$3)&gt;0</formula>
    </cfRule>
    <cfRule type="expression" priority="6" aboveAverage="0" equalAverage="0" bottom="0" percent="0" rank="0" text="" dxfId="5">
      <formula>WEEKDAY(H$3)=1</formula>
    </cfRule>
    <cfRule type="expression" priority="7" aboveAverage="0" equalAverage="0" bottom="0" percent="0" rank="0" text="" dxfId="6">
      <formula>WEEKDAY(H$3)=7</formula>
    </cfRule>
  </conditionalFormatting>
  <conditionalFormatting sqref="H7:U57">
    <cfRule type="expression" priority="8" aboveAverage="0" equalAverage="0" bottom="0" percent="0" rank="0" text="" dxfId="7">
      <formula>H$3=TODAY()</formula>
    </cfRule>
    <cfRule type="expression" priority="9" aboveAverage="0" equalAverage="0" bottom="0" percent="0" rank="0" text="" dxfId="8">
      <formula>COUNTIF(祝日リスト,H$3)&gt;0</formula>
    </cfRule>
    <cfRule type="expression" priority="10" aboveAverage="0" equalAverage="0" bottom="0" percent="0" rank="0" text="" dxfId="8">
      <formula>WEEKDAY(H$3)=1</formula>
    </cfRule>
    <cfRule type="expression" priority="11" aboveAverage="0" equalAverage="0" bottom="0" percent="0" rank="0" text="" dxfId="9">
      <formula>WEEKDAY(H$3)=7</formula>
    </cfRule>
  </conditionalFormatting>
  <dataValidations count="1">
    <dataValidation allowBlank="false" errorStyle="stop" operator="between" showDropDown="false" showErrorMessage="false" showInputMessage="false" sqref="B2" type="date">
      <formula1>2020-1-1</formula1>
      <formula2>2045-12-31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BJ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0" ySplit="6" topLeftCell="K7" activePane="bottomRight" state="frozen"/>
      <selection pane="topLeft" activeCell="A1" activeCellId="0" sqref="A1"/>
      <selection pane="topRight" activeCell="K1" activeCellId="0" sqref="K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5"/>
    <col collapsed="false" customWidth="true" hidden="false" outlineLevel="0" max="4" min="4" style="0" width="8"/>
    <col collapsed="false" customWidth="true" hidden="false" outlineLevel="0" max="8" min="5" style="0" width="7"/>
    <col collapsed="false" customWidth="true" hidden="false" outlineLevel="0" max="9" min="9" style="0" width="5"/>
    <col collapsed="false" customWidth="true" hidden="false" outlineLevel="0" max="10" min="10" style="0" width="4"/>
    <col collapsed="false" customWidth="true" hidden="false" outlineLevel="0" max="62" min="11" style="0" width="2.8"/>
  </cols>
  <sheetData>
    <row r="1" customFormat="false" ht="19.4" hidden="false" customHeight="false" outlineLevel="0" collapsed="false">
      <c r="A1" s="1" t="str">
        <f aca="false">設定!$B$3&amp;"　ネットワーク工程表(CPM)"</f>
        <v>(仮称)○○ビル新築工事　ネットワーク工程表(CPM)</v>
      </c>
    </row>
    <row r="2" customFormat="false" ht="15" hidden="false" customHeight="false" outlineLevel="0" collapsed="false">
      <c r="A2" s="2" t="s">
        <v>171</v>
      </c>
      <c r="B2" s="16" t="n">
        <f aca="false">設定!$B$8</f>
        <v>46204</v>
      </c>
      <c r="C2" s="13" t="s">
        <v>172</v>
      </c>
      <c r="N2" s="2" t="s">
        <v>23</v>
      </c>
      <c r="O2" s="41" t="s">
        <v>173</v>
      </c>
      <c r="P2" s="41"/>
      <c r="Q2" s="41"/>
      <c r="R2" s="41"/>
      <c r="S2" s="42" t="s">
        <v>174</v>
      </c>
      <c r="T2" s="42"/>
      <c r="U2" s="42"/>
      <c r="V2" s="42"/>
      <c r="W2" s="43" t="s">
        <v>175</v>
      </c>
      <c r="X2" s="43"/>
      <c r="Y2" s="43"/>
      <c r="Z2" s="43"/>
      <c r="AA2" s="44" t="s">
        <v>166</v>
      </c>
      <c r="AB2" s="44"/>
      <c r="AC2" s="44"/>
      <c r="AD2" s="45" t="s">
        <v>176</v>
      </c>
      <c r="AE2" s="45"/>
      <c r="AF2" s="45"/>
      <c r="AG2" s="45"/>
      <c r="AH2" s="45"/>
    </row>
    <row r="3" customFormat="false" ht="15" hidden="true" customHeight="false" outlineLevel="0" collapsed="false">
      <c r="K3" s="32" t="n">
        <f aca="false">$B$2</f>
        <v>46204</v>
      </c>
      <c r="L3" s="35" t="n">
        <f aca="false">K$3+7</f>
        <v>46211</v>
      </c>
      <c r="M3" s="35" t="n">
        <f aca="false">L$3+7</f>
        <v>46218</v>
      </c>
      <c r="N3" s="35" t="n">
        <f aca="false">M$3+7</f>
        <v>46225</v>
      </c>
      <c r="O3" s="35" t="n">
        <f aca="false">N$3+7</f>
        <v>46232</v>
      </c>
      <c r="P3" s="35" t="n">
        <f aca="false">O$3+7</f>
        <v>46239</v>
      </c>
      <c r="Q3" s="35" t="n">
        <f aca="false">P$3+7</f>
        <v>46246</v>
      </c>
      <c r="R3" s="35" t="n">
        <f aca="false">Q$3+7</f>
        <v>46253</v>
      </c>
      <c r="S3" s="35" t="n">
        <f aca="false">R$3+7</f>
        <v>46260</v>
      </c>
      <c r="T3" s="35" t="n">
        <f aca="false">S$3+7</f>
        <v>46267</v>
      </c>
      <c r="U3" s="35" t="n">
        <f aca="false">T$3+7</f>
        <v>46274</v>
      </c>
      <c r="V3" s="35" t="n">
        <f aca="false">U$3+7</f>
        <v>46281</v>
      </c>
      <c r="W3" s="35" t="n">
        <f aca="false">V$3+7</f>
        <v>46288</v>
      </c>
      <c r="X3" s="35" t="n">
        <f aca="false">W$3+7</f>
        <v>46295</v>
      </c>
      <c r="Y3" s="35" t="n">
        <f aca="false">X$3+7</f>
        <v>46302</v>
      </c>
      <c r="Z3" s="35" t="n">
        <f aca="false">Y$3+7</f>
        <v>46309</v>
      </c>
      <c r="AA3" s="35" t="n">
        <f aca="false">Z$3+7</f>
        <v>46316</v>
      </c>
      <c r="AB3" s="35" t="n">
        <f aca="false">AA$3+7</f>
        <v>46323</v>
      </c>
      <c r="AC3" s="35" t="n">
        <f aca="false">AB$3+7</f>
        <v>46330</v>
      </c>
      <c r="AD3" s="35" t="n">
        <f aca="false">AC$3+7</f>
        <v>46337</v>
      </c>
      <c r="AE3" s="35" t="n">
        <f aca="false">AD$3+7</f>
        <v>46344</v>
      </c>
      <c r="AF3" s="35" t="n">
        <f aca="false">AE$3+7</f>
        <v>46351</v>
      </c>
      <c r="AG3" s="35" t="n">
        <f aca="false">AF$3+7</f>
        <v>46358</v>
      </c>
      <c r="AH3" s="35" t="n">
        <f aca="false">AG$3+7</f>
        <v>46365</v>
      </c>
      <c r="AI3" s="35" t="n">
        <f aca="false">AH$3+7</f>
        <v>46372</v>
      </c>
      <c r="AJ3" s="35" t="n">
        <f aca="false">AI$3+7</f>
        <v>46379</v>
      </c>
      <c r="AK3" s="35" t="n">
        <f aca="false">AJ$3+7</f>
        <v>46386</v>
      </c>
      <c r="AL3" s="35" t="n">
        <f aca="false">AK$3+7</f>
        <v>46393</v>
      </c>
      <c r="AM3" s="35" t="n">
        <f aca="false">AL$3+7</f>
        <v>46400</v>
      </c>
      <c r="AN3" s="35" t="n">
        <f aca="false">AM$3+7</f>
        <v>46407</v>
      </c>
      <c r="AO3" s="35" t="n">
        <f aca="false">AN$3+7</f>
        <v>46414</v>
      </c>
      <c r="AP3" s="35" t="n">
        <f aca="false">AO$3+7</f>
        <v>46421</v>
      </c>
      <c r="AQ3" s="35" t="n">
        <f aca="false">AP$3+7</f>
        <v>46428</v>
      </c>
      <c r="AR3" s="35" t="n">
        <f aca="false">AQ$3+7</f>
        <v>46435</v>
      </c>
      <c r="AS3" s="35" t="n">
        <f aca="false">AR$3+7</f>
        <v>46442</v>
      </c>
      <c r="AT3" s="35" t="n">
        <f aca="false">AS$3+7</f>
        <v>46449</v>
      </c>
      <c r="AU3" s="35" t="n">
        <f aca="false">AT$3+7</f>
        <v>46456</v>
      </c>
      <c r="AV3" s="35" t="n">
        <f aca="false">AU$3+7</f>
        <v>46463</v>
      </c>
      <c r="AW3" s="35" t="n">
        <f aca="false">AV$3+7</f>
        <v>46470</v>
      </c>
      <c r="AX3" s="35" t="n">
        <f aca="false">AW$3+7</f>
        <v>46477</v>
      </c>
      <c r="AY3" s="35" t="n">
        <f aca="false">AX$3+7</f>
        <v>46484</v>
      </c>
      <c r="AZ3" s="35" t="n">
        <f aca="false">AY$3+7</f>
        <v>46491</v>
      </c>
      <c r="BA3" s="35" t="n">
        <f aca="false">AZ$3+7</f>
        <v>46498</v>
      </c>
      <c r="BB3" s="35" t="n">
        <f aca="false">BA$3+7</f>
        <v>46505</v>
      </c>
      <c r="BC3" s="35" t="n">
        <f aca="false">BB$3+7</f>
        <v>46512</v>
      </c>
      <c r="BD3" s="35" t="n">
        <f aca="false">BC$3+7</f>
        <v>46519</v>
      </c>
      <c r="BE3" s="35" t="n">
        <f aca="false">BD$3+7</f>
        <v>46526</v>
      </c>
      <c r="BF3" s="35" t="n">
        <f aca="false">BE$3+7</f>
        <v>46533</v>
      </c>
      <c r="BG3" s="35" t="n">
        <f aca="false">BF$3+7</f>
        <v>46540</v>
      </c>
      <c r="BH3" s="35" t="n">
        <f aca="false">BG$3+7</f>
        <v>46547</v>
      </c>
      <c r="BI3" s="35" t="n">
        <f aca="false">BH$3+7</f>
        <v>46554</v>
      </c>
      <c r="BJ3" s="35" t="n">
        <f aca="false">BI$3+7</f>
        <v>46561</v>
      </c>
    </row>
    <row r="4" customFormat="false" ht="15" hidden="false" customHeight="false" outlineLevel="0" collapsed="false">
      <c r="A4" s="8"/>
      <c r="B4" s="8"/>
      <c r="C4" s="8"/>
      <c r="D4" s="8"/>
      <c r="E4" s="8"/>
      <c r="F4" s="8"/>
      <c r="G4" s="8"/>
      <c r="H4" s="8"/>
      <c r="I4" s="8"/>
      <c r="J4" s="8"/>
      <c r="K4" s="14" t="str">
        <f aca="false">IF(OR(COLUMN()=11,MONTH(K$3)&lt;&gt;MONTH(K$3-7)),TEXT(K$3,"m月"),"")</f>
        <v>7月</v>
      </c>
      <c r="L4" s="14" t="str">
        <f aca="false">IF(OR(COLUMN()=11,MONTH(L$3)&lt;&gt;MONTH(L$3-7)),TEXT(L$3,"m月"),"")</f>
        <v/>
      </c>
      <c r="M4" s="14" t="str">
        <f aca="false">IF(OR(COLUMN()=11,MONTH(M$3)&lt;&gt;MONTH(M$3-7)),TEXT(M$3,"m月"),"")</f>
        <v/>
      </c>
      <c r="N4" s="14" t="str">
        <f aca="false">IF(OR(COLUMN()=11,MONTH(N$3)&lt;&gt;MONTH(N$3-7)),TEXT(N$3,"m月"),"")</f>
        <v/>
      </c>
      <c r="O4" s="14" t="str">
        <f aca="false">IF(OR(COLUMN()=11,MONTH(O$3)&lt;&gt;MONTH(O$3-7)),TEXT(O$3,"m月"),"")</f>
        <v/>
      </c>
      <c r="P4" s="14" t="str">
        <f aca="false">IF(OR(COLUMN()=11,MONTH(P$3)&lt;&gt;MONTH(P$3-7)),TEXT(P$3,"m月"),"")</f>
        <v>8月</v>
      </c>
      <c r="Q4" s="14" t="str">
        <f aca="false">IF(OR(COLUMN()=11,MONTH(Q$3)&lt;&gt;MONTH(Q$3-7)),TEXT(Q$3,"m月"),"")</f>
        <v/>
      </c>
      <c r="R4" s="14" t="str">
        <f aca="false">IF(OR(COLUMN()=11,MONTH(R$3)&lt;&gt;MONTH(R$3-7)),TEXT(R$3,"m月"),"")</f>
        <v/>
      </c>
      <c r="S4" s="14" t="str">
        <f aca="false">IF(OR(COLUMN()=11,MONTH(S$3)&lt;&gt;MONTH(S$3-7)),TEXT(S$3,"m月"),"")</f>
        <v/>
      </c>
      <c r="T4" s="14" t="str">
        <f aca="false">IF(OR(COLUMN()=11,MONTH(T$3)&lt;&gt;MONTH(T$3-7)),TEXT(T$3,"m月"),"")</f>
        <v>9月</v>
      </c>
      <c r="U4" s="14" t="str">
        <f aca="false">IF(OR(COLUMN()=11,MONTH(U$3)&lt;&gt;MONTH(U$3-7)),TEXT(U$3,"m月"),"")</f>
        <v/>
      </c>
      <c r="V4" s="14" t="str">
        <f aca="false">IF(OR(COLUMN()=11,MONTH(V$3)&lt;&gt;MONTH(V$3-7)),TEXT(V$3,"m月"),"")</f>
        <v/>
      </c>
      <c r="W4" s="14" t="str">
        <f aca="false">IF(OR(COLUMN()=11,MONTH(W$3)&lt;&gt;MONTH(W$3-7)),TEXT(W$3,"m月"),"")</f>
        <v/>
      </c>
      <c r="X4" s="14" t="str">
        <f aca="false">IF(OR(COLUMN()=11,MONTH(X$3)&lt;&gt;MONTH(X$3-7)),TEXT(X$3,"m月"),"")</f>
        <v/>
      </c>
      <c r="Y4" s="14" t="str">
        <f aca="false">IF(OR(COLUMN()=11,MONTH(Y$3)&lt;&gt;MONTH(Y$3-7)),TEXT(Y$3,"m月"),"")</f>
        <v>10月</v>
      </c>
      <c r="Z4" s="14" t="str">
        <f aca="false">IF(OR(COLUMN()=11,MONTH(Z$3)&lt;&gt;MONTH(Z$3-7)),TEXT(Z$3,"m月"),"")</f>
        <v/>
      </c>
      <c r="AA4" s="14" t="str">
        <f aca="false">IF(OR(COLUMN()=11,MONTH(AA$3)&lt;&gt;MONTH(AA$3-7)),TEXT(AA$3,"m月"),"")</f>
        <v/>
      </c>
      <c r="AB4" s="14" t="str">
        <f aca="false">IF(OR(COLUMN()=11,MONTH(AB$3)&lt;&gt;MONTH(AB$3-7)),TEXT(AB$3,"m月"),"")</f>
        <v/>
      </c>
      <c r="AC4" s="14" t="str">
        <f aca="false">IF(OR(COLUMN()=11,MONTH(AC$3)&lt;&gt;MONTH(AC$3-7)),TEXT(AC$3,"m月"),"")</f>
        <v>11月</v>
      </c>
      <c r="AD4" s="14" t="str">
        <f aca="false">IF(OR(COLUMN()=11,MONTH(AD$3)&lt;&gt;MONTH(AD$3-7)),TEXT(AD$3,"m月"),"")</f>
        <v/>
      </c>
      <c r="AE4" s="14" t="str">
        <f aca="false">IF(OR(COLUMN()=11,MONTH(AE$3)&lt;&gt;MONTH(AE$3-7)),TEXT(AE$3,"m月"),"")</f>
        <v/>
      </c>
      <c r="AF4" s="14" t="str">
        <f aca="false">IF(OR(COLUMN()=11,MONTH(AF$3)&lt;&gt;MONTH(AF$3-7)),TEXT(AF$3,"m月"),"")</f>
        <v/>
      </c>
      <c r="AG4" s="14" t="str">
        <f aca="false">IF(OR(COLUMN()=11,MONTH(AG$3)&lt;&gt;MONTH(AG$3-7)),TEXT(AG$3,"m月"),"")</f>
        <v>12月</v>
      </c>
      <c r="AH4" s="14" t="str">
        <f aca="false">IF(OR(COLUMN()=11,MONTH(AH$3)&lt;&gt;MONTH(AH$3-7)),TEXT(AH$3,"m月"),"")</f>
        <v/>
      </c>
      <c r="AI4" s="14" t="str">
        <f aca="false">IF(OR(COLUMN()=11,MONTH(AI$3)&lt;&gt;MONTH(AI$3-7)),TEXT(AI$3,"m月"),"")</f>
        <v/>
      </c>
      <c r="AJ4" s="14" t="str">
        <f aca="false">IF(OR(COLUMN()=11,MONTH(AJ$3)&lt;&gt;MONTH(AJ$3-7)),TEXT(AJ$3,"m月"),"")</f>
        <v/>
      </c>
      <c r="AK4" s="14" t="str">
        <f aca="false">IF(OR(COLUMN()=11,MONTH(AK$3)&lt;&gt;MONTH(AK$3-7)),TEXT(AK$3,"m月"),"")</f>
        <v/>
      </c>
      <c r="AL4" s="14" t="str">
        <f aca="false">IF(OR(COLUMN()=11,MONTH(AL$3)&lt;&gt;MONTH(AL$3-7)),TEXT(AL$3,"m月"),"")</f>
        <v>1月</v>
      </c>
      <c r="AM4" s="14" t="str">
        <f aca="false">IF(OR(COLUMN()=11,MONTH(AM$3)&lt;&gt;MONTH(AM$3-7)),TEXT(AM$3,"m月"),"")</f>
        <v/>
      </c>
      <c r="AN4" s="14" t="str">
        <f aca="false">IF(OR(COLUMN()=11,MONTH(AN$3)&lt;&gt;MONTH(AN$3-7)),TEXT(AN$3,"m月"),"")</f>
        <v/>
      </c>
      <c r="AO4" s="14" t="str">
        <f aca="false">IF(OR(COLUMN()=11,MONTH(AO$3)&lt;&gt;MONTH(AO$3-7)),TEXT(AO$3,"m月"),"")</f>
        <v/>
      </c>
      <c r="AP4" s="14" t="str">
        <f aca="false">IF(OR(COLUMN()=11,MONTH(AP$3)&lt;&gt;MONTH(AP$3-7)),TEXT(AP$3,"m月"),"")</f>
        <v>2月</v>
      </c>
      <c r="AQ4" s="14" t="str">
        <f aca="false">IF(OR(COLUMN()=11,MONTH(AQ$3)&lt;&gt;MONTH(AQ$3-7)),TEXT(AQ$3,"m月"),"")</f>
        <v/>
      </c>
      <c r="AR4" s="14" t="str">
        <f aca="false">IF(OR(COLUMN()=11,MONTH(AR$3)&lt;&gt;MONTH(AR$3-7)),TEXT(AR$3,"m月"),"")</f>
        <v/>
      </c>
      <c r="AS4" s="14" t="str">
        <f aca="false">IF(OR(COLUMN()=11,MONTH(AS$3)&lt;&gt;MONTH(AS$3-7)),TEXT(AS$3,"m月"),"")</f>
        <v/>
      </c>
      <c r="AT4" s="14" t="str">
        <f aca="false">IF(OR(COLUMN()=11,MONTH(AT$3)&lt;&gt;MONTH(AT$3-7)),TEXT(AT$3,"m月"),"")</f>
        <v>3月</v>
      </c>
      <c r="AU4" s="14" t="str">
        <f aca="false">IF(OR(COLUMN()=11,MONTH(AU$3)&lt;&gt;MONTH(AU$3-7)),TEXT(AU$3,"m月"),"")</f>
        <v/>
      </c>
      <c r="AV4" s="14" t="str">
        <f aca="false">IF(OR(COLUMN()=11,MONTH(AV$3)&lt;&gt;MONTH(AV$3-7)),TEXT(AV$3,"m月"),"")</f>
        <v/>
      </c>
      <c r="AW4" s="14" t="str">
        <f aca="false">IF(OR(COLUMN()=11,MONTH(AW$3)&lt;&gt;MONTH(AW$3-7)),TEXT(AW$3,"m月"),"")</f>
        <v/>
      </c>
      <c r="AX4" s="14" t="str">
        <f aca="false">IF(OR(COLUMN()=11,MONTH(AX$3)&lt;&gt;MONTH(AX$3-7)),TEXT(AX$3,"m月"),"")</f>
        <v/>
      </c>
      <c r="AY4" s="14" t="str">
        <f aca="false">IF(OR(COLUMN()=11,MONTH(AY$3)&lt;&gt;MONTH(AY$3-7)),TEXT(AY$3,"m月"),"")</f>
        <v>4月</v>
      </c>
      <c r="AZ4" s="14" t="str">
        <f aca="false">IF(OR(COLUMN()=11,MONTH(AZ$3)&lt;&gt;MONTH(AZ$3-7)),TEXT(AZ$3,"m月"),"")</f>
        <v/>
      </c>
      <c r="BA4" s="14" t="str">
        <f aca="false">IF(OR(COLUMN()=11,MONTH(BA$3)&lt;&gt;MONTH(BA$3-7)),TEXT(BA$3,"m月"),"")</f>
        <v/>
      </c>
      <c r="BB4" s="14" t="str">
        <f aca="false">IF(OR(COLUMN()=11,MONTH(BB$3)&lt;&gt;MONTH(BB$3-7)),TEXT(BB$3,"m月"),"")</f>
        <v/>
      </c>
      <c r="BC4" s="14" t="str">
        <f aca="false">IF(OR(COLUMN()=11,MONTH(BC$3)&lt;&gt;MONTH(BC$3-7)),TEXT(BC$3,"m月"),"")</f>
        <v>5月</v>
      </c>
      <c r="BD4" s="14" t="str">
        <f aca="false">IF(OR(COLUMN()=11,MONTH(BD$3)&lt;&gt;MONTH(BD$3-7)),TEXT(BD$3,"m月"),"")</f>
        <v/>
      </c>
      <c r="BE4" s="14" t="str">
        <f aca="false">IF(OR(COLUMN()=11,MONTH(BE$3)&lt;&gt;MONTH(BE$3-7)),TEXT(BE$3,"m月"),"")</f>
        <v/>
      </c>
      <c r="BF4" s="14" t="str">
        <f aca="false">IF(OR(COLUMN()=11,MONTH(BF$3)&lt;&gt;MONTH(BF$3-7)),TEXT(BF$3,"m月"),"")</f>
        <v/>
      </c>
      <c r="BG4" s="14" t="str">
        <f aca="false">IF(OR(COLUMN()=11,MONTH(BG$3)&lt;&gt;MONTH(BG$3-7)),TEXT(BG$3,"m月"),"")</f>
        <v>6月</v>
      </c>
      <c r="BH4" s="14" t="str">
        <f aca="false">IF(OR(COLUMN()=11,MONTH(BH$3)&lt;&gt;MONTH(BH$3-7)),TEXT(BH$3,"m月"),"")</f>
        <v/>
      </c>
      <c r="BI4" s="14" t="str">
        <f aca="false">IF(OR(COLUMN()=11,MONTH(BI$3)&lt;&gt;MONTH(BI$3-7)),TEXT(BI$3,"m月"),"")</f>
        <v/>
      </c>
      <c r="BJ4" s="14" t="str">
        <f aca="false">IF(OR(COLUMN()=11,MONTH(BJ$3)&lt;&gt;MONTH(BJ$3-7)),TEXT(BJ$3,"m月"),"")</f>
        <v/>
      </c>
    </row>
    <row r="5" customFormat="false" ht="15" hidden="false" customHeight="false" outlineLevel="0" collapsed="false">
      <c r="A5" s="8"/>
      <c r="B5" s="8"/>
      <c r="C5" s="8"/>
      <c r="D5" s="8"/>
      <c r="E5" s="8"/>
      <c r="F5" s="8"/>
      <c r="G5" s="8"/>
      <c r="H5" s="8"/>
      <c r="I5" s="8"/>
      <c r="J5" s="8"/>
      <c r="K5" s="14" t="n">
        <f aca="false">DAY(K$3)</f>
        <v>1</v>
      </c>
      <c r="L5" s="14" t="n">
        <f aca="false">DAY(L$3)</f>
        <v>8</v>
      </c>
      <c r="M5" s="14" t="n">
        <f aca="false">DAY(M$3)</f>
        <v>15</v>
      </c>
      <c r="N5" s="14" t="n">
        <f aca="false">DAY(N$3)</f>
        <v>22</v>
      </c>
      <c r="O5" s="14" t="n">
        <f aca="false">DAY(O$3)</f>
        <v>29</v>
      </c>
      <c r="P5" s="14" t="n">
        <f aca="false">DAY(P$3)</f>
        <v>5</v>
      </c>
      <c r="Q5" s="14" t="n">
        <f aca="false">DAY(Q$3)</f>
        <v>12</v>
      </c>
      <c r="R5" s="14" t="n">
        <f aca="false">DAY(R$3)</f>
        <v>19</v>
      </c>
      <c r="S5" s="14" t="n">
        <f aca="false">DAY(S$3)</f>
        <v>26</v>
      </c>
      <c r="T5" s="14" t="n">
        <f aca="false">DAY(T$3)</f>
        <v>2</v>
      </c>
      <c r="U5" s="14" t="n">
        <f aca="false">DAY(U$3)</f>
        <v>9</v>
      </c>
      <c r="V5" s="14" t="n">
        <f aca="false">DAY(V$3)</f>
        <v>16</v>
      </c>
      <c r="W5" s="14" t="n">
        <f aca="false">DAY(W$3)</f>
        <v>23</v>
      </c>
      <c r="X5" s="14" t="n">
        <f aca="false">DAY(X$3)</f>
        <v>30</v>
      </c>
      <c r="Y5" s="14" t="n">
        <f aca="false">DAY(Y$3)</f>
        <v>7</v>
      </c>
      <c r="Z5" s="14" t="n">
        <f aca="false">DAY(Z$3)</f>
        <v>14</v>
      </c>
      <c r="AA5" s="14" t="n">
        <f aca="false">DAY(AA$3)</f>
        <v>21</v>
      </c>
      <c r="AB5" s="14" t="n">
        <f aca="false">DAY(AB$3)</f>
        <v>28</v>
      </c>
      <c r="AC5" s="14" t="n">
        <f aca="false">DAY(AC$3)</f>
        <v>4</v>
      </c>
      <c r="AD5" s="14" t="n">
        <f aca="false">DAY(AD$3)</f>
        <v>11</v>
      </c>
      <c r="AE5" s="14" t="n">
        <f aca="false">DAY(AE$3)</f>
        <v>18</v>
      </c>
      <c r="AF5" s="14" t="n">
        <f aca="false">DAY(AF$3)</f>
        <v>25</v>
      </c>
      <c r="AG5" s="14" t="n">
        <f aca="false">DAY(AG$3)</f>
        <v>2</v>
      </c>
      <c r="AH5" s="14" t="n">
        <f aca="false">DAY(AH$3)</f>
        <v>9</v>
      </c>
      <c r="AI5" s="14" t="n">
        <f aca="false">DAY(AI$3)</f>
        <v>16</v>
      </c>
      <c r="AJ5" s="14" t="n">
        <f aca="false">DAY(AJ$3)</f>
        <v>23</v>
      </c>
      <c r="AK5" s="14" t="n">
        <f aca="false">DAY(AK$3)</f>
        <v>30</v>
      </c>
      <c r="AL5" s="14" t="n">
        <f aca="false">DAY(AL$3)</f>
        <v>6</v>
      </c>
      <c r="AM5" s="14" t="n">
        <f aca="false">DAY(AM$3)</f>
        <v>13</v>
      </c>
      <c r="AN5" s="14" t="n">
        <f aca="false">DAY(AN$3)</f>
        <v>20</v>
      </c>
      <c r="AO5" s="14" t="n">
        <f aca="false">DAY(AO$3)</f>
        <v>27</v>
      </c>
      <c r="AP5" s="14" t="n">
        <f aca="false">DAY(AP$3)</f>
        <v>3</v>
      </c>
      <c r="AQ5" s="14" t="n">
        <f aca="false">DAY(AQ$3)</f>
        <v>10</v>
      </c>
      <c r="AR5" s="14" t="n">
        <f aca="false">DAY(AR$3)</f>
        <v>17</v>
      </c>
      <c r="AS5" s="14" t="n">
        <f aca="false">DAY(AS$3)</f>
        <v>24</v>
      </c>
      <c r="AT5" s="14" t="n">
        <f aca="false">DAY(AT$3)</f>
        <v>3</v>
      </c>
      <c r="AU5" s="14" t="n">
        <f aca="false">DAY(AU$3)</f>
        <v>10</v>
      </c>
      <c r="AV5" s="14" t="n">
        <f aca="false">DAY(AV$3)</f>
        <v>17</v>
      </c>
      <c r="AW5" s="14" t="n">
        <f aca="false">DAY(AW$3)</f>
        <v>24</v>
      </c>
      <c r="AX5" s="14" t="n">
        <f aca="false">DAY(AX$3)</f>
        <v>31</v>
      </c>
      <c r="AY5" s="14" t="n">
        <f aca="false">DAY(AY$3)</f>
        <v>7</v>
      </c>
      <c r="AZ5" s="14" t="n">
        <f aca="false">DAY(AZ$3)</f>
        <v>14</v>
      </c>
      <c r="BA5" s="14" t="n">
        <f aca="false">DAY(BA$3)</f>
        <v>21</v>
      </c>
      <c r="BB5" s="14" t="n">
        <f aca="false">DAY(BB$3)</f>
        <v>28</v>
      </c>
      <c r="BC5" s="14" t="n">
        <f aca="false">DAY(BC$3)</f>
        <v>5</v>
      </c>
      <c r="BD5" s="14" t="n">
        <f aca="false">DAY(BD$3)</f>
        <v>12</v>
      </c>
      <c r="BE5" s="14" t="n">
        <f aca="false">DAY(BE$3)</f>
        <v>19</v>
      </c>
      <c r="BF5" s="14" t="n">
        <f aca="false">DAY(BF$3)</f>
        <v>26</v>
      </c>
      <c r="BG5" s="14" t="n">
        <f aca="false">DAY(BG$3)</f>
        <v>2</v>
      </c>
      <c r="BH5" s="14" t="n">
        <f aca="false">DAY(BH$3)</f>
        <v>9</v>
      </c>
      <c r="BI5" s="14" t="n">
        <f aca="false">DAY(BI$3)</f>
        <v>16</v>
      </c>
      <c r="BJ5" s="14" t="n">
        <f aca="false">DAY(BJ$3)</f>
        <v>23</v>
      </c>
    </row>
    <row r="6" customFormat="false" ht="15" hidden="false" customHeight="false" outlineLevel="0" collapsed="false">
      <c r="A6" s="14" t="s">
        <v>76</v>
      </c>
      <c r="B6" s="8" t="s">
        <v>78</v>
      </c>
      <c r="C6" s="8" t="s">
        <v>82</v>
      </c>
      <c r="D6" s="8" t="s">
        <v>177</v>
      </c>
      <c r="E6" s="8" t="s">
        <v>178</v>
      </c>
      <c r="F6" s="8" t="s">
        <v>179</v>
      </c>
      <c r="G6" s="8" t="s">
        <v>180</v>
      </c>
      <c r="H6" s="8" t="s">
        <v>181</v>
      </c>
      <c r="I6" s="8" t="s">
        <v>182</v>
      </c>
      <c r="J6" s="14" t="s">
        <v>183</v>
      </c>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row>
    <row r="7" customFormat="false" ht="15" hidden="false" customHeight="false" outlineLevel="0" collapsed="false">
      <c r="A7" s="28" t="n">
        <f aca="false">IF(工程マスタ!$C5="","",工程マスタ!$A5)</f>
        <v>1</v>
      </c>
      <c r="B7" s="46" t="str">
        <f aca="false">IF($A7="","",工程マスタ!$C5)</f>
        <v>着工</v>
      </c>
      <c r="C7" s="28" t="n">
        <f aca="false">IF($A7="","",MAX(1,工程マスタ!$G5))</f>
        <v>1</v>
      </c>
      <c r="D7" s="28" t="str">
        <f aca="false">IF($A7="","",_xlfn.TEXTJOIN(",",TRUE(),工程マスタ!$N5:$P5))</f>
        <v/>
      </c>
      <c r="E7" s="29" t="n">
        <f aca="false">IF($A7="","",IF(COUNT(工程マスタ!$N5:$P5)=0,設定!$B$8,MAX(IF(工程マスタ!$N5="",0,INDEX($F$7:$F$156,工程マスタ!$N5)),IF(工程マスタ!$O5="",0,INDEX($F$7:$F$156,工程マスタ!$O5)),IF(工程マスタ!$P5="",0,INDEX($F$7:$F$156,工程マスタ!$P5)))+1))</f>
        <v>46204</v>
      </c>
      <c r="F7" s="29" t="n">
        <f aca="false">IF($A7="","",$E7+$C7-1)</f>
        <v>46204</v>
      </c>
      <c r="G7" s="29" t="n">
        <f aca="false">IF($A7="","",$H7-$C7+1)</f>
        <v>46204</v>
      </c>
      <c r="H7" s="29" t="n">
        <f aca="false" t="array" ref="H7:H7">IF($A7="","",IF(SUMPRODUCT((工程マスタ!$N$6:$N$154=$A7)*1)+SUMPRODUCT((工程マスタ!$O$6:$O$154=$A7)*1)+SUMPRODUCT((工程マスタ!$P$6:$P$154=$A7)*1)=0,MAX($F$7:$F$156),MIN(IF((工程マスタ!$N$6:$N$154=$A7)+(工程マスタ!$O$6:$O$154=$A7)+(工程マスタ!$P$6:$P$154=$A7),$G8:$G$156))-1))</f>
        <v>46204</v>
      </c>
      <c r="I7" s="28" t="n">
        <f aca="false">IF($A7="","",$G7-$E7)</f>
        <v>0</v>
      </c>
      <c r="J7" s="28" t="str">
        <f aca="false">IF($A7="","",IF($I7&lt;=0,"●",""))</f>
        <v>●</v>
      </c>
      <c r="K7" s="47" t="str">
        <f aca="false">IF($A7="","",IF(AND(INDEX(工程マスタ!$I$5:$I$154,$A7)="○",$E7&gt;=K$3,$E7&lt;=K$3+6),"▼",IF(AND($E7&gt;=K$3,$E7&lt;=K$3+6),$A7,"")))</f>
        <v>▼</v>
      </c>
      <c r="L7" s="47" t="str">
        <f aca="false">IF($A7="","",IF(AND(INDEX(工程マスタ!$I$5:$I$154,$A7)="○",$E7&gt;=L$3,$E7&lt;=L$3+6),"▼",IF(AND($E7&gt;=L$3,$E7&lt;=L$3+6),$A7,"")))</f>
        <v/>
      </c>
      <c r="M7" s="47" t="str">
        <f aca="false">IF($A7="","",IF(AND(INDEX(工程マスタ!$I$5:$I$154,$A7)="○",$E7&gt;=M$3,$E7&lt;=M$3+6),"▼",IF(AND($E7&gt;=M$3,$E7&lt;=M$3+6),$A7,"")))</f>
        <v/>
      </c>
      <c r="N7" s="47" t="str">
        <f aca="false">IF($A7="","",IF(AND(INDEX(工程マスタ!$I$5:$I$154,$A7)="○",$E7&gt;=N$3,$E7&lt;=N$3+6),"▼",IF(AND($E7&gt;=N$3,$E7&lt;=N$3+6),$A7,"")))</f>
        <v/>
      </c>
      <c r="O7" s="47" t="str">
        <f aca="false">IF($A7="","",IF(AND(INDEX(工程マスタ!$I$5:$I$154,$A7)="○",$E7&gt;=O$3,$E7&lt;=O$3+6),"▼",IF(AND($E7&gt;=O$3,$E7&lt;=O$3+6),$A7,"")))</f>
        <v/>
      </c>
      <c r="P7" s="47" t="str">
        <f aca="false">IF($A7="","",IF(AND(INDEX(工程マスタ!$I$5:$I$154,$A7)="○",$E7&gt;=P$3,$E7&lt;=P$3+6),"▼",IF(AND($E7&gt;=P$3,$E7&lt;=P$3+6),$A7,"")))</f>
        <v/>
      </c>
      <c r="Q7" s="47" t="str">
        <f aca="false">IF($A7="","",IF(AND(INDEX(工程マスタ!$I$5:$I$154,$A7)="○",$E7&gt;=Q$3,$E7&lt;=Q$3+6),"▼",IF(AND($E7&gt;=Q$3,$E7&lt;=Q$3+6),$A7,"")))</f>
        <v/>
      </c>
      <c r="R7" s="47" t="str">
        <f aca="false">IF($A7="","",IF(AND(INDEX(工程マスタ!$I$5:$I$154,$A7)="○",$E7&gt;=R$3,$E7&lt;=R$3+6),"▼",IF(AND($E7&gt;=R$3,$E7&lt;=R$3+6),$A7,"")))</f>
        <v/>
      </c>
      <c r="S7" s="47" t="str">
        <f aca="false">IF($A7="","",IF(AND(INDEX(工程マスタ!$I$5:$I$154,$A7)="○",$E7&gt;=S$3,$E7&lt;=S$3+6),"▼",IF(AND($E7&gt;=S$3,$E7&lt;=S$3+6),$A7,"")))</f>
        <v/>
      </c>
      <c r="T7" s="47" t="str">
        <f aca="false">IF($A7="","",IF(AND(INDEX(工程マスタ!$I$5:$I$154,$A7)="○",$E7&gt;=T$3,$E7&lt;=T$3+6),"▼",IF(AND($E7&gt;=T$3,$E7&lt;=T$3+6),$A7,"")))</f>
        <v/>
      </c>
      <c r="U7" s="47" t="str">
        <f aca="false">IF($A7="","",IF(AND(INDEX(工程マスタ!$I$5:$I$154,$A7)="○",$E7&gt;=U$3,$E7&lt;=U$3+6),"▼",IF(AND($E7&gt;=U$3,$E7&lt;=U$3+6),$A7,"")))</f>
        <v/>
      </c>
      <c r="V7" s="47" t="str">
        <f aca="false">IF($A7="","",IF(AND(INDEX(工程マスタ!$I$5:$I$154,$A7)="○",$E7&gt;=V$3,$E7&lt;=V$3+6),"▼",IF(AND($E7&gt;=V$3,$E7&lt;=V$3+6),$A7,"")))</f>
        <v/>
      </c>
      <c r="W7" s="47" t="str">
        <f aca="false">IF($A7="","",IF(AND(INDEX(工程マスタ!$I$5:$I$154,$A7)="○",$E7&gt;=W$3,$E7&lt;=W$3+6),"▼",IF(AND($E7&gt;=W$3,$E7&lt;=W$3+6),$A7,"")))</f>
        <v/>
      </c>
      <c r="X7" s="47" t="str">
        <f aca="false">IF($A7="","",IF(AND(INDEX(工程マスタ!$I$5:$I$154,$A7)="○",$E7&gt;=X$3,$E7&lt;=X$3+6),"▼",IF(AND($E7&gt;=X$3,$E7&lt;=X$3+6),$A7,"")))</f>
        <v/>
      </c>
      <c r="Y7" s="47" t="str">
        <f aca="false">IF($A7="","",IF(AND(INDEX(工程マスタ!$I$5:$I$154,$A7)="○",$E7&gt;=Y$3,$E7&lt;=Y$3+6),"▼",IF(AND($E7&gt;=Y$3,$E7&lt;=Y$3+6),$A7,"")))</f>
        <v/>
      </c>
      <c r="Z7" s="47" t="str">
        <f aca="false">IF($A7="","",IF(AND(INDEX(工程マスタ!$I$5:$I$154,$A7)="○",$E7&gt;=Z$3,$E7&lt;=Z$3+6),"▼",IF(AND($E7&gt;=Z$3,$E7&lt;=Z$3+6),$A7,"")))</f>
        <v/>
      </c>
      <c r="AA7" s="47" t="str">
        <f aca="false">IF($A7="","",IF(AND(INDEX(工程マスタ!$I$5:$I$154,$A7)="○",$E7&gt;=AA$3,$E7&lt;=AA$3+6),"▼",IF(AND($E7&gt;=AA$3,$E7&lt;=AA$3+6),$A7,"")))</f>
        <v/>
      </c>
      <c r="AB7" s="47" t="str">
        <f aca="false">IF($A7="","",IF(AND(INDEX(工程マスタ!$I$5:$I$154,$A7)="○",$E7&gt;=AB$3,$E7&lt;=AB$3+6),"▼",IF(AND($E7&gt;=AB$3,$E7&lt;=AB$3+6),$A7,"")))</f>
        <v/>
      </c>
      <c r="AC7" s="47" t="str">
        <f aca="false">IF($A7="","",IF(AND(INDEX(工程マスタ!$I$5:$I$154,$A7)="○",$E7&gt;=AC$3,$E7&lt;=AC$3+6),"▼",IF(AND($E7&gt;=AC$3,$E7&lt;=AC$3+6),$A7,"")))</f>
        <v/>
      </c>
      <c r="AD7" s="47" t="str">
        <f aca="false">IF($A7="","",IF(AND(INDEX(工程マスタ!$I$5:$I$154,$A7)="○",$E7&gt;=AD$3,$E7&lt;=AD$3+6),"▼",IF(AND($E7&gt;=AD$3,$E7&lt;=AD$3+6),$A7,"")))</f>
        <v/>
      </c>
      <c r="AE7" s="47" t="str">
        <f aca="false">IF($A7="","",IF(AND(INDEX(工程マスタ!$I$5:$I$154,$A7)="○",$E7&gt;=AE$3,$E7&lt;=AE$3+6),"▼",IF(AND($E7&gt;=AE$3,$E7&lt;=AE$3+6),$A7,"")))</f>
        <v/>
      </c>
      <c r="AF7" s="47" t="str">
        <f aca="false">IF($A7="","",IF(AND(INDEX(工程マスタ!$I$5:$I$154,$A7)="○",$E7&gt;=AF$3,$E7&lt;=AF$3+6),"▼",IF(AND($E7&gt;=AF$3,$E7&lt;=AF$3+6),$A7,"")))</f>
        <v/>
      </c>
      <c r="AG7" s="47" t="str">
        <f aca="false">IF($A7="","",IF(AND(INDEX(工程マスタ!$I$5:$I$154,$A7)="○",$E7&gt;=AG$3,$E7&lt;=AG$3+6),"▼",IF(AND($E7&gt;=AG$3,$E7&lt;=AG$3+6),$A7,"")))</f>
        <v/>
      </c>
      <c r="AH7" s="47" t="str">
        <f aca="false">IF($A7="","",IF(AND(INDEX(工程マスタ!$I$5:$I$154,$A7)="○",$E7&gt;=AH$3,$E7&lt;=AH$3+6),"▼",IF(AND($E7&gt;=AH$3,$E7&lt;=AH$3+6),$A7,"")))</f>
        <v/>
      </c>
      <c r="AI7" s="47" t="str">
        <f aca="false">IF($A7="","",IF(AND(INDEX(工程マスタ!$I$5:$I$154,$A7)="○",$E7&gt;=AI$3,$E7&lt;=AI$3+6),"▼",IF(AND($E7&gt;=AI$3,$E7&lt;=AI$3+6),$A7,"")))</f>
        <v/>
      </c>
      <c r="AJ7" s="47" t="str">
        <f aca="false">IF($A7="","",IF(AND(INDEX(工程マスタ!$I$5:$I$154,$A7)="○",$E7&gt;=AJ$3,$E7&lt;=AJ$3+6),"▼",IF(AND($E7&gt;=AJ$3,$E7&lt;=AJ$3+6),$A7,"")))</f>
        <v/>
      </c>
      <c r="AK7" s="47" t="str">
        <f aca="false">IF($A7="","",IF(AND(INDEX(工程マスタ!$I$5:$I$154,$A7)="○",$E7&gt;=AK$3,$E7&lt;=AK$3+6),"▼",IF(AND($E7&gt;=AK$3,$E7&lt;=AK$3+6),$A7,"")))</f>
        <v/>
      </c>
      <c r="AL7" s="47" t="str">
        <f aca="false">IF($A7="","",IF(AND(INDEX(工程マスタ!$I$5:$I$154,$A7)="○",$E7&gt;=AL$3,$E7&lt;=AL$3+6),"▼",IF(AND($E7&gt;=AL$3,$E7&lt;=AL$3+6),$A7,"")))</f>
        <v/>
      </c>
      <c r="AM7" s="47" t="str">
        <f aca="false">IF($A7="","",IF(AND(INDEX(工程マスタ!$I$5:$I$154,$A7)="○",$E7&gt;=AM$3,$E7&lt;=AM$3+6),"▼",IF(AND($E7&gt;=AM$3,$E7&lt;=AM$3+6),$A7,"")))</f>
        <v/>
      </c>
      <c r="AN7" s="47" t="str">
        <f aca="false">IF($A7="","",IF(AND(INDEX(工程マスタ!$I$5:$I$154,$A7)="○",$E7&gt;=AN$3,$E7&lt;=AN$3+6),"▼",IF(AND($E7&gt;=AN$3,$E7&lt;=AN$3+6),$A7,"")))</f>
        <v/>
      </c>
      <c r="AO7" s="47" t="str">
        <f aca="false">IF($A7="","",IF(AND(INDEX(工程マスタ!$I$5:$I$154,$A7)="○",$E7&gt;=AO$3,$E7&lt;=AO$3+6),"▼",IF(AND($E7&gt;=AO$3,$E7&lt;=AO$3+6),$A7,"")))</f>
        <v/>
      </c>
      <c r="AP7" s="47" t="str">
        <f aca="false">IF($A7="","",IF(AND(INDEX(工程マスタ!$I$5:$I$154,$A7)="○",$E7&gt;=AP$3,$E7&lt;=AP$3+6),"▼",IF(AND($E7&gt;=AP$3,$E7&lt;=AP$3+6),$A7,"")))</f>
        <v/>
      </c>
      <c r="AQ7" s="47" t="str">
        <f aca="false">IF($A7="","",IF(AND(INDEX(工程マスタ!$I$5:$I$154,$A7)="○",$E7&gt;=AQ$3,$E7&lt;=AQ$3+6),"▼",IF(AND($E7&gt;=AQ$3,$E7&lt;=AQ$3+6),$A7,"")))</f>
        <v/>
      </c>
      <c r="AR7" s="47" t="str">
        <f aca="false">IF($A7="","",IF(AND(INDEX(工程マスタ!$I$5:$I$154,$A7)="○",$E7&gt;=AR$3,$E7&lt;=AR$3+6),"▼",IF(AND($E7&gt;=AR$3,$E7&lt;=AR$3+6),$A7,"")))</f>
        <v/>
      </c>
      <c r="AS7" s="47" t="str">
        <f aca="false">IF($A7="","",IF(AND(INDEX(工程マスタ!$I$5:$I$154,$A7)="○",$E7&gt;=AS$3,$E7&lt;=AS$3+6),"▼",IF(AND($E7&gt;=AS$3,$E7&lt;=AS$3+6),$A7,"")))</f>
        <v/>
      </c>
      <c r="AT7" s="47" t="str">
        <f aca="false">IF($A7="","",IF(AND(INDEX(工程マスタ!$I$5:$I$154,$A7)="○",$E7&gt;=AT$3,$E7&lt;=AT$3+6),"▼",IF(AND($E7&gt;=AT$3,$E7&lt;=AT$3+6),$A7,"")))</f>
        <v/>
      </c>
      <c r="AU7" s="47" t="str">
        <f aca="false">IF($A7="","",IF(AND(INDEX(工程マスタ!$I$5:$I$154,$A7)="○",$E7&gt;=AU$3,$E7&lt;=AU$3+6),"▼",IF(AND($E7&gt;=AU$3,$E7&lt;=AU$3+6),$A7,"")))</f>
        <v/>
      </c>
      <c r="AV7" s="47" t="str">
        <f aca="false">IF($A7="","",IF(AND(INDEX(工程マスタ!$I$5:$I$154,$A7)="○",$E7&gt;=AV$3,$E7&lt;=AV$3+6),"▼",IF(AND($E7&gt;=AV$3,$E7&lt;=AV$3+6),$A7,"")))</f>
        <v/>
      </c>
      <c r="AW7" s="47" t="str">
        <f aca="false">IF($A7="","",IF(AND(INDEX(工程マスタ!$I$5:$I$154,$A7)="○",$E7&gt;=AW$3,$E7&lt;=AW$3+6),"▼",IF(AND($E7&gt;=AW$3,$E7&lt;=AW$3+6),$A7,"")))</f>
        <v/>
      </c>
      <c r="AX7" s="47" t="str">
        <f aca="false">IF($A7="","",IF(AND(INDEX(工程マスタ!$I$5:$I$154,$A7)="○",$E7&gt;=AX$3,$E7&lt;=AX$3+6),"▼",IF(AND($E7&gt;=AX$3,$E7&lt;=AX$3+6),$A7,"")))</f>
        <v/>
      </c>
      <c r="AY7" s="47" t="str">
        <f aca="false">IF($A7="","",IF(AND(INDEX(工程マスタ!$I$5:$I$154,$A7)="○",$E7&gt;=AY$3,$E7&lt;=AY$3+6),"▼",IF(AND($E7&gt;=AY$3,$E7&lt;=AY$3+6),$A7,"")))</f>
        <v/>
      </c>
      <c r="AZ7" s="47" t="str">
        <f aca="false">IF($A7="","",IF(AND(INDEX(工程マスタ!$I$5:$I$154,$A7)="○",$E7&gt;=AZ$3,$E7&lt;=AZ$3+6),"▼",IF(AND($E7&gt;=AZ$3,$E7&lt;=AZ$3+6),$A7,"")))</f>
        <v/>
      </c>
      <c r="BA7" s="47" t="str">
        <f aca="false">IF($A7="","",IF(AND(INDEX(工程マスタ!$I$5:$I$154,$A7)="○",$E7&gt;=BA$3,$E7&lt;=BA$3+6),"▼",IF(AND($E7&gt;=BA$3,$E7&lt;=BA$3+6),$A7,"")))</f>
        <v/>
      </c>
      <c r="BB7" s="47" t="str">
        <f aca="false">IF($A7="","",IF(AND(INDEX(工程マスタ!$I$5:$I$154,$A7)="○",$E7&gt;=BB$3,$E7&lt;=BB$3+6),"▼",IF(AND($E7&gt;=BB$3,$E7&lt;=BB$3+6),$A7,"")))</f>
        <v/>
      </c>
      <c r="BC7" s="47" t="str">
        <f aca="false">IF($A7="","",IF(AND(INDEX(工程マスタ!$I$5:$I$154,$A7)="○",$E7&gt;=BC$3,$E7&lt;=BC$3+6),"▼",IF(AND($E7&gt;=BC$3,$E7&lt;=BC$3+6),$A7,"")))</f>
        <v/>
      </c>
      <c r="BD7" s="47" t="str">
        <f aca="false">IF($A7="","",IF(AND(INDEX(工程マスタ!$I$5:$I$154,$A7)="○",$E7&gt;=BD$3,$E7&lt;=BD$3+6),"▼",IF(AND($E7&gt;=BD$3,$E7&lt;=BD$3+6),$A7,"")))</f>
        <v/>
      </c>
      <c r="BE7" s="47" t="str">
        <f aca="false">IF($A7="","",IF(AND(INDEX(工程マスタ!$I$5:$I$154,$A7)="○",$E7&gt;=BE$3,$E7&lt;=BE$3+6),"▼",IF(AND($E7&gt;=BE$3,$E7&lt;=BE$3+6),$A7,"")))</f>
        <v/>
      </c>
      <c r="BF7" s="47" t="str">
        <f aca="false">IF($A7="","",IF(AND(INDEX(工程マスタ!$I$5:$I$154,$A7)="○",$E7&gt;=BF$3,$E7&lt;=BF$3+6),"▼",IF(AND($E7&gt;=BF$3,$E7&lt;=BF$3+6),$A7,"")))</f>
        <v/>
      </c>
      <c r="BG7" s="47" t="str">
        <f aca="false">IF($A7="","",IF(AND(INDEX(工程マスタ!$I$5:$I$154,$A7)="○",$E7&gt;=BG$3,$E7&lt;=BG$3+6),"▼",IF(AND($E7&gt;=BG$3,$E7&lt;=BG$3+6),$A7,"")))</f>
        <v/>
      </c>
      <c r="BH7" s="47" t="str">
        <f aca="false">IF($A7="","",IF(AND(INDEX(工程マスタ!$I$5:$I$154,$A7)="○",$E7&gt;=BH$3,$E7&lt;=BH$3+6),"▼",IF(AND($E7&gt;=BH$3,$E7&lt;=BH$3+6),$A7,"")))</f>
        <v/>
      </c>
      <c r="BI7" s="47" t="str">
        <f aca="false">IF($A7="","",IF(AND(INDEX(工程マスタ!$I$5:$I$154,$A7)="○",$E7&gt;=BI$3,$E7&lt;=BI$3+6),"▼",IF(AND($E7&gt;=BI$3,$E7&lt;=BI$3+6),$A7,"")))</f>
        <v/>
      </c>
      <c r="BJ7" s="47" t="str">
        <f aca="false">IF($A7="","",IF(AND(INDEX(工程マスタ!$I$5:$I$154,$A7)="○",$E7&gt;=BJ$3,$E7&lt;=BJ$3+6),"▼",IF(AND($E7&gt;=BJ$3,$E7&lt;=BJ$3+6),$A7,"")))</f>
        <v/>
      </c>
    </row>
    <row r="8" customFormat="false" ht="15" hidden="false" customHeight="false" outlineLevel="0" collapsed="false">
      <c r="A8" s="28" t="n">
        <f aca="false">IF(工程マスタ!$C6="","",工程マスタ!$A6)</f>
        <v>2</v>
      </c>
      <c r="B8" s="46" t="str">
        <f aca="false">IF($A8="","",工程マスタ!$C6)</f>
        <v>地鎮祭・安全祈願祭</v>
      </c>
      <c r="C8" s="28" t="n">
        <f aca="false">IF($A8="","",MAX(1,工程マスタ!$G6))</f>
        <v>1</v>
      </c>
      <c r="D8" s="28" t="str">
        <f aca="false">IF($A8="","",_xlfn.TEXTJOIN(",",TRUE(),工程マスタ!$N6:$P6))</f>
        <v>1</v>
      </c>
      <c r="E8" s="29" t="n">
        <f aca="false">IF($A8="","",IF(COUNT(工程マスタ!$N6:$P6)=0,設定!$B$8,MAX(IF(工程マスタ!$N6="",0,INDEX($F$7:$F$156,工程マスタ!$N6)),IF(工程マスタ!$O6="",0,INDEX($F$7:$F$156,工程マスタ!$O6)),IF(工程マスタ!$P6="",0,INDEX($F$7:$F$156,工程マスタ!$P6)))+1))</f>
        <v>46205</v>
      </c>
      <c r="F8" s="29" t="n">
        <f aca="false">IF($A8="","",$E8+$C8-1)</f>
        <v>46205</v>
      </c>
      <c r="G8" s="29" t="n">
        <f aca="false">IF($A8="","",$H8-$C8+1)</f>
        <v>46234</v>
      </c>
      <c r="H8" s="29" t="n">
        <f aca="false" t="array" ref="H8:H8">IF($A8="","",IF(SUMPRODUCT((工程マスタ!$N$7:$N$154=$A8)*1)+SUMPRODUCT((工程マスタ!$O$7:$O$154=$A8)*1)+SUMPRODUCT((工程マスタ!$P$7:$P$154=$A8)*1)=0,MAX($F$7:$F$156),MIN(IF((工程マスタ!$N$7:$N$154=$A8)+(工程マスタ!$O$7:$O$154=$A8)+(工程マスタ!$P$7:$P$154=$A8),$G9:$G$156))-1))</f>
        <v>46234</v>
      </c>
      <c r="I8" s="28" t="n">
        <f aca="false">IF($A8="","",$G8-$E8)</f>
        <v>29</v>
      </c>
      <c r="J8" s="28" t="str">
        <f aca="false">IF($A8="","",IF($I8&lt;=0,"●",""))</f>
        <v/>
      </c>
      <c r="K8" s="47" t="str">
        <f aca="false">IF($A8="","",IF(AND(INDEX(工程マスタ!$I$5:$I$154,$A8)="○",$E8&gt;=K$3,$E8&lt;=K$3+6),"▼",IF(AND($E8&gt;=K$3,$E8&lt;=K$3+6),$A8,"")))</f>
        <v>▼</v>
      </c>
      <c r="L8" s="47" t="str">
        <f aca="false">IF($A8="","",IF(AND(INDEX(工程マスタ!$I$5:$I$154,$A8)="○",$E8&gt;=L$3,$E8&lt;=L$3+6),"▼",IF(AND($E8&gt;=L$3,$E8&lt;=L$3+6),$A8,"")))</f>
        <v/>
      </c>
      <c r="M8" s="47" t="str">
        <f aca="false">IF($A8="","",IF(AND(INDEX(工程マスタ!$I$5:$I$154,$A8)="○",$E8&gt;=M$3,$E8&lt;=M$3+6),"▼",IF(AND($E8&gt;=M$3,$E8&lt;=M$3+6),$A8,"")))</f>
        <v/>
      </c>
      <c r="N8" s="47" t="str">
        <f aca="false">IF($A8="","",IF(AND(INDEX(工程マスタ!$I$5:$I$154,$A8)="○",$E8&gt;=N$3,$E8&lt;=N$3+6),"▼",IF(AND($E8&gt;=N$3,$E8&lt;=N$3+6),$A8,"")))</f>
        <v/>
      </c>
      <c r="O8" s="47" t="str">
        <f aca="false">IF($A8="","",IF(AND(INDEX(工程マスタ!$I$5:$I$154,$A8)="○",$E8&gt;=O$3,$E8&lt;=O$3+6),"▼",IF(AND($E8&gt;=O$3,$E8&lt;=O$3+6),$A8,"")))</f>
        <v/>
      </c>
      <c r="P8" s="47" t="str">
        <f aca="false">IF($A8="","",IF(AND(INDEX(工程マスタ!$I$5:$I$154,$A8)="○",$E8&gt;=P$3,$E8&lt;=P$3+6),"▼",IF(AND($E8&gt;=P$3,$E8&lt;=P$3+6),$A8,"")))</f>
        <v/>
      </c>
      <c r="Q8" s="47" t="str">
        <f aca="false">IF($A8="","",IF(AND(INDEX(工程マスタ!$I$5:$I$154,$A8)="○",$E8&gt;=Q$3,$E8&lt;=Q$3+6),"▼",IF(AND($E8&gt;=Q$3,$E8&lt;=Q$3+6),$A8,"")))</f>
        <v/>
      </c>
      <c r="R8" s="47" t="str">
        <f aca="false">IF($A8="","",IF(AND(INDEX(工程マスタ!$I$5:$I$154,$A8)="○",$E8&gt;=R$3,$E8&lt;=R$3+6),"▼",IF(AND($E8&gt;=R$3,$E8&lt;=R$3+6),$A8,"")))</f>
        <v/>
      </c>
      <c r="S8" s="47" t="str">
        <f aca="false">IF($A8="","",IF(AND(INDEX(工程マスタ!$I$5:$I$154,$A8)="○",$E8&gt;=S$3,$E8&lt;=S$3+6),"▼",IF(AND($E8&gt;=S$3,$E8&lt;=S$3+6),$A8,"")))</f>
        <v/>
      </c>
      <c r="T8" s="47" t="str">
        <f aca="false">IF($A8="","",IF(AND(INDEX(工程マスタ!$I$5:$I$154,$A8)="○",$E8&gt;=T$3,$E8&lt;=T$3+6),"▼",IF(AND($E8&gt;=T$3,$E8&lt;=T$3+6),$A8,"")))</f>
        <v/>
      </c>
      <c r="U8" s="47" t="str">
        <f aca="false">IF($A8="","",IF(AND(INDEX(工程マスタ!$I$5:$I$154,$A8)="○",$E8&gt;=U$3,$E8&lt;=U$3+6),"▼",IF(AND($E8&gt;=U$3,$E8&lt;=U$3+6),$A8,"")))</f>
        <v/>
      </c>
      <c r="V8" s="47" t="str">
        <f aca="false">IF($A8="","",IF(AND(INDEX(工程マスタ!$I$5:$I$154,$A8)="○",$E8&gt;=V$3,$E8&lt;=V$3+6),"▼",IF(AND($E8&gt;=V$3,$E8&lt;=V$3+6),$A8,"")))</f>
        <v/>
      </c>
      <c r="W8" s="47" t="str">
        <f aca="false">IF($A8="","",IF(AND(INDEX(工程マスタ!$I$5:$I$154,$A8)="○",$E8&gt;=W$3,$E8&lt;=W$3+6),"▼",IF(AND($E8&gt;=W$3,$E8&lt;=W$3+6),$A8,"")))</f>
        <v/>
      </c>
      <c r="X8" s="47" t="str">
        <f aca="false">IF($A8="","",IF(AND(INDEX(工程マスタ!$I$5:$I$154,$A8)="○",$E8&gt;=X$3,$E8&lt;=X$3+6),"▼",IF(AND($E8&gt;=X$3,$E8&lt;=X$3+6),$A8,"")))</f>
        <v/>
      </c>
      <c r="Y8" s="47" t="str">
        <f aca="false">IF($A8="","",IF(AND(INDEX(工程マスタ!$I$5:$I$154,$A8)="○",$E8&gt;=Y$3,$E8&lt;=Y$3+6),"▼",IF(AND($E8&gt;=Y$3,$E8&lt;=Y$3+6),$A8,"")))</f>
        <v/>
      </c>
      <c r="Z8" s="47" t="str">
        <f aca="false">IF($A8="","",IF(AND(INDEX(工程マスタ!$I$5:$I$154,$A8)="○",$E8&gt;=Z$3,$E8&lt;=Z$3+6),"▼",IF(AND($E8&gt;=Z$3,$E8&lt;=Z$3+6),$A8,"")))</f>
        <v/>
      </c>
      <c r="AA8" s="47" t="str">
        <f aca="false">IF($A8="","",IF(AND(INDEX(工程マスタ!$I$5:$I$154,$A8)="○",$E8&gt;=AA$3,$E8&lt;=AA$3+6),"▼",IF(AND($E8&gt;=AA$3,$E8&lt;=AA$3+6),$A8,"")))</f>
        <v/>
      </c>
      <c r="AB8" s="47" t="str">
        <f aca="false">IF($A8="","",IF(AND(INDEX(工程マスタ!$I$5:$I$154,$A8)="○",$E8&gt;=AB$3,$E8&lt;=AB$3+6),"▼",IF(AND($E8&gt;=AB$3,$E8&lt;=AB$3+6),$A8,"")))</f>
        <v/>
      </c>
      <c r="AC8" s="47" t="str">
        <f aca="false">IF($A8="","",IF(AND(INDEX(工程マスタ!$I$5:$I$154,$A8)="○",$E8&gt;=AC$3,$E8&lt;=AC$3+6),"▼",IF(AND($E8&gt;=AC$3,$E8&lt;=AC$3+6),$A8,"")))</f>
        <v/>
      </c>
      <c r="AD8" s="47" t="str">
        <f aca="false">IF($A8="","",IF(AND(INDEX(工程マスタ!$I$5:$I$154,$A8)="○",$E8&gt;=AD$3,$E8&lt;=AD$3+6),"▼",IF(AND($E8&gt;=AD$3,$E8&lt;=AD$3+6),$A8,"")))</f>
        <v/>
      </c>
      <c r="AE8" s="47" t="str">
        <f aca="false">IF($A8="","",IF(AND(INDEX(工程マスタ!$I$5:$I$154,$A8)="○",$E8&gt;=AE$3,$E8&lt;=AE$3+6),"▼",IF(AND($E8&gt;=AE$3,$E8&lt;=AE$3+6),$A8,"")))</f>
        <v/>
      </c>
      <c r="AF8" s="47" t="str">
        <f aca="false">IF($A8="","",IF(AND(INDEX(工程マスタ!$I$5:$I$154,$A8)="○",$E8&gt;=AF$3,$E8&lt;=AF$3+6),"▼",IF(AND($E8&gt;=AF$3,$E8&lt;=AF$3+6),$A8,"")))</f>
        <v/>
      </c>
      <c r="AG8" s="47" t="str">
        <f aca="false">IF($A8="","",IF(AND(INDEX(工程マスタ!$I$5:$I$154,$A8)="○",$E8&gt;=AG$3,$E8&lt;=AG$3+6),"▼",IF(AND($E8&gt;=AG$3,$E8&lt;=AG$3+6),$A8,"")))</f>
        <v/>
      </c>
      <c r="AH8" s="47" t="str">
        <f aca="false">IF($A8="","",IF(AND(INDEX(工程マスタ!$I$5:$I$154,$A8)="○",$E8&gt;=AH$3,$E8&lt;=AH$3+6),"▼",IF(AND($E8&gt;=AH$3,$E8&lt;=AH$3+6),$A8,"")))</f>
        <v/>
      </c>
      <c r="AI8" s="47" t="str">
        <f aca="false">IF($A8="","",IF(AND(INDEX(工程マスタ!$I$5:$I$154,$A8)="○",$E8&gt;=AI$3,$E8&lt;=AI$3+6),"▼",IF(AND($E8&gt;=AI$3,$E8&lt;=AI$3+6),$A8,"")))</f>
        <v/>
      </c>
      <c r="AJ8" s="47" t="str">
        <f aca="false">IF($A8="","",IF(AND(INDEX(工程マスタ!$I$5:$I$154,$A8)="○",$E8&gt;=AJ$3,$E8&lt;=AJ$3+6),"▼",IF(AND($E8&gt;=AJ$3,$E8&lt;=AJ$3+6),$A8,"")))</f>
        <v/>
      </c>
      <c r="AK8" s="47" t="str">
        <f aca="false">IF($A8="","",IF(AND(INDEX(工程マスタ!$I$5:$I$154,$A8)="○",$E8&gt;=AK$3,$E8&lt;=AK$3+6),"▼",IF(AND($E8&gt;=AK$3,$E8&lt;=AK$3+6),$A8,"")))</f>
        <v/>
      </c>
      <c r="AL8" s="47" t="str">
        <f aca="false">IF($A8="","",IF(AND(INDEX(工程マスタ!$I$5:$I$154,$A8)="○",$E8&gt;=AL$3,$E8&lt;=AL$3+6),"▼",IF(AND($E8&gt;=AL$3,$E8&lt;=AL$3+6),$A8,"")))</f>
        <v/>
      </c>
      <c r="AM8" s="47" t="str">
        <f aca="false">IF($A8="","",IF(AND(INDEX(工程マスタ!$I$5:$I$154,$A8)="○",$E8&gt;=AM$3,$E8&lt;=AM$3+6),"▼",IF(AND($E8&gt;=AM$3,$E8&lt;=AM$3+6),$A8,"")))</f>
        <v/>
      </c>
      <c r="AN8" s="47" t="str">
        <f aca="false">IF($A8="","",IF(AND(INDEX(工程マスタ!$I$5:$I$154,$A8)="○",$E8&gt;=AN$3,$E8&lt;=AN$3+6),"▼",IF(AND($E8&gt;=AN$3,$E8&lt;=AN$3+6),$A8,"")))</f>
        <v/>
      </c>
      <c r="AO8" s="47" t="str">
        <f aca="false">IF($A8="","",IF(AND(INDEX(工程マスタ!$I$5:$I$154,$A8)="○",$E8&gt;=AO$3,$E8&lt;=AO$3+6),"▼",IF(AND($E8&gt;=AO$3,$E8&lt;=AO$3+6),$A8,"")))</f>
        <v/>
      </c>
      <c r="AP8" s="47" t="str">
        <f aca="false">IF($A8="","",IF(AND(INDEX(工程マスタ!$I$5:$I$154,$A8)="○",$E8&gt;=AP$3,$E8&lt;=AP$3+6),"▼",IF(AND($E8&gt;=AP$3,$E8&lt;=AP$3+6),$A8,"")))</f>
        <v/>
      </c>
      <c r="AQ8" s="47" t="str">
        <f aca="false">IF($A8="","",IF(AND(INDEX(工程マスタ!$I$5:$I$154,$A8)="○",$E8&gt;=AQ$3,$E8&lt;=AQ$3+6),"▼",IF(AND($E8&gt;=AQ$3,$E8&lt;=AQ$3+6),$A8,"")))</f>
        <v/>
      </c>
      <c r="AR8" s="47" t="str">
        <f aca="false">IF($A8="","",IF(AND(INDEX(工程マスタ!$I$5:$I$154,$A8)="○",$E8&gt;=AR$3,$E8&lt;=AR$3+6),"▼",IF(AND($E8&gt;=AR$3,$E8&lt;=AR$3+6),$A8,"")))</f>
        <v/>
      </c>
      <c r="AS8" s="47" t="str">
        <f aca="false">IF($A8="","",IF(AND(INDEX(工程マスタ!$I$5:$I$154,$A8)="○",$E8&gt;=AS$3,$E8&lt;=AS$3+6),"▼",IF(AND($E8&gt;=AS$3,$E8&lt;=AS$3+6),$A8,"")))</f>
        <v/>
      </c>
      <c r="AT8" s="47" t="str">
        <f aca="false">IF($A8="","",IF(AND(INDEX(工程マスタ!$I$5:$I$154,$A8)="○",$E8&gt;=AT$3,$E8&lt;=AT$3+6),"▼",IF(AND($E8&gt;=AT$3,$E8&lt;=AT$3+6),$A8,"")))</f>
        <v/>
      </c>
      <c r="AU8" s="47" t="str">
        <f aca="false">IF($A8="","",IF(AND(INDEX(工程マスタ!$I$5:$I$154,$A8)="○",$E8&gt;=AU$3,$E8&lt;=AU$3+6),"▼",IF(AND($E8&gt;=AU$3,$E8&lt;=AU$3+6),$A8,"")))</f>
        <v/>
      </c>
      <c r="AV8" s="47" t="str">
        <f aca="false">IF($A8="","",IF(AND(INDEX(工程マスタ!$I$5:$I$154,$A8)="○",$E8&gt;=AV$3,$E8&lt;=AV$3+6),"▼",IF(AND($E8&gt;=AV$3,$E8&lt;=AV$3+6),$A8,"")))</f>
        <v/>
      </c>
      <c r="AW8" s="47" t="str">
        <f aca="false">IF($A8="","",IF(AND(INDEX(工程マスタ!$I$5:$I$154,$A8)="○",$E8&gt;=AW$3,$E8&lt;=AW$3+6),"▼",IF(AND($E8&gt;=AW$3,$E8&lt;=AW$3+6),$A8,"")))</f>
        <v/>
      </c>
      <c r="AX8" s="47" t="str">
        <f aca="false">IF($A8="","",IF(AND(INDEX(工程マスタ!$I$5:$I$154,$A8)="○",$E8&gt;=AX$3,$E8&lt;=AX$3+6),"▼",IF(AND($E8&gt;=AX$3,$E8&lt;=AX$3+6),$A8,"")))</f>
        <v/>
      </c>
      <c r="AY8" s="47" t="str">
        <f aca="false">IF($A8="","",IF(AND(INDEX(工程マスタ!$I$5:$I$154,$A8)="○",$E8&gt;=AY$3,$E8&lt;=AY$3+6),"▼",IF(AND($E8&gt;=AY$3,$E8&lt;=AY$3+6),$A8,"")))</f>
        <v/>
      </c>
      <c r="AZ8" s="47" t="str">
        <f aca="false">IF($A8="","",IF(AND(INDEX(工程マスタ!$I$5:$I$154,$A8)="○",$E8&gt;=AZ$3,$E8&lt;=AZ$3+6),"▼",IF(AND($E8&gt;=AZ$3,$E8&lt;=AZ$3+6),$A8,"")))</f>
        <v/>
      </c>
      <c r="BA8" s="47" t="str">
        <f aca="false">IF($A8="","",IF(AND(INDEX(工程マスタ!$I$5:$I$154,$A8)="○",$E8&gt;=BA$3,$E8&lt;=BA$3+6),"▼",IF(AND($E8&gt;=BA$3,$E8&lt;=BA$3+6),$A8,"")))</f>
        <v/>
      </c>
      <c r="BB8" s="47" t="str">
        <f aca="false">IF($A8="","",IF(AND(INDEX(工程マスタ!$I$5:$I$154,$A8)="○",$E8&gt;=BB$3,$E8&lt;=BB$3+6),"▼",IF(AND($E8&gt;=BB$3,$E8&lt;=BB$3+6),$A8,"")))</f>
        <v/>
      </c>
      <c r="BC8" s="47" t="str">
        <f aca="false">IF($A8="","",IF(AND(INDEX(工程マスタ!$I$5:$I$154,$A8)="○",$E8&gt;=BC$3,$E8&lt;=BC$3+6),"▼",IF(AND($E8&gt;=BC$3,$E8&lt;=BC$3+6),$A8,"")))</f>
        <v/>
      </c>
      <c r="BD8" s="47" t="str">
        <f aca="false">IF($A8="","",IF(AND(INDEX(工程マスタ!$I$5:$I$154,$A8)="○",$E8&gt;=BD$3,$E8&lt;=BD$3+6),"▼",IF(AND($E8&gt;=BD$3,$E8&lt;=BD$3+6),$A8,"")))</f>
        <v/>
      </c>
      <c r="BE8" s="47" t="str">
        <f aca="false">IF($A8="","",IF(AND(INDEX(工程マスタ!$I$5:$I$154,$A8)="○",$E8&gt;=BE$3,$E8&lt;=BE$3+6),"▼",IF(AND($E8&gt;=BE$3,$E8&lt;=BE$3+6),$A8,"")))</f>
        <v/>
      </c>
      <c r="BF8" s="47" t="str">
        <f aca="false">IF($A8="","",IF(AND(INDEX(工程マスタ!$I$5:$I$154,$A8)="○",$E8&gt;=BF$3,$E8&lt;=BF$3+6),"▼",IF(AND($E8&gt;=BF$3,$E8&lt;=BF$3+6),$A8,"")))</f>
        <v/>
      </c>
      <c r="BG8" s="47" t="str">
        <f aca="false">IF($A8="","",IF(AND(INDEX(工程マスタ!$I$5:$I$154,$A8)="○",$E8&gt;=BG$3,$E8&lt;=BG$3+6),"▼",IF(AND($E8&gt;=BG$3,$E8&lt;=BG$3+6),$A8,"")))</f>
        <v/>
      </c>
      <c r="BH8" s="47" t="str">
        <f aca="false">IF($A8="","",IF(AND(INDEX(工程マスタ!$I$5:$I$154,$A8)="○",$E8&gt;=BH$3,$E8&lt;=BH$3+6),"▼",IF(AND($E8&gt;=BH$3,$E8&lt;=BH$3+6),$A8,"")))</f>
        <v/>
      </c>
      <c r="BI8" s="47" t="str">
        <f aca="false">IF($A8="","",IF(AND(INDEX(工程マスタ!$I$5:$I$154,$A8)="○",$E8&gt;=BI$3,$E8&lt;=BI$3+6),"▼",IF(AND($E8&gt;=BI$3,$E8&lt;=BI$3+6),$A8,"")))</f>
        <v/>
      </c>
      <c r="BJ8" s="47" t="str">
        <f aca="false">IF($A8="","",IF(AND(INDEX(工程マスタ!$I$5:$I$154,$A8)="○",$E8&gt;=BJ$3,$E8&lt;=BJ$3+6),"▼",IF(AND($E8&gt;=BJ$3,$E8&lt;=BJ$3+6),$A8,"")))</f>
        <v/>
      </c>
    </row>
    <row r="9" customFormat="false" ht="15" hidden="false" customHeight="false" outlineLevel="0" collapsed="false">
      <c r="A9" s="28" t="n">
        <f aca="false">IF(工程マスタ!$C7="","",工程マスタ!$A7)</f>
        <v>3</v>
      </c>
      <c r="B9" s="46" t="str">
        <f aca="false">IF($A9="","",工程マスタ!$C7)</f>
        <v>仮囲い・ゲート設置</v>
      </c>
      <c r="C9" s="28" t="n">
        <f aca="false">IF($A9="","",MAX(1,工程マスタ!$G7))</f>
        <v>10</v>
      </c>
      <c r="D9" s="28" t="str">
        <f aca="false">IF($A9="","",_xlfn.TEXTJOIN(",",TRUE(),工程マスタ!$N7:$P7))</f>
        <v>1</v>
      </c>
      <c r="E9" s="29" t="n">
        <f aca="false">IF($A9="","",IF(COUNT(工程マスタ!$N7:$P7)=0,設定!$B$8,MAX(IF(工程マスタ!$N7="",0,INDEX($F$7:$F$156,工程マスタ!$N7)),IF(工程マスタ!$O7="",0,INDEX($F$7:$F$156,工程マスタ!$O7)),IF(工程マスタ!$P7="",0,INDEX($F$7:$F$156,工程マスタ!$P7)))+1))</f>
        <v>46205</v>
      </c>
      <c r="F9" s="29" t="n">
        <f aca="false">IF($A9="","",$E9+$C9-1)</f>
        <v>46214</v>
      </c>
      <c r="G9" s="29" t="n">
        <f aca="false">IF($A9="","",$H9-$C9+1)</f>
        <v>46205</v>
      </c>
      <c r="H9" s="29" t="n">
        <f aca="false" t="array" ref="H9:H9">IF($A9="","",IF(SUMPRODUCT((工程マスタ!$N$8:$N$154=$A9)*1)+SUMPRODUCT((工程マスタ!$O$8:$O$154=$A9)*1)+SUMPRODUCT((工程マスタ!$P$8:$P$154=$A9)*1)=0,MAX($F$7:$F$156),MIN(IF((工程マスタ!$N$8:$N$154=$A9)+(工程マスタ!$O$8:$O$154=$A9)+(工程マスタ!$P$8:$P$154=$A9),$G10:$G$156))-1))</f>
        <v>46214</v>
      </c>
      <c r="I9" s="28" t="n">
        <f aca="false">IF($A9="","",$G9-$E9)</f>
        <v>0</v>
      </c>
      <c r="J9" s="28" t="str">
        <f aca="false">IF($A9="","",IF($I9&lt;=0,"●",""))</f>
        <v>●</v>
      </c>
      <c r="K9" s="47" t="n">
        <f aca="false">IF($A9="","",IF(AND(INDEX(工程マスタ!$I$5:$I$154,$A9)="○",$E9&gt;=K$3,$E9&lt;=K$3+6),"▼",IF(AND($E9&gt;=K$3,$E9&lt;=K$3+6),$A9,"")))</f>
        <v>3</v>
      </c>
      <c r="L9" s="47" t="str">
        <f aca="false">IF($A9="","",IF(AND(INDEX(工程マスタ!$I$5:$I$154,$A9)="○",$E9&gt;=L$3,$E9&lt;=L$3+6),"▼",IF(AND($E9&gt;=L$3,$E9&lt;=L$3+6),$A9,"")))</f>
        <v/>
      </c>
      <c r="M9" s="47" t="str">
        <f aca="false">IF($A9="","",IF(AND(INDEX(工程マスタ!$I$5:$I$154,$A9)="○",$E9&gt;=M$3,$E9&lt;=M$3+6),"▼",IF(AND($E9&gt;=M$3,$E9&lt;=M$3+6),$A9,"")))</f>
        <v/>
      </c>
      <c r="N9" s="47" t="str">
        <f aca="false">IF($A9="","",IF(AND(INDEX(工程マスタ!$I$5:$I$154,$A9)="○",$E9&gt;=N$3,$E9&lt;=N$3+6),"▼",IF(AND($E9&gt;=N$3,$E9&lt;=N$3+6),$A9,"")))</f>
        <v/>
      </c>
      <c r="O9" s="47" t="str">
        <f aca="false">IF($A9="","",IF(AND(INDEX(工程マスタ!$I$5:$I$154,$A9)="○",$E9&gt;=O$3,$E9&lt;=O$3+6),"▼",IF(AND($E9&gt;=O$3,$E9&lt;=O$3+6),$A9,"")))</f>
        <v/>
      </c>
      <c r="P9" s="47" t="str">
        <f aca="false">IF($A9="","",IF(AND(INDEX(工程マスタ!$I$5:$I$154,$A9)="○",$E9&gt;=P$3,$E9&lt;=P$3+6),"▼",IF(AND($E9&gt;=P$3,$E9&lt;=P$3+6),$A9,"")))</f>
        <v/>
      </c>
      <c r="Q9" s="47" t="str">
        <f aca="false">IF($A9="","",IF(AND(INDEX(工程マスタ!$I$5:$I$154,$A9)="○",$E9&gt;=Q$3,$E9&lt;=Q$3+6),"▼",IF(AND($E9&gt;=Q$3,$E9&lt;=Q$3+6),$A9,"")))</f>
        <v/>
      </c>
      <c r="R9" s="47" t="str">
        <f aca="false">IF($A9="","",IF(AND(INDEX(工程マスタ!$I$5:$I$154,$A9)="○",$E9&gt;=R$3,$E9&lt;=R$3+6),"▼",IF(AND($E9&gt;=R$3,$E9&lt;=R$3+6),$A9,"")))</f>
        <v/>
      </c>
      <c r="S9" s="47" t="str">
        <f aca="false">IF($A9="","",IF(AND(INDEX(工程マスタ!$I$5:$I$154,$A9)="○",$E9&gt;=S$3,$E9&lt;=S$3+6),"▼",IF(AND($E9&gt;=S$3,$E9&lt;=S$3+6),$A9,"")))</f>
        <v/>
      </c>
      <c r="T9" s="47" t="str">
        <f aca="false">IF($A9="","",IF(AND(INDEX(工程マスタ!$I$5:$I$154,$A9)="○",$E9&gt;=T$3,$E9&lt;=T$3+6),"▼",IF(AND($E9&gt;=T$3,$E9&lt;=T$3+6),$A9,"")))</f>
        <v/>
      </c>
      <c r="U9" s="47" t="str">
        <f aca="false">IF($A9="","",IF(AND(INDEX(工程マスタ!$I$5:$I$154,$A9)="○",$E9&gt;=U$3,$E9&lt;=U$3+6),"▼",IF(AND($E9&gt;=U$3,$E9&lt;=U$3+6),$A9,"")))</f>
        <v/>
      </c>
      <c r="V9" s="47" t="str">
        <f aca="false">IF($A9="","",IF(AND(INDEX(工程マスタ!$I$5:$I$154,$A9)="○",$E9&gt;=V$3,$E9&lt;=V$3+6),"▼",IF(AND($E9&gt;=V$3,$E9&lt;=V$3+6),$A9,"")))</f>
        <v/>
      </c>
      <c r="W9" s="47" t="str">
        <f aca="false">IF($A9="","",IF(AND(INDEX(工程マスタ!$I$5:$I$154,$A9)="○",$E9&gt;=W$3,$E9&lt;=W$3+6),"▼",IF(AND($E9&gt;=W$3,$E9&lt;=W$3+6),$A9,"")))</f>
        <v/>
      </c>
      <c r="X9" s="47" t="str">
        <f aca="false">IF($A9="","",IF(AND(INDEX(工程マスタ!$I$5:$I$154,$A9)="○",$E9&gt;=X$3,$E9&lt;=X$3+6),"▼",IF(AND($E9&gt;=X$3,$E9&lt;=X$3+6),$A9,"")))</f>
        <v/>
      </c>
      <c r="Y9" s="47" t="str">
        <f aca="false">IF($A9="","",IF(AND(INDEX(工程マスタ!$I$5:$I$154,$A9)="○",$E9&gt;=Y$3,$E9&lt;=Y$3+6),"▼",IF(AND($E9&gt;=Y$3,$E9&lt;=Y$3+6),$A9,"")))</f>
        <v/>
      </c>
      <c r="Z9" s="47" t="str">
        <f aca="false">IF($A9="","",IF(AND(INDEX(工程マスタ!$I$5:$I$154,$A9)="○",$E9&gt;=Z$3,$E9&lt;=Z$3+6),"▼",IF(AND($E9&gt;=Z$3,$E9&lt;=Z$3+6),$A9,"")))</f>
        <v/>
      </c>
      <c r="AA9" s="47" t="str">
        <f aca="false">IF($A9="","",IF(AND(INDEX(工程マスタ!$I$5:$I$154,$A9)="○",$E9&gt;=AA$3,$E9&lt;=AA$3+6),"▼",IF(AND($E9&gt;=AA$3,$E9&lt;=AA$3+6),$A9,"")))</f>
        <v/>
      </c>
      <c r="AB9" s="47" t="str">
        <f aca="false">IF($A9="","",IF(AND(INDEX(工程マスタ!$I$5:$I$154,$A9)="○",$E9&gt;=AB$3,$E9&lt;=AB$3+6),"▼",IF(AND($E9&gt;=AB$3,$E9&lt;=AB$3+6),$A9,"")))</f>
        <v/>
      </c>
      <c r="AC9" s="47" t="str">
        <f aca="false">IF($A9="","",IF(AND(INDEX(工程マスタ!$I$5:$I$154,$A9)="○",$E9&gt;=AC$3,$E9&lt;=AC$3+6),"▼",IF(AND($E9&gt;=AC$3,$E9&lt;=AC$3+6),$A9,"")))</f>
        <v/>
      </c>
      <c r="AD9" s="47" t="str">
        <f aca="false">IF($A9="","",IF(AND(INDEX(工程マスタ!$I$5:$I$154,$A9)="○",$E9&gt;=AD$3,$E9&lt;=AD$3+6),"▼",IF(AND($E9&gt;=AD$3,$E9&lt;=AD$3+6),$A9,"")))</f>
        <v/>
      </c>
      <c r="AE9" s="47" t="str">
        <f aca="false">IF($A9="","",IF(AND(INDEX(工程マスタ!$I$5:$I$154,$A9)="○",$E9&gt;=AE$3,$E9&lt;=AE$3+6),"▼",IF(AND($E9&gt;=AE$3,$E9&lt;=AE$3+6),$A9,"")))</f>
        <v/>
      </c>
      <c r="AF9" s="47" t="str">
        <f aca="false">IF($A9="","",IF(AND(INDEX(工程マスタ!$I$5:$I$154,$A9)="○",$E9&gt;=AF$3,$E9&lt;=AF$3+6),"▼",IF(AND($E9&gt;=AF$3,$E9&lt;=AF$3+6),$A9,"")))</f>
        <v/>
      </c>
      <c r="AG9" s="47" t="str">
        <f aca="false">IF($A9="","",IF(AND(INDEX(工程マスタ!$I$5:$I$154,$A9)="○",$E9&gt;=AG$3,$E9&lt;=AG$3+6),"▼",IF(AND($E9&gt;=AG$3,$E9&lt;=AG$3+6),$A9,"")))</f>
        <v/>
      </c>
      <c r="AH9" s="47" t="str">
        <f aca="false">IF($A9="","",IF(AND(INDEX(工程マスタ!$I$5:$I$154,$A9)="○",$E9&gt;=AH$3,$E9&lt;=AH$3+6),"▼",IF(AND($E9&gt;=AH$3,$E9&lt;=AH$3+6),$A9,"")))</f>
        <v/>
      </c>
      <c r="AI9" s="47" t="str">
        <f aca="false">IF($A9="","",IF(AND(INDEX(工程マスタ!$I$5:$I$154,$A9)="○",$E9&gt;=AI$3,$E9&lt;=AI$3+6),"▼",IF(AND($E9&gt;=AI$3,$E9&lt;=AI$3+6),$A9,"")))</f>
        <v/>
      </c>
      <c r="AJ9" s="47" t="str">
        <f aca="false">IF($A9="","",IF(AND(INDEX(工程マスタ!$I$5:$I$154,$A9)="○",$E9&gt;=AJ$3,$E9&lt;=AJ$3+6),"▼",IF(AND($E9&gt;=AJ$3,$E9&lt;=AJ$3+6),$A9,"")))</f>
        <v/>
      </c>
      <c r="AK9" s="47" t="str">
        <f aca="false">IF($A9="","",IF(AND(INDEX(工程マスタ!$I$5:$I$154,$A9)="○",$E9&gt;=AK$3,$E9&lt;=AK$3+6),"▼",IF(AND($E9&gt;=AK$3,$E9&lt;=AK$3+6),$A9,"")))</f>
        <v/>
      </c>
      <c r="AL9" s="47" t="str">
        <f aca="false">IF($A9="","",IF(AND(INDEX(工程マスタ!$I$5:$I$154,$A9)="○",$E9&gt;=AL$3,$E9&lt;=AL$3+6),"▼",IF(AND($E9&gt;=AL$3,$E9&lt;=AL$3+6),$A9,"")))</f>
        <v/>
      </c>
      <c r="AM9" s="47" t="str">
        <f aca="false">IF($A9="","",IF(AND(INDEX(工程マスタ!$I$5:$I$154,$A9)="○",$E9&gt;=AM$3,$E9&lt;=AM$3+6),"▼",IF(AND($E9&gt;=AM$3,$E9&lt;=AM$3+6),$A9,"")))</f>
        <v/>
      </c>
      <c r="AN9" s="47" t="str">
        <f aca="false">IF($A9="","",IF(AND(INDEX(工程マスタ!$I$5:$I$154,$A9)="○",$E9&gt;=AN$3,$E9&lt;=AN$3+6),"▼",IF(AND($E9&gt;=AN$3,$E9&lt;=AN$3+6),$A9,"")))</f>
        <v/>
      </c>
      <c r="AO9" s="47" t="str">
        <f aca="false">IF($A9="","",IF(AND(INDEX(工程マスタ!$I$5:$I$154,$A9)="○",$E9&gt;=AO$3,$E9&lt;=AO$3+6),"▼",IF(AND($E9&gt;=AO$3,$E9&lt;=AO$3+6),$A9,"")))</f>
        <v/>
      </c>
      <c r="AP9" s="47" t="str">
        <f aca="false">IF($A9="","",IF(AND(INDEX(工程マスタ!$I$5:$I$154,$A9)="○",$E9&gt;=AP$3,$E9&lt;=AP$3+6),"▼",IF(AND($E9&gt;=AP$3,$E9&lt;=AP$3+6),$A9,"")))</f>
        <v/>
      </c>
      <c r="AQ9" s="47" t="str">
        <f aca="false">IF($A9="","",IF(AND(INDEX(工程マスタ!$I$5:$I$154,$A9)="○",$E9&gt;=AQ$3,$E9&lt;=AQ$3+6),"▼",IF(AND($E9&gt;=AQ$3,$E9&lt;=AQ$3+6),$A9,"")))</f>
        <v/>
      </c>
      <c r="AR9" s="47" t="str">
        <f aca="false">IF($A9="","",IF(AND(INDEX(工程マスタ!$I$5:$I$154,$A9)="○",$E9&gt;=AR$3,$E9&lt;=AR$3+6),"▼",IF(AND($E9&gt;=AR$3,$E9&lt;=AR$3+6),$A9,"")))</f>
        <v/>
      </c>
      <c r="AS9" s="47" t="str">
        <f aca="false">IF($A9="","",IF(AND(INDEX(工程マスタ!$I$5:$I$154,$A9)="○",$E9&gt;=AS$3,$E9&lt;=AS$3+6),"▼",IF(AND($E9&gt;=AS$3,$E9&lt;=AS$3+6),$A9,"")))</f>
        <v/>
      </c>
      <c r="AT9" s="47" t="str">
        <f aca="false">IF($A9="","",IF(AND(INDEX(工程マスタ!$I$5:$I$154,$A9)="○",$E9&gt;=AT$3,$E9&lt;=AT$3+6),"▼",IF(AND($E9&gt;=AT$3,$E9&lt;=AT$3+6),$A9,"")))</f>
        <v/>
      </c>
      <c r="AU9" s="47" t="str">
        <f aca="false">IF($A9="","",IF(AND(INDEX(工程マスタ!$I$5:$I$154,$A9)="○",$E9&gt;=AU$3,$E9&lt;=AU$3+6),"▼",IF(AND($E9&gt;=AU$3,$E9&lt;=AU$3+6),$A9,"")))</f>
        <v/>
      </c>
      <c r="AV9" s="47" t="str">
        <f aca="false">IF($A9="","",IF(AND(INDEX(工程マスタ!$I$5:$I$154,$A9)="○",$E9&gt;=AV$3,$E9&lt;=AV$3+6),"▼",IF(AND($E9&gt;=AV$3,$E9&lt;=AV$3+6),$A9,"")))</f>
        <v/>
      </c>
      <c r="AW9" s="47" t="str">
        <f aca="false">IF($A9="","",IF(AND(INDEX(工程マスタ!$I$5:$I$154,$A9)="○",$E9&gt;=AW$3,$E9&lt;=AW$3+6),"▼",IF(AND($E9&gt;=AW$3,$E9&lt;=AW$3+6),$A9,"")))</f>
        <v/>
      </c>
      <c r="AX9" s="47" t="str">
        <f aca="false">IF($A9="","",IF(AND(INDEX(工程マスタ!$I$5:$I$154,$A9)="○",$E9&gt;=AX$3,$E9&lt;=AX$3+6),"▼",IF(AND($E9&gt;=AX$3,$E9&lt;=AX$3+6),$A9,"")))</f>
        <v/>
      </c>
      <c r="AY9" s="47" t="str">
        <f aca="false">IF($A9="","",IF(AND(INDEX(工程マスタ!$I$5:$I$154,$A9)="○",$E9&gt;=AY$3,$E9&lt;=AY$3+6),"▼",IF(AND($E9&gt;=AY$3,$E9&lt;=AY$3+6),$A9,"")))</f>
        <v/>
      </c>
      <c r="AZ9" s="47" t="str">
        <f aca="false">IF($A9="","",IF(AND(INDEX(工程マスタ!$I$5:$I$154,$A9)="○",$E9&gt;=AZ$3,$E9&lt;=AZ$3+6),"▼",IF(AND($E9&gt;=AZ$3,$E9&lt;=AZ$3+6),$A9,"")))</f>
        <v/>
      </c>
      <c r="BA9" s="47" t="str">
        <f aca="false">IF($A9="","",IF(AND(INDEX(工程マスタ!$I$5:$I$154,$A9)="○",$E9&gt;=BA$3,$E9&lt;=BA$3+6),"▼",IF(AND($E9&gt;=BA$3,$E9&lt;=BA$3+6),$A9,"")))</f>
        <v/>
      </c>
      <c r="BB9" s="47" t="str">
        <f aca="false">IF($A9="","",IF(AND(INDEX(工程マスタ!$I$5:$I$154,$A9)="○",$E9&gt;=BB$3,$E9&lt;=BB$3+6),"▼",IF(AND($E9&gt;=BB$3,$E9&lt;=BB$3+6),$A9,"")))</f>
        <v/>
      </c>
      <c r="BC9" s="47" t="str">
        <f aca="false">IF($A9="","",IF(AND(INDEX(工程マスタ!$I$5:$I$154,$A9)="○",$E9&gt;=BC$3,$E9&lt;=BC$3+6),"▼",IF(AND($E9&gt;=BC$3,$E9&lt;=BC$3+6),$A9,"")))</f>
        <v/>
      </c>
      <c r="BD9" s="47" t="str">
        <f aca="false">IF($A9="","",IF(AND(INDEX(工程マスタ!$I$5:$I$154,$A9)="○",$E9&gt;=BD$3,$E9&lt;=BD$3+6),"▼",IF(AND($E9&gt;=BD$3,$E9&lt;=BD$3+6),$A9,"")))</f>
        <v/>
      </c>
      <c r="BE9" s="47" t="str">
        <f aca="false">IF($A9="","",IF(AND(INDEX(工程マスタ!$I$5:$I$154,$A9)="○",$E9&gt;=BE$3,$E9&lt;=BE$3+6),"▼",IF(AND($E9&gt;=BE$3,$E9&lt;=BE$3+6),$A9,"")))</f>
        <v/>
      </c>
      <c r="BF9" s="47" t="str">
        <f aca="false">IF($A9="","",IF(AND(INDEX(工程マスタ!$I$5:$I$154,$A9)="○",$E9&gt;=BF$3,$E9&lt;=BF$3+6),"▼",IF(AND($E9&gt;=BF$3,$E9&lt;=BF$3+6),$A9,"")))</f>
        <v/>
      </c>
      <c r="BG9" s="47" t="str">
        <f aca="false">IF($A9="","",IF(AND(INDEX(工程マスタ!$I$5:$I$154,$A9)="○",$E9&gt;=BG$3,$E9&lt;=BG$3+6),"▼",IF(AND($E9&gt;=BG$3,$E9&lt;=BG$3+6),$A9,"")))</f>
        <v/>
      </c>
      <c r="BH9" s="47" t="str">
        <f aca="false">IF($A9="","",IF(AND(INDEX(工程マスタ!$I$5:$I$154,$A9)="○",$E9&gt;=BH$3,$E9&lt;=BH$3+6),"▼",IF(AND($E9&gt;=BH$3,$E9&lt;=BH$3+6),$A9,"")))</f>
        <v/>
      </c>
      <c r="BI9" s="47" t="str">
        <f aca="false">IF($A9="","",IF(AND(INDEX(工程マスタ!$I$5:$I$154,$A9)="○",$E9&gt;=BI$3,$E9&lt;=BI$3+6),"▼",IF(AND($E9&gt;=BI$3,$E9&lt;=BI$3+6),$A9,"")))</f>
        <v/>
      </c>
      <c r="BJ9" s="47" t="str">
        <f aca="false">IF($A9="","",IF(AND(INDEX(工程マスタ!$I$5:$I$154,$A9)="○",$E9&gt;=BJ$3,$E9&lt;=BJ$3+6),"▼",IF(AND($E9&gt;=BJ$3,$E9&lt;=BJ$3+6),$A9,"")))</f>
        <v/>
      </c>
    </row>
    <row r="10" customFormat="false" ht="15" hidden="false" customHeight="false" outlineLevel="0" collapsed="false">
      <c r="A10" s="28" t="n">
        <f aca="false">IF(工程マスタ!$C8="","",工程マスタ!$A8)</f>
        <v>4</v>
      </c>
      <c r="B10" s="46" t="str">
        <f aca="false">IF($A10="","",工程マスタ!$C8)</f>
        <v>現場事務所・休憩所設置</v>
      </c>
      <c r="C10" s="28" t="n">
        <f aca="false">IF($A10="","",MAX(1,工程マスタ!$G8))</f>
        <v>10</v>
      </c>
      <c r="D10" s="28" t="str">
        <f aca="false">IF($A10="","",_xlfn.TEXTJOIN(",",TRUE(),工程マスタ!$N8:$P8))</f>
        <v>3</v>
      </c>
      <c r="E10" s="29" t="n">
        <f aca="false">IF($A10="","",IF(COUNT(工程マスタ!$N8:$P8)=0,設定!$B$8,MAX(IF(工程マスタ!$N8="",0,INDEX($F$7:$F$156,工程マスタ!$N8)),IF(工程マスタ!$O8="",0,INDEX($F$7:$F$156,工程マスタ!$O8)),IF(工程マスタ!$P8="",0,INDEX($F$7:$F$156,工程マスタ!$P8)))+1))</f>
        <v>46215</v>
      </c>
      <c r="F10" s="29" t="n">
        <f aca="false">IF($A10="","",$E10+$C10-1)</f>
        <v>46224</v>
      </c>
      <c r="G10" s="29" t="n">
        <f aca="false">IF($A10="","",$H10-$C10+1)</f>
        <v>46215</v>
      </c>
      <c r="H10" s="29" t="n">
        <f aca="false" t="array" ref="H10:H10">IF($A10="","",IF(SUMPRODUCT((工程マスタ!$N$9:$N$154=$A10)*1)+SUMPRODUCT((工程マスタ!$O$9:$O$154=$A10)*1)+SUMPRODUCT((工程マスタ!$P$9:$P$154=$A10)*1)=0,MAX($F$7:$F$156),MIN(IF((工程マスタ!$N$9:$N$154=$A10)+(工程マスタ!$O$9:$O$154=$A10)+(工程マスタ!$P$9:$P$154=$A10),$G11:$G$156))-1))</f>
        <v>46224</v>
      </c>
      <c r="I10" s="28" t="n">
        <f aca="false">IF($A10="","",$G10-$E10)</f>
        <v>0</v>
      </c>
      <c r="J10" s="28" t="str">
        <f aca="false">IF($A10="","",IF($I10&lt;=0,"●",""))</f>
        <v>●</v>
      </c>
      <c r="K10" s="47" t="str">
        <f aca="false">IF($A10="","",IF(AND(INDEX(工程マスタ!$I$5:$I$154,$A10)="○",$E10&gt;=K$3,$E10&lt;=K$3+6),"▼",IF(AND($E10&gt;=K$3,$E10&lt;=K$3+6),$A10,"")))</f>
        <v/>
      </c>
      <c r="L10" s="47" t="n">
        <f aca="false">IF($A10="","",IF(AND(INDEX(工程マスタ!$I$5:$I$154,$A10)="○",$E10&gt;=L$3,$E10&lt;=L$3+6),"▼",IF(AND($E10&gt;=L$3,$E10&lt;=L$3+6),$A10,"")))</f>
        <v>4</v>
      </c>
      <c r="M10" s="47" t="str">
        <f aca="false">IF($A10="","",IF(AND(INDEX(工程マスタ!$I$5:$I$154,$A10)="○",$E10&gt;=M$3,$E10&lt;=M$3+6),"▼",IF(AND($E10&gt;=M$3,$E10&lt;=M$3+6),$A10,"")))</f>
        <v/>
      </c>
      <c r="N10" s="47" t="str">
        <f aca="false">IF($A10="","",IF(AND(INDEX(工程マスタ!$I$5:$I$154,$A10)="○",$E10&gt;=N$3,$E10&lt;=N$3+6),"▼",IF(AND($E10&gt;=N$3,$E10&lt;=N$3+6),$A10,"")))</f>
        <v/>
      </c>
      <c r="O10" s="47" t="str">
        <f aca="false">IF($A10="","",IF(AND(INDEX(工程マスタ!$I$5:$I$154,$A10)="○",$E10&gt;=O$3,$E10&lt;=O$3+6),"▼",IF(AND($E10&gt;=O$3,$E10&lt;=O$3+6),$A10,"")))</f>
        <v/>
      </c>
      <c r="P10" s="47" t="str">
        <f aca="false">IF($A10="","",IF(AND(INDEX(工程マスタ!$I$5:$I$154,$A10)="○",$E10&gt;=P$3,$E10&lt;=P$3+6),"▼",IF(AND($E10&gt;=P$3,$E10&lt;=P$3+6),$A10,"")))</f>
        <v/>
      </c>
      <c r="Q10" s="47" t="str">
        <f aca="false">IF($A10="","",IF(AND(INDEX(工程マスタ!$I$5:$I$154,$A10)="○",$E10&gt;=Q$3,$E10&lt;=Q$3+6),"▼",IF(AND($E10&gt;=Q$3,$E10&lt;=Q$3+6),$A10,"")))</f>
        <v/>
      </c>
      <c r="R10" s="47" t="str">
        <f aca="false">IF($A10="","",IF(AND(INDEX(工程マスタ!$I$5:$I$154,$A10)="○",$E10&gt;=R$3,$E10&lt;=R$3+6),"▼",IF(AND($E10&gt;=R$3,$E10&lt;=R$3+6),$A10,"")))</f>
        <v/>
      </c>
      <c r="S10" s="47" t="str">
        <f aca="false">IF($A10="","",IF(AND(INDEX(工程マスタ!$I$5:$I$154,$A10)="○",$E10&gt;=S$3,$E10&lt;=S$3+6),"▼",IF(AND($E10&gt;=S$3,$E10&lt;=S$3+6),$A10,"")))</f>
        <v/>
      </c>
      <c r="T10" s="47" t="str">
        <f aca="false">IF($A10="","",IF(AND(INDEX(工程マスタ!$I$5:$I$154,$A10)="○",$E10&gt;=T$3,$E10&lt;=T$3+6),"▼",IF(AND($E10&gt;=T$3,$E10&lt;=T$3+6),$A10,"")))</f>
        <v/>
      </c>
      <c r="U10" s="47" t="str">
        <f aca="false">IF($A10="","",IF(AND(INDEX(工程マスタ!$I$5:$I$154,$A10)="○",$E10&gt;=U$3,$E10&lt;=U$3+6),"▼",IF(AND($E10&gt;=U$3,$E10&lt;=U$3+6),$A10,"")))</f>
        <v/>
      </c>
      <c r="V10" s="47" t="str">
        <f aca="false">IF($A10="","",IF(AND(INDEX(工程マスタ!$I$5:$I$154,$A10)="○",$E10&gt;=V$3,$E10&lt;=V$3+6),"▼",IF(AND($E10&gt;=V$3,$E10&lt;=V$3+6),$A10,"")))</f>
        <v/>
      </c>
      <c r="W10" s="47" t="str">
        <f aca="false">IF($A10="","",IF(AND(INDEX(工程マスタ!$I$5:$I$154,$A10)="○",$E10&gt;=W$3,$E10&lt;=W$3+6),"▼",IF(AND($E10&gt;=W$3,$E10&lt;=W$3+6),$A10,"")))</f>
        <v/>
      </c>
      <c r="X10" s="47" t="str">
        <f aca="false">IF($A10="","",IF(AND(INDEX(工程マスタ!$I$5:$I$154,$A10)="○",$E10&gt;=X$3,$E10&lt;=X$3+6),"▼",IF(AND($E10&gt;=X$3,$E10&lt;=X$3+6),$A10,"")))</f>
        <v/>
      </c>
      <c r="Y10" s="47" t="str">
        <f aca="false">IF($A10="","",IF(AND(INDEX(工程マスタ!$I$5:$I$154,$A10)="○",$E10&gt;=Y$3,$E10&lt;=Y$3+6),"▼",IF(AND($E10&gt;=Y$3,$E10&lt;=Y$3+6),$A10,"")))</f>
        <v/>
      </c>
      <c r="Z10" s="47" t="str">
        <f aca="false">IF($A10="","",IF(AND(INDEX(工程マスタ!$I$5:$I$154,$A10)="○",$E10&gt;=Z$3,$E10&lt;=Z$3+6),"▼",IF(AND($E10&gt;=Z$3,$E10&lt;=Z$3+6),$A10,"")))</f>
        <v/>
      </c>
      <c r="AA10" s="47" t="str">
        <f aca="false">IF($A10="","",IF(AND(INDEX(工程マスタ!$I$5:$I$154,$A10)="○",$E10&gt;=AA$3,$E10&lt;=AA$3+6),"▼",IF(AND($E10&gt;=AA$3,$E10&lt;=AA$3+6),$A10,"")))</f>
        <v/>
      </c>
      <c r="AB10" s="47" t="str">
        <f aca="false">IF($A10="","",IF(AND(INDEX(工程マスタ!$I$5:$I$154,$A10)="○",$E10&gt;=AB$3,$E10&lt;=AB$3+6),"▼",IF(AND($E10&gt;=AB$3,$E10&lt;=AB$3+6),$A10,"")))</f>
        <v/>
      </c>
      <c r="AC10" s="47" t="str">
        <f aca="false">IF($A10="","",IF(AND(INDEX(工程マスタ!$I$5:$I$154,$A10)="○",$E10&gt;=AC$3,$E10&lt;=AC$3+6),"▼",IF(AND($E10&gt;=AC$3,$E10&lt;=AC$3+6),$A10,"")))</f>
        <v/>
      </c>
      <c r="AD10" s="47" t="str">
        <f aca="false">IF($A10="","",IF(AND(INDEX(工程マスタ!$I$5:$I$154,$A10)="○",$E10&gt;=AD$3,$E10&lt;=AD$3+6),"▼",IF(AND($E10&gt;=AD$3,$E10&lt;=AD$3+6),$A10,"")))</f>
        <v/>
      </c>
      <c r="AE10" s="47" t="str">
        <f aca="false">IF($A10="","",IF(AND(INDEX(工程マスタ!$I$5:$I$154,$A10)="○",$E10&gt;=AE$3,$E10&lt;=AE$3+6),"▼",IF(AND($E10&gt;=AE$3,$E10&lt;=AE$3+6),$A10,"")))</f>
        <v/>
      </c>
      <c r="AF10" s="47" t="str">
        <f aca="false">IF($A10="","",IF(AND(INDEX(工程マスタ!$I$5:$I$154,$A10)="○",$E10&gt;=AF$3,$E10&lt;=AF$3+6),"▼",IF(AND($E10&gt;=AF$3,$E10&lt;=AF$3+6),$A10,"")))</f>
        <v/>
      </c>
      <c r="AG10" s="47" t="str">
        <f aca="false">IF($A10="","",IF(AND(INDEX(工程マスタ!$I$5:$I$154,$A10)="○",$E10&gt;=AG$3,$E10&lt;=AG$3+6),"▼",IF(AND($E10&gt;=AG$3,$E10&lt;=AG$3+6),$A10,"")))</f>
        <v/>
      </c>
      <c r="AH10" s="47" t="str">
        <f aca="false">IF($A10="","",IF(AND(INDEX(工程マスタ!$I$5:$I$154,$A10)="○",$E10&gt;=AH$3,$E10&lt;=AH$3+6),"▼",IF(AND($E10&gt;=AH$3,$E10&lt;=AH$3+6),$A10,"")))</f>
        <v/>
      </c>
      <c r="AI10" s="47" t="str">
        <f aca="false">IF($A10="","",IF(AND(INDEX(工程マスタ!$I$5:$I$154,$A10)="○",$E10&gt;=AI$3,$E10&lt;=AI$3+6),"▼",IF(AND($E10&gt;=AI$3,$E10&lt;=AI$3+6),$A10,"")))</f>
        <v/>
      </c>
      <c r="AJ10" s="47" t="str">
        <f aca="false">IF($A10="","",IF(AND(INDEX(工程マスタ!$I$5:$I$154,$A10)="○",$E10&gt;=AJ$3,$E10&lt;=AJ$3+6),"▼",IF(AND($E10&gt;=AJ$3,$E10&lt;=AJ$3+6),$A10,"")))</f>
        <v/>
      </c>
      <c r="AK10" s="47" t="str">
        <f aca="false">IF($A10="","",IF(AND(INDEX(工程マスタ!$I$5:$I$154,$A10)="○",$E10&gt;=AK$3,$E10&lt;=AK$3+6),"▼",IF(AND($E10&gt;=AK$3,$E10&lt;=AK$3+6),$A10,"")))</f>
        <v/>
      </c>
      <c r="AL10" s="47" t="str">
        <f aca="false">IF($A10="","",IF(AND(INDEX(工程マスタ!$I$5:$I$154,$A10)="○",$E10&gt;=AL$3,$E10&lt;=AL$3+6),"▼",IF(AND($E10&gt;=AL$3,$E10&lt;=AL$3+6),$A10,"")))</f>
        <v/>
      </c>
      <c r="AM10" s="47" t="str">
        <f aca="false">IF($A10="","",IF(AND(INDEX(工程マスタ!$I$5:$I$154,$A10)="○",$E10&gt;=AM$3,$E10&lt;=AM$3+6),"▼",IF(AND($E10&gt;=AM$3,$E10&lt;=AM$3+6),$A10,"")))</f>
        <v/>
      </c>
      <c r="AN10" s="47" t="str">
        <f aca="false">IF($A10="","",IF(AND(INDEX(工程マスタ!$I$5:$I$154,$A10)="○",$E10&gt;=AN$3,$E10&lt;=AN$3+6),"▼",IF(AND($E10&gt;=AN$3,$E10&lt;=AN$3+6),$A10,"")))</f>
        <v/>
      </c>
      <c r="AO10" s="47" t="str">
        <f aca="false">IF($A10="","",IF(AND(INDEX(工程マスタ!$I$5:$I$154,$A10)="○",$E10&gt;=AO$3,$E10&lt;=AO$3+6),"▼",IF(AND($E10&gt;=AO$3,$E10&lt;=AO$3+6),$A10,"")))</f>
        <v/>
      </c>
      <c r="AP10" s="47" t="str">
        <f aca="false">IF($A10="","",IF(AND(INDEX(工程マスタ!$I$5:$I$154,$A10)="○",$E10&gt;=AP$3,$E10&lt;=AP$3+6),"▼",IF(AND($E10&gt;=AP$3,$E10&lt;=AP$3+6),$A10,"")))</f>
        <v/>
      </c>
      <c r="AQ10" s="47" t="str">
        <f aca="false">IF($A10="","",IF(AND(INDEX(工程マスタ!$I$5:$I$154,$A10)="○",$E10&gt;=AQ$3,$E10&lt;=AQ$3+6),"▼",IF(AND($E10&gt;=AQ$3,$E10&lt;=AQ$3+6),$A10,"")))</f>
        <v/>
      </c>
      <c r="AR10" s="47" t="str">
        <f aca="false">IF($A10="","",IF(AND(INDEX(工程マスタ!$I$5:$I$154,$A10)="○",$E10&gt;=AR$3,$E10&lt;=AR$3+6),"▼",IF(AND($E10&gt;=AR$3,$E10&lt;=AR$3+6),$A10,"")))</f>
        <v/>
      </c>
      <c r="AS10" s="47" t="str">
        <f aca="false">IF($A10="","",IF(AND(INDEX(工程マスタ!$I$5:$I$154,$A10)="○",$E10&gt;=AS$3,$E10&lt;=AS$3+6),"▼",IF(AND($E10&gt;=AS$3,$E10&lt;=AS$3+6),$A10,"")))</f>
        <v/>
      </c>
      <c r="AT10" s="47" t="str">
        <f aca="false">IF($A10="","",IF(AND(INDEX(工程マスタ!$I$5:$I$154,$A10)="○",$E10&gt;=AT$3,$E10&lt;=AT$3+6),"▼",IF(AND($E10&gt;=AT$3,$E10&lt;=AT$3+6),$A10,"")))</f>
        <v/>
      </c>
      <c r="AU10" s="47" t="str">
        <f aca="false">IF($A10="","",IF(AND(INDEX(工程マスタ!$I$5:$I$154,$A10)="○",$E10&gt;=AU$3,$E10&lt;=AU$3+6),"▼",IF(AND($E10&gt;=AU$3,$E10&lt;=AU$3+6),$A10,"")))</f>
        <v/>
      </c>
      <c r="AV10" s="47" t="str">
        <f aca="false">IF($A10="","",IF(AND(INDEX(工程マスタ!$I$5:$I$154,$A10)="○",$E10&gt;=AV$3,$E10&lt;=AV$3+6),"▼",IF(AND($E10&gt;=AV$3,$E10&lt;=AV$3+6),$A10,"")))</f>
        <v/>
      </c>
      <c r="AW10" s="47" t="str">
        <f aca="false">IF($A10="","",IF(AND(INDEX(工程マスタ!$I$5:$I$154,$A10)="○",$E10&gt;=AW$3,$E10&lt;=AW$3+6),"▼",IF(AND($E10&gt;=AW$3,$E10&lt;=AW$3+6),$A10,"")))</f>
        <v/>
      </c>
      <c r="AX10" s="47" t="str">
        <f aca="false">IF($A10="","",IF(AND(INDEX(工程マスタ!$I$5:$I$154,$A10)="○",$E10&gt;=AX$3,$E10&lt;=AX$3+6),"▼",IF(AND($E10&gt;=AX$3,$E10&lt;=AX$3+6),$A10,"")))</f>
        <v/>
      </c>
      <c r="AY10" s="47" t="str">
        <f aca="false">IF($A10="","",IF(AND(INDEX(工程マスタ!$I$5:$I$154,$A10)="○",$E10&gt;=AY$3,$E10&lt;=AY$3+6),"▼",IF(AND($E10&gt;=AY$3,$E10&lt;=AY$3+6),$A10,"")))</f>
        <v/>
      </c>
      <c r="AZ10" s="47" t="str">
        <f aca="false">IF($A10="","",IF(AND(INDEX(工程マスタ!$I$5:$I$154,$A10)="○",$E10&gt;=AZ$3,$E10&lt;=AZ$3+6),"▼",IF(AND($E10&gt;=AZ$3,$E10&lt;=AZ$3+6),$A10,"")))</f>
        <v/>
      </c>
      <c r="BA10" s="47" t="str">
        <f aca="false">IF($A10="","",IF(AND(INDEX(工程マスタ!$I$5:$I$154,$A10)="○",$E10&gt;=BA$3,$E10&lt;=BA$3+6),"▼",IF(AND($E10&gt;=BA$3,$E10&lt;=BA$3+6),$A10,"")))</f>
        <v/>
      </c>
      <c r="BB10" s="47" t="str">
        <f aca="false">IF($A10="","",IF(AND(INDEX(工程マスタ!$I$5:$I$154,$A10)="○",$E10&gt;=BB$3,$E10&lt;=BB$3+6),"▼",IF(AND($E10&gt;=BB$3,$E10&lt;=BB$3+6),$A10,"")))</f>
        <v/>
      </c>
      <c r="BC10" s="47" t="str">
        <f aca="false">IF($A10="","",IF(AND(INDEX(工程マスタ!$I$5:$I$154,$A10)="○",$E10&gt;=BC$3,$E10&lt;=BC$3+6),"▼",IF(AND($E10&gt;=BC$3,$E10&lt;=BC$3+6),$A10,"")))</f>
        <v/>
      </c>
      <c r="BD10" s="47" t="str">
        <f aca="false">IF($A10="","",IF(AND(INDEX(工程マスタ!$I$5:$I$154,$A10)="○",$E10&gt;=BD$3,$E10&lt;=BD$3+6),"▼",IF(AND($E10&gt;=BD$3,$E10&lt;=BD$3+6),$A10,"")))</f>
        <v/>
      </c>
      <c r="BE10" s="47" t="str">
        <f aca="false">IF($A10="","",IF(AND(INDEX(工程マスタ!$I$5:$I$154,$A10)="○",$E10&gt;=BE$3,$E10&lt;=BE$3+6),"▼",IF(AND($E10&gt;=BE$3,$E10&lt;=BE$3+6),$A10,"")))</f>
        <v/>
      </c>
      <c r="BF10" s="47" t="str">
        <f aca="false">IF($A10="","",IF(AND(INDEX(工程マスタ!$I$5:$I$154,$A10)="○",$E10&gt;=BF$3,$E10&lt;=BF$3+6),"▼",IF(AND($E10&gt;=BF$3,$E10&lt;=BF$3+6),$A10,"")))</f>
        <v/>
      </c>
      <c r="BG10" s="47" t="str">
        <f aca="false">IF($A10="","",IF(AND(INDEX(工程マスタ!$I$5:$I$154,$A10)="○",$E10&gt;=BG$3,$E10&lt;=BG$3+6),"▼",IF(AND($E10&gt;=BG$3,$E10&lt;=BG$3+6),$A10,"")))</f>
        <v/>
      </c>
      <c r="BH10" s="47" t="str">
        <f aca="false">IF($A10="","",IF(AND(INDEX(工程マスタ!$I$5:$I$154,$A10)="○",$E10&gt;=BH$3,$E10&lt;=BH$3+6),"▼",IF(AND($E10&gt;=BH$3,$E10&lt;=BH$3+6),$A10,"")))</f>
        <v/>
      </c>
      <c r="BI10" s="47" t="str">
        <f aca="false">IF($A10="","",IF(AND(INDEX(工程マスタ!$I$5:$I$154,$A10)="○",$E10&gt;=BI$3,$E10&lt;=BI$3+6),"▼",IF(AND($E10&gt;=BI$3,$E10&lt;=BI$3+6),$A10,"")))</f>
        <v/>
      </c>
      <c r="BJ10" s="47" t="str">
        <f aca="false">IF($A10="","",IF(AND(INDEX(工程マスタ!$I$5:$I$154,$A10)="○",$E10&gt;=BJ$3,$E10&lt;=BJ$3+6),"▼",IF(AND($E10&gt;=BJ$3,$E10&lt;=BJ$3+6),$A10,"")))</f>
        <v/>
      </c>
    </row>
    <row r="11" customFormat="false" ht="15" hidden="false" customHeight="false" outlineLevel="0" collapsed="false">
      <c r="A11" s="28" t="n">
        <f aca="false">IF(工程マスタ!$C9="","",工程マスタ!$A9)</f>
        <v>5</v>
      </c>
      <c r="B11" s="46" t="str">
        <f aca="false">IF($A11="","",工程マスタ!$C9)</f>
        <v>仮設電気・給排水引込み</v>
      </c>
      <c r="C11" s="28" t="n">
        <f aca="false">IF($A11="","",MAX(1,工程マスタ!$G9))</f>
        <v>10</v>
      </c>
      <c r="D11" s="28" t="str">
        <f aca="false">IF($A11="","",_xlfn.TEXTJOIN(",",TRUE(),工程マスタ!$N9:$P9))</f>
        <v>4</v>
      </c>
      <c r="E11" s="29" t="n">
        <f aca="false">IF($A11="","",IF(COUNT(工程マスタ!$N9:$P9)=0,設定!$B$8,MAX(IF(工程マスタ!$N9="",0,INDEX($F$7:$F$156,工程マスタ!$N9)),IF(工程マスタ!$O9="",0,INDEX($F$7:$F$156,工程マスタ!$O9)),IF(工程マスタ!$P9="",0,INDEX($F$7:$F$156,工程マスタ!$P9)))+1))</f>
        <v>46225</v>
      </c>
      <c r="F11" s="29" t="n">
        <f aca="false">IF($A11="","",$E11+$C11-1)</f>
        <v>46234</v>
      </c>
      <c r="G11" s="29" t="n">
        <f aca="false">IF($A11="","",$H11-$C11+1)</f>
        <v>46225</v>
      </c>
      <c r="H11" s="29" t="n">
        <f aca="false" t="array" ref="H11:H11">IF($A11="","",IF(SUMPRODUCT((工程マスタ!$N$10:$N$154=$A11)*1)+SUMPRODUCT((工程マスタ!$O$10:$O$154=$A11)*1)+SUMPRODUCT((工程マスタ!$P$10:$P$154=$A11)*1)=0,MAX($F$7:$F$156),MIN(IF((工程マスタ!$N$10:$N$154=$A11)+(工程マスタ!$O$10:$O$154=$A11)+(工程マスタ!$P$10:$P$154=$A11),$G12:$G$156))-1))</f>
        <v>46234</v>
      </c>
      <c r="I11" s="28" t="n">
        <f aca="false">IF($A11="","",$G11-$E11)</f>
        <v>0</v>
      </c>
      <c r="J11" s="28" t="str">
        <f aca="false">IF($A11="","",IF($I11&lt;=0,"●",""))</f>
        <v>●</v>
      </c>
      <c r="K11" s="47" t="str">
        <f aca="false">IF($A11="","",IF(AND(INDEX(工程マスタ!$I$5:$I$154,$A11)="○",$E11&gt;=K$3,$E11&lt;=K$3+6),"▼",IF(AND($E11&gt;=K$3,$E11&lt;=K$3+6),$A11,"")))</f>
        <v/>
      </c>
      <c r="L11" s="47" t="str">
        <f aca="false">IF($A11="","",IF(AND(INDEX(工程マスタ!$I$5:$I$154,$A11)="○",$E11&gt;=L$3,$E11&lt;=L$3+6),"▼",IF(AND($E11&gt;=L$3,$E11&lt;=L$3+6),$A11,"")))</f>
        <v/>
      </c>
      <c r="M11" s="47" t="str">
        <f aca="false">IF($A11="","",IF(AND(INDEX(工程マスタ!$I$5:$I$154,$A11)="○",$E11&gt;=M$3,$E11&lt;=M$3+6),"▼",IF(AND($E11&gt;=M$3,$E11&lt;=M$3+6),$A11,"")))</f>
        <v/>
      </c>
      <c r="N11" s="47" t="n">
        <f aca="false">IF($A11="","",IF(AND(INDEX(工程マスタ!$I$5:$I$154,$A11)="○",$E11&gt;=N$3,$E11&lt;=N$3+6),"▼",IF(AND($E11&gt;=N$3,$E11&lt;=N$3+6),$A11,"")))</f>
        <v>5</v>
      </c>
      <c r="O11" s="47" t="str">
        <f aca="false">IF($A11="","",IF(AND(INDEX(工程マスタ!$I$5:$I$154,$A11)="○",$E11&gt;=O$3,$E11&lt;=O$3+6),"▼",IF(AND($E11&gt;=O$3,$E11&lt;=O$3+6),$A11,"")))</f>
        <v/>
      </c>
      <c r="P11" s="47" t="str">
        <f aca="false">IF($A11="","",IF(AND(INDEX(工程マスタ!$I$5:$I$154,$A11)="○",$E11&gt;=P$3,$E11&lt;=P$3+6),"▼",IF(AND($E11&gt;=P$3,$E11&lt;=P$3+6),$A11,"")))</f>
        <v/>
      </c>
      <c r="Q11" s="47" t="str">
        <f aca="false">IF($A11="","",IF(AND(INDEX(工程マスタ!$I$5:$I$154,$A11)="○",$E11&gt;=Q$3,$E11&lt;=Q$3+6),"▼",IF(AND($E11&gt;=Q$3,$E11&lt;=Q$3+6),$A11,"")))</f>
        <v/>
      </c>
      <c r="R11" s="47" t="str">
        <f aca="false">IF($A11="","",IF(AND(INDEX(工程マスタ!$I$5:$I$154,$A11)="○",$E11&gt;=R$3,$E11&lt;=R$3+6),"▼",IF(AND($E11&gt;=R$3,$E11&lt;=R$3+6),$A11,"")))</f>
        <v/>
      </c>
      <c r="S11" s="47" t="str">
        <f aca="false">IF($A11="","",IF(AND(INDEX(工程マスタ!$I$5:$I$154,$A11)="○",$E11&gt;=S$3,$E11&lt;=S$3+6),"▼",IF(AND($E11&gt;=S$3,$E11&lt;=S$3+6),$A11,"")))</f>
        <v/>
      </c>
      <c r="T11" s="47" t="str">
        <f aca="false">IF($A11="","",IF(AND(INDEX(工程マスタ!$I$5:$I$154,$A11)="○",$E11&gt;=T$3,$E11&lt;=T$3+6),"▼",IF(AND($E11&gt;=T$3,$E11&lt;=T$3+6),$A11,"")))</f>
        <v/>
      </c>
      <c r="U11" s="47" t="str">
        <f aca="false">IF($A11="","",IF(AND(INDEX(工程マスタ!$I$5:$I$154,$A11)="○",$E11&gt;=U$3,$E11&lt;=U$3+6),"▼",IF(AND($E11&gt;=U$3,$E11&lt;=U$3+6),$A11,"")))</f>
        <v/>
      </c>
      <c r="V11" s="47" t="str">
        <f aca="false">IF($A11="","",IF(AND(INDEX(工程マスタ!$I$5:$I$154,$A11)="○",$E11&gt;=V$3,$E11&lt;=V$3+6),"▼",IF(AND($E11&gt;=V$3,$E11&lt;=V$3+6),$A11,"")))</f>
        <v/>
      </c>
      <c r="W11" s="47" t="str">
        <f aca="false">IF($A11="","",IF(AND(INDEX(工程マスタ!$I$5:$I$154,$A11)="○",$E11&gt;=W$3,$E11&lt;=W$3+6),"▼",IF(AND($E11&gt;=W$3,$E11&lt;=W$3+6),$A11,"")))</f>
        <v/>
      </c>
      <c r="X11" s="47" t="str">
        <f aca="false">IF($A11="","",IF(AND(INDEX(工程マスタ!$I$5:$I$154,$A11)="○",$E11&gt;=X$3,$E11&lt;=X$3+6),"▼",IF(AND($E11&gt;=X$3,$E11&lt;=X$3+6),$A11,"")))</f>
        <v/>
      </c>
      <c r="Y11" s="47" t="str">
        <f aca="false">IF($A11="","",IF(AND(INDEX(工程マスタ!$I$5:$I$154,$A11)="○",$E11&gt;=Y$3,$E11&lt;=Y$3+6),"▼",IF(AND($E11&gt;=Y$3,$E11&lt;=Y$3+6),$A11,"")))</f>
        <v/>
      </c>
      <c r="Z11" s="47" t="str">
        <f aca="false">IF($A11="","",IF(AND(INDEX(工程マスタ!$I$5:$I$154,$A11)="○",$E11&gt;=Z$3,$E11&lt;=Z$3+6),"▼",IF(AND($E11&gt;=Z$3,$E11&lt;=Z$3+6),$A11,"")))</f>
        <v/>
      </c>
      <c r="AA11" s="47" t="str">
        <f aca="false">IF($A11="","",IF(AND(INDEX(工程マスタ!$I$5:$I$154,$A11)="○",$E11&gt;=AA$3,$E11&lt;=AA$3+6),"▼",IF(AND($E11&gt;=AA$3,$E11&lt;=AA$3+6),$A11,"")))</f>
        <v/>
      </c>
      <c r="AB11" s="47" t="str">
        <f aca="false">IF($A11="","",IF(AND(INDEX(工程マスタ!$I$5:$I$154,$A11)="○",$E11&gt;=AB$3,$E11&lt;=AB$3+6),"▼",IF(AND($E11&gt;=AB$3,$E11&lt;=AB$3+6),$A11,"")))</f>
        <v/>
      </c>
      <c r="AC11" s="47" t="str">
        <f aca="false">IF($A11="","",IF(AND(INDEX(工程マスタ!$I$5:$I$154,$A11)="○",$E11&gt;=AC$3,$E11&lt;=AC$3+6),"▼",IF(AND($E11&gt;=AC$3,$E11&lt;=AC$3+6),$A11,"")))</f>
        <v/>
      </c>
      <c r="AD11" s="47" t="str">
        <f aca="false">IF($A11="","",IF(AND(INDEX(工程マスタ!$I$5:$I$154,$A11)="○",$E11&gt;=AD$3,$E11&lt;=AD$3+6),"▼",IF(AND($E11&gt;=AD$3,$E11&lt;=AD$3+6),$A11,"")))</f>
        <v/>
      </c>
      <c r="AE11" s="47" t="str">
        <f aca="false">IF($A11="","",IF(AND(INDEX(工程マスタ!$I$5:$I$154,$A11)="○",$E11&gt;=AE$3,$E11&lt;=AE$3+6),"▼",IF(AND($E11&gt;=AE$3,$E11&lt;=AE$3+6),$A11,"")))</f>
        <v/>
      </c>
      <c r="AF11" s="47" t="str">
        <f aca="false">IF($A11="","",IF(AND(INDEX(工程マスタ!$I$5:$I$154,$A11)="○",$E11&gt;=AF$3,$E11&lt;=AF$3+6),"▼",IF(AND($E11&gt;=AF$3,$E11&lt;=AF$3+6),$A11,"")))</f>
        <v/>
      </c>
      <c r="AG11" s="47" t="str">
        <f aca="false">IF($A11="","",IF(AND(INDEX(工程マスタ!$I$5:$I$154,$A11)="○",$E11&gt;=AG$3,$E11&lt;=AG$3+6),"▼",IF(AND($E11&gt;=AG$3,$E11&lt;=AG$3+6),$A11,"")))</f>
        <v/>
      </c>
      <c r="AH11" s="47" t="str">
        <f aca="false">IF($A11="","",IF(AND(INDEX(工程マスタ!$I$5:$I$154,$A11)="○",$E11&gt;=AH$3,$E11&lt;=AH$3+6),"▼",IF(AND($E11&gt;=AH$3,$E11&lt;=AH$3+6),$A11,"")))</f>
        <v/>
      </c>
      <c r="AI11" s="47" t="str">
        <f aca="false">IF($A11="","",IF(AND(INDEX(工程マスタ!$I$5:$I$154,$A11)="○",$E11&gt;=AI$3,$E11&lt;=AI$3+6),"▼",IF(AND($E11&gt;=AI$3,$E11&lt;=AI$3+6),$A11,"")))</f>
        <v/>
      </c>
      <c r="AJ11" s="47" t="str">
        <f aca="false">IF($A11="","",IF(AND(INDEX(工程マスタ!$I$5:$I$154,$A11)="○",$E11&gt;=AJ$3,$E11&lt;=AJ$3+6),"▼",IF(AND($E11&gt;=AJ$3,$E11&lt;=AJ$3+6),$A11,"")))</f>
        <v/>
      </c>
      <c r="AK11" s="47" t="str">
        <f aca="false">IF($A11="","",IF(AND(INDEX(工程マスタ!$I$5:$I$154,$A11)="○",$E11&gt;=AK$3,$E11&lt;=AK$3+6),"▼",IF(AND($E11&gt;=AK$3,$E11&lt;=AK$3+6),$A11,"")))</f>
        <v/>
      </c>
      <c r="AL11" s="47" t="str">
        <f aca="false">IF($A11="","",IF(AND(INDEX(工程マスタ!$I$5:$I$154,$A11)="○",$E11&gt;=AL$3,$E11&lt;=AL$3+6),"▼",IF(AND($E11&gt;=AL$3,$E11&lt;=AL$3+6),$A11,"")))</f>
        <v/>
      </c>
      <c r="AM11" s="47" t="str">
        <f aca="false">IF($A11="","",IF(AND(INDEX(工程マスタ!$I$5:$I$154,$A11)="○",$E11&gt;=AM$3,$E11&lt;=AM$3+6),"▼",IF(AND($E11&gt;=AM$3,$E11&lt;=AM$3+6),$A11,"")))</f>
        <v/>
      </c>
      <c r="AN11" s="47" t="str">
        <f aca="false">IF($A11="","",IF(AND(INDEX(工程マスタ!$I$5:$I$154,$A11)="○",$E11&gt;=AN$3,$E11&lt;=AN$3+6),"▼",IF(AND($E11&gt;=AN$3,$E11&lt;=AN$3+6),$A11,"")))</f>
        <v/>
      </c>
      <c r="AO11" s="47" t="str">
        <f aca="false">IF($A11="","",IF(AND(INDEX(工程マスタ!$I$5:$I$154,$A11)="○",$E11&gt;=AO$3,$E11&lt;=AO$3+6),"▼",IF(AND($E11&gt;=AO$3,$E11&lt;=AO$3+6),$A11,"")))</f>
        <v/>
      </c>
      <c r="AP11" s="47" t="str">
        <f aca="false">IF($A11="","",IF(AND(INDEX(工程マスタ!$I$5:$I$154,$A11)="○",$E11&gt;=AP$3,$E11&lt;=AP$3+6),"▼",IF(AND($E11&gt;=AP$3,$E11&lt;=AP$3+6),$A11,"")))</f>
        <v/>
      </c>
      <c r="AQ11" s="47" t="str">
        <f aca="false">IF($A11="","",IF(AND(INDEX(工程マスタ!$I$5:$I$154,$A11)="○",$E11&gt;=AQ$3,$E11&lt;=AQ$3+6),"▼",IF(AND($E11&gt;=AQ$3,$E11&lt;=AQ$3+6),$A11,"")))</f>
        <v/>
      </c>
      <c r="AR11" s="47" t="str">
        <f aca="false">IF($A11="","",IF(AND(INDEX(工程マスタ!$I$5:$I$154,$A11)="○",$E11&gt;=AR$3,$E11&lt;=AR$3+6),"▼",IF(AND($E11&gt;=AR$3,$E11&lt;=AR$3+6),$A11,"")))</f>
        <v/>
      </c>
      <c r="AS11" s="47" t="str">
        <f aca="false">IF($A11="","",IF(AND(INDEX(工程マスタ!$I$5:$I$154,$A11)="○",$E11&gt;=AS$3,$E11&lt;=AS$3+6),"▼",IF(AND($E11&gt;=AS$3,$E11&lt;=AS$3+6),$A11,"")))</f>
        <v/>
      </c>
      <c r="AT11" s="47" t="str">
        <f aca="false">IF($A11="","",IF(AND(INDEX(工程マスタ!$I$5:$I$154,$A11)="○",$E11&gt;=AT$3,$E11&lt;=AT$3+6),"▼",IF(AND($E11&gt;=AT$3,$E11&lt;=AT$3+6),$A11,"")))</f>
        <v/>
      </c>
      <c r="AU11" s="47" t="str">
        <f aca="false">IF($A11="","",IF(AND(INDEX(工程マスタ!$I$5:$I$154,$A11)="○",$E11&gt;=AU$3,$E11&lt;=AU$3+6),"▼",IF(AND($E11&gt;=AU$3,$E11&lt;=AU$3+6),$A11,"")))</f>
        <v/>
      </c>
      <c r="AV11" s="47" t="str">
        <f aca="false">IF($A11="","",IF(AND(INDEX(工程マスタ!$I$5:$I$154,$A11)="○",$E11&gt;=AV$3,$E11&lt;=AV$3+6),"▼",IF(AND($E11&gt;=AV$3,$E11&lt;=AV$3+6),$A11,"")))</f>
        <v/>
      </c>
      <c r="AW11" s="47" t="str">
        <f aca="false">IF($A11="","",IF(AND(INDEX(工程マスタ!$I$5:$I$154,$A11)="○",$E11&gt;=AW$3,$E11&lt;=AW$3+6),"▼",IF(AND($E11&gt;=AW$3,$E11&lt;=AW$3+6),$A11,"")))</f>
        <v/>
      </c>
      <c r="AX11" s="47" t="str">
        <f aca="false">IF($A11="","",IF(AND(INDEX(工程マスタ!$I$5:$I$154,$A11)="○",$E11&gt;=AX$3,$E11&lt;=AX$3+6),"▼",IF(AND($E11&gt;=AX$3,$E11&lt;=AX$3+6),$A11,"")))</f>
        <v/>
      </c>
      <c r="AY11" s="47" t="str">
        <f aca="false">IF($A11="","",IF(AND(INDEX(工程マスタ!$I$5:$I$154,$A11)="○",$E11&gt;=AY$3,$E11&lt;=AY$3+6),"▼",IF(AND($E11&gt;=AY$3,$E11&lt;=AY$3+6),$A11,"")))</f>
        <v/>
      </c>
      <c r="AZ11" s="47" t="str">
        <f aca="false">IF($A11="","",IF(AND(INDEX(工程マスタ!$I$5:$I$154,$A11)="○",$E11&gt;=AZ$3,$E11&lt;=AZ$3+6),"▼",IF(AND($E11&gt;=AZ$3,$E11&lt;=AZ$3+6),$A11,"")))</f>
        <v/>
      </c>
      <c r="BA11" s="47" t="str">
        <f aca="false">IF($A11="","",IF(AND(INDEX(工程マスタ!$I$5:$I$154,$A11)="○",$E11&gt;=BA$3,$E11&lt;=BA$3+6),"▼",IF(AND($E11&gt;=BA$3,$E11&lt;=BA$3+6),$A11,"")))</f>
        <v/>
      </c>
      <c r="BB11" s="47" t="str">
        <f aca="false">IF($A11="","",IF(AND(INDEX(工程マスタ!$I$5:$I$154,$A11)="○",$E11&gt;=BB$3,$E11&lt;=BB$3+6),"▼",IF(AND($E11&gt;=BB$3,$E11&lt;=BB$3+6),$A11,"")))</f>
        <v/>
      </c>
      <c r="BC11" s="47" t="str">
        <f aca="false">IF($A11="","",IF(AND(INDEX(工程マスタ!$I$5:$I$154,$A11)="○",$E11&gt;=BC$3,$E11&lt;=BC$3+6),"▼",IF(AND($E11&gt;=BC$3,$E11&lt;=BC$3+6),$A11,"")))</f>
        <v/>
      </c>
      <c r="BD11" s="47" t="str">
        <f aca="false">IF($A11="","",IF(AND(INDEX(工程マスタ!$I$5:$I$154,$A11)="○",$E11&gt;=BD$3,$E11&lt;=BD$3+6),"▼",IF(AND($E11&gt;=BD$3,$E11&lt;=BD$3+6),$A11,"")))</f>
        <v/>
      </c>
      <c r="BE11" s="47" t="str">
        <f aca="false">IF($A11="","",IF(AND(INDEX(工程マスタ!$I$5:$I$154,$A11)="○",$E11&gt;=BE$3,$E11&lt;=BE$3+6),"▼",IF(AND($E11&gt;=BE$3,$E11&lt;=BE$3+6),$A11,"")))</f>
        <v/>
      </c>
      <c r="BF11" s="47" t="str">
        <f aca="false">IF($A11="","",IF(AND(INDEX(工程マスタ!$I$5:$I$154,$A11)="○",$E11&gt;=BF$3,$E11&lt;=BF$3+6),"▼",IF(AND($E11&gt;=BF$3,$E11&lt;=BF$3+6),$A11,"")))</f>
        <v/>
      </c>
      <c r="BG11" s="47" t="str">
        <f aca="false">IF($A11="","",IF(AND(INDEX(工程マスタ!$I$5:$I$154,$A11)="○",$E11&gt;=BG$3,$E11&lt;=BG$3+6),"▼",IF(AND($E11&gt;=BG$3,$E11&lt;=BG$3+6),$A11,"")))</f>
        <v/>
      </c>
      <c r="BH11" s="47" t="str">
        <f aca="false">IF($A11="","",IF(AND(INDEX(工程マスタ!$I$5:$I$154,$A11)="○",$E11&gt;=BH$3,$E11&lt;=BH$3+6),"▼",IF(AND($E11&gt;=BH$3,$E11&lt;=BH$3+6),$A11,"")))</f>
        <v/>
      </c>
      <c r="BI11" s="47" t="str">
        <f aca="false">IF($A11="","",IF(AND(INDEX(工程マスタ!$I$5:$I$154,$A11)="○",$E11&gt;=BI$3,$E11&lt;=BI$3+6),"▼",IF(AND($E11&gt;=BI$3,$E11&lt;=BI$3+6),$A11,"")))</f>
        <v/>
      </c>
      <c r="BJ11" s="47" t="str">
        <f aca="false">IF($A11="","",IF(AND(INDEX(工程マスタ!$I$5:$I$154,$A11)="○",$E11&gt;=BJ$3,$E11&lt;=BJ$3+6),"▼",IF(AND($E11&gt;=BJ$3,$E11&lt;=BJ$3+6),$A11,"")))</f>
        <v/>
      </c>
    </row>
    <row r="12" customFormat="false" ht="15" hidden="false" customHeight="false" outlineLevel="0" collapsed="false">
      <c r="A12" s="28" t="n">
        <f aca="false">IF(工程マスタ!$C10="","",工程マスタ!$A10)</f>
        <v>6</v>
      </c>
      <c r="B12" s="46" t="str">
        <f aca="false">IF($A12="","",工程マスタ!$C10)</f>
        <v>杭工事</v>
      </c>
      <c r="C12" s="28" t="n">
        <f aca="false">IF($A12="","",MAX(1,工程マスタ!$G10))</f>
        <v>19</v>
      </c>
      <c r="D12" s="28" t="str">
        <f aca="false">IF($A12="","",_xlfn.TEXTJOIN(",",TRUE(),工程マスタ!$N10:$P10))</f>
        <v>2,3,5</v>
      </c>
      <c r="E12" s="29" t="n">
        <f aca="false">IF($A12="","",IF(COUNT(工程マスタ!$N10:$P10)=0,設定!$B$8,MAX(IF(工程マスタ!$N10="",0,INDEX($F$7:$F$156,工程マスタ!$N10)),IF(工程マスタ!$O10="",0,INDEX($F$7:$F$156,工程マスタ!$O10)),IF(工程マスタ!$P10="",0,INDEX($F$7:$F$156,工程マスタ!$P10)))+1))</f>
        <v>46235</v>
      </c>
      <c r="F12" s="29" t="n">
        <f aca="false">IF($A12="","",$E12+$C12-1)</f>
        <v>46253</v>
      </c>
      <c r="G12" s="29" t="n">
        <f aca="false">IF($A12="","",$H12-$C12+1)</f>
        <v>46235</v>
      </c>
      <c r="H12" s="29" t="n">
        <f aca="false" t="array" ref="H12:H12">IF($A12="","",IF(SUMPRODUCT((工程マスタ!$N$11:$N$154=$A12)*1)+SUMPRODUCT((工程マスタ!$O$11:$O$154=$A12)*1)+SUMPRODUCT((工程マスタ!$P$11:$P$154=$A12)*1)=0,MAX($F$7:$F$156),MIN(IF((工程マスタ!$N$11:$N$154=$A12)+(工程マスタ!$O$11:$O$154=$A12)+(工程マスタ!$P$11:$P$154=$A12),$G13:$G$156))-1))</f>
        <v>46253</v>
      </c>
      <c r="I12" s="28" t="n">
        <f aca="false">IF($A12="","",$G12-$E12)</f>
        <v>0</v>
      </c>
      <c r="J12" s="28" t="str">
        <f aca="false">IF($A12="","",IF($I12&lt;=0,"●",""))</f>
        <v>●</v>
      </c>
      <c r="K12" s="47" t="str">
        <f aca="false">IF($A12="","",IF(AND(INDEX(工程マスタ!$I$5:$I$154,$A12)="○",$E12&gt;=K$3,$E12&lt;=K$3+6),"▼",IF(AND($E12&gt;=K$3,$E12&lt;=K$3+6),$A12,"")))</f>
        <v/>
      </c>
      <c r="L12" s="47" t="str">
        <f aca="false">IF($A12="","",IF(AND(INDEX(工程マスタ!$I$5:$I$154,$A12)="○",$E12&gt;=L$3,$E12&lt;=L$3+6),"▼",IF(AND($E12&gt;=L$3,$E12&lt;=L$3+6),$A12,"")))</f>
        <v/>
      </c>
      <c r="M12" s="47" t="str">
        <f aca="false">IF($A12="","",IF(AND(INDEX(工程マスタ!$I$5:$I$154,$A12)="○",$E12&gt;=M$3,$E12&lt;=M$3+6),"▼",IF(AND($E12&gt;=M$3,$E12&lt;=M$3+6),$A12,"")))</f>
        <v/>
      </c>
      <c r="N12" s="47" t="str">
        <f aca="false">IF($A12="","",IF(AND(INDEX(工程マスタ!$I$5:$I$154,$A12)="○",$E12&gt;=N$3,$E12&lt;=N$3+6),"▼",IF(AND($E12&gt;=N$3,$E12&lt;=N$3+6),$A12,"")))</f>
        <v/>
      </c>
      <c r="O12" s="47" t="n">
        <f aca="false">IF($A12="","",IF(AND(INDEX(工程マスタ!$I$5:$I$154,$A12)="○",$E12&gt;=O$3,$E12&lt;=O$3+6),"▼",IF(AND($E12&gt;=O$3,$E12&lt;=O$3+6),$A12,"")))</f>
        <v>6</v>
      </c>
      <c r="P12" s="47" t="str">
        <f aca="false">IF($A12="","",IF(AND(INDEX(工程マスタ!$I$5:$I$154,$A12)="○",$E12&gt;=P$3,$E12&lt;=P$3+6),"▼",IF(AND($E12&gt;=P$3,$E12&lt;=P$3+6),$A12,"")))</f>
        <v/>
      </c>
      <c r="Q12" s="47" t="str">
        <f aca="false">IF($A12="","",IF(AND(INDEX(工程マスタ!$I$5:$I$154,$A12)="○",$E12&gt;=Q$3,$E12&lt;=Q$3+6),"▼",IF(AND($E12&gt;=Q$3,$E12&lt;=Q$3+6),$A12,"")))</f>
        <v/>
      </c>
      <c r="R12" s="47" t="str">
        <f aca="false">IF($A12="","",IF(AND(INDEX(工程マスタ!$I$5:$I$154,$A12)="○",$E12&gt;=R$3,$E12&lt;=R$3+6),"▼",IF(AND($E12&gt;=R$3,$E12&lt;=R$3+6),$A12,"")))</f>
        <v/>
      </c>
      <c r="S12" s="47" t="str">
        <f aca="false">IF($A12="","",IF(AND(INDEX(工程マスタ!$I$5:$I$154,$A12)="○",$E12&gt;=S$3,$E12&lt;=S$3+6),"▼",IF(AND($E12&gt;=S$3,$E12&lt;=S$3+6),$A12,"")))</f>
        <v/>
      </c>
      <c r="T12" s="47" t="str">
        <f aca="false">IF($A12="","",IF(AND(INDEX(工程マスタ!$I$5:$I$154,$A12)="○",$E12&gt;=T$3,$E12&lt;=T$3+6),"▼",IF(AND($E12&gt;=T$3,$E12&lt;=T$3+6),$A12,"")))</f>
        <v/>
      </c>
      <c r="U12" s="47" t="str">
        <f aca="false">IF($A12="","",IF(AND(INDEX(工程マスタ!$I$5:$I$154,$A12)="○",$E12&gt;=U$3,$E12&lt;=U$3+6),"▼",IF(AND($E12&gt;=U$3,$E12&lt;=U$3+6),$A12,"")))</f>
        <v/>
      </c>
      <c r="V12" s="47" t="str">
        <f aca="false">IF($A12="","",IF(AND(INDEX(工程マスタ!$I$5:$I$154,$A12)="○",$E12&gt;=V$3,$E12&lt;=V$3+6),"▼",IF(AND($E12&gt;=V$3,$E12&lt;=V$3+6),$A12,"")))</f>
        <v/>
      </c>
      <c r="W12" s="47" t="str">
        <f aca="false">IF($A12="","",IF(AND(INDEX(工程マスタ!$I$5:$I$154,$A12)="○",$E12&gt;=W$3,$E12&lt;=W$3+6),"▼",IF(AND($E12&gt;=W$3,$E12&lt;=W$3+6),$A12,"")))</f>
        <v/>
      </c>
      <c r="X12" s="47" t="str">
        <f aca="false">IF($A12="","",IF(AND(INDEX(工程マスタ!$I$5:$I$154,$A12)="○",$E12&gt;=X$3,$E12&lt;=X$3+6),"▼",IF(AND($E12&gt;=X$3,$E12&lt;=X$3+6),$A12,"")))</f>
        <v/>
      </c>
      <c r="Y12" s="47" t="str">
        <f aca="false">IF($A12="","",IF(AND(INDEX(工程マスタ!$I$5:$I$154,$A12)="○",$E12&gt;=Y$3,$E12&lt;=Y$3+6),"▼",IF(AND($E12&gt;=Y$3,$E12&lt;=Y$3+6),$A12,"")))</f>
        <v/>
      </c>
      <c r="Z12" s="47" t="str">
        <f aca="false">IF($A12="","",IF(AND(INDEX(工程マスタ!$I$5:$I$154,$A12)="○",$E12&gt;=Z$3,$E12&lt;=Z$3+6),"▼",IF(AND($E12&gt;=Z$3,$E12&lt;=Z$3+6),$A12,"")))</f>
        <v/>
      </c>
      <c r="AA12" s="47" t="str">
        <f aca="false">IF($A12="","",IF(AND(INDEX(工程マスタ!$I$5:$I$154,$A12)="○",$E12&gt;=AA$3,$E12&lt;=AA$3+6),"▼",IF(AND($E12&gt;=AA$3,$E12&lt;=AA$3+6),$A12,"")))</f>
        <v/>
      </c>
      <c r="AB12" s="47" t="str">
        <f aca="false">IF($A12="","",IF(AND(INDEX(工程マスタ!$I$5:$I$154,$A12)="○",$E12&gt;=AB$3,$E12&lt;=AB$3+6),"▼",IF(AND($E12&gt;=AB$3,$E12&lt;=AB$3+6),$A12,"")))</f>
        <v/>
      </c>
      <c r="AC12" s="47" t="str">
        <f aca="false">IF($A12="","",IF(AND(INDEX(工程マスタ!$I$5:$I$154,$A12)="○",$E12&gt;=AC$3,$E12&lt;=AC$3+6),"▼",IF(AND($E12&gt;=AC$3,$E12&lt;=AC$3+6),$A12,"")))</f>
        <v/>
      </c>
      <c r="AD12" s="47" t="str">
        <f aca="false">IF($A12="","",IF(AND(INDEX(工程マスタ!$I$5:$I$154,$A12)="○",$E12&gt;=AD$3,$E12&lt;=AD$3+6),"▼",IF(AND($E12&gt;=AD$3,$E12&lt;=AD$3+6),$A12,"")))</f>
        <v/>
      </c>
      <c r="AE12" s="47" t="str">
        <f aca="false">IF($A12="","",IF(AND(INDEX(工程マスタ!$I$5:$I$154,$A12)="○",$E12&gt;=AE$3,$E12&lt;=AE$3+6),"▼",IF(AND($E12&gt;=AE$3,$E12&lt;=AE$3+6),$A12,"")))</f>
        <v/>
      </c>
      <c r="AF12" s="47" t="str">
        <f aca="false">IF($A12="","",IF(AND(INDEX(工程マスタ!$I$5:$I$154,$A12)="○",$E12&gt;=AF$3,$E12&lt;=AF$3+6),"▼",IF(AND($E12&gt;=AF$3,$E12&lt;=AF$3+6),$A12,"")))</f>
        <v/>
      </c>
      <c r="AG12" s="47" t="str">
        <f aca="false">IF($A12="","",IF(AND(INDEX(工程マスタ!$I$5:$I$154,$A12)="○",$E12&gt;=AG$3,$E12&lt;=AG$3+6),"▼",IF(AND($E12&gt;=AG$3,$E12&lt;=AG$3+6),$A12,"")))</f>
        <v/>
      </c>
      <c r="AH12" s="47" t="str">
        <f aca="false">IF($A12="","",IF(AND(INDEX(工程マスタ!$I$5:$I$154,$A12)="○",$E12&gt;=AH$3,$E12&lt;=AH$3+6),"▼",IF(AND($E12&gt;=AH$3,$E12&lt;=AH$3+6),$A12,"")))</f>
        <v/>
      </c>
      <c r="AI12" s="47" t="str">
        <f aca="false">IF($A12="","",IF(AND(INDEX(工程マスタ!$I$5:$I$154,$A12)="○",$E12&gt;=AI$3,$E12&lt;=AI$3+6),"▼",IF(AND($E12&gt;=AI$3,$E12&lt;=AI$3+6),$A12,"")))</f>
        <v/>
      </c>
      <c r="AJ12" s="47" t="str">
        <f aca="false">IF($A12="","",IF(AND(INDEX(工程マスタ!$I$5:$I$154,$A12)="○",$E12&gt;=AJ$3,$E12&lt;=AJ$3+6),"▼",IF(AND($E12&gt;=AJ$3,$E12&lt;=AJ$3+6),$A12,"")))</f>
        <v/>
      </c>
      <c r="AK12" s="47" t="str">
        <f aca="false">IF($A12="","",IF(AND(INDEX(工程マスタ!$I$5:$I$154,$A12)="○",$E12&gt;=AK$3,$E12&lt;=AK$3+6),"▼",IF(AND($E12&gt;=AK$3,$E12&lt;=AK$3+6),$A12,"")))</f>
        <v/>
      </c>
      <c r="AL12" s="47" t="str">
        <f aca="false">IF($A12="","",IF(AND(INDEX(工程マスタ!$I$5:$I$154,$A12)="○",$E12&gt;=AL$3,$E12&lt;=AL$3+6),"▼",IF(AND($E12&gt;=AL$3,$E12&lt;=AL$3+6),$A12,"")))</f>
        <v/>
      </c>
      <c r="AM12" s="47" t="str">
        <f aca="false">IF($A12="","",IF(AND(INDEX(工程マスタ!$I$5:$I$154,$A12)="○",$E12&gt;=AM$3,$E12&lt;=AM$3+6),"▼",IF(AND($E12&gt;=AM$3,$E12&lt;=AM$3+6),$A12,"")))</f>
        <v/>
      </c>
      <c r="AN12" s="47" t="str">
        <f aca="false">IF($A12="","",IF(AND(INDEX(工程マスタ!$I$5:$I$154,$A12)="○",$E12&gt;=AN$3,$E12&lt;=AN$3+6),"▼",IF(AND($E12&gt;=AN$3,$E12&lt;=AN$3+6),$A12,"")))</f>
        <v/>
      </c>
      <c r="AO12" s="47" t="str">
        <f aca="false">IF($A12="","",IF(AND(INDEX(工程マスタ!$I$5:$I$154,$A12)="○",$E12&gt;=AO$3,$E12&lt;=AO$3+6),"▼",IF(AND($E12&gt;=AO$3,$E12&lt;=AO$3+6),$A12,"")))</f>
        <v/>
      </c>
      <c r="AP12" s="47" t="str">
        <f aca="false">IF($A12="","",IF(AND(INDEX(工程マスタ!$I$5:$I$154,$A12)="○",$E12&gt;=AP$3,$E12&lt;=AP$3+6),"▼",IF(AND($E12&gt;=AP$3,$E12&lt;=AP$3+6),$A12,"")))</f>
        <v/>
      </c>
      <c r="AQ12" s="47" t="str">
        <f aca="false">IF($A12="","",IF(AND(INDEX(工程マスタ!$I$5:$I$154,$A12)="○",$E12&gt;=AQ$3,$E12&lt;=AQ$3+6),"▼",IF(AND($E12&gt;=AQ$3,$E12&lt;=AQ$3+6),$A12,"")))</f>
        <v/>
      </c>
      <c r="AR12" s="47" t="str">
        <f aca="false">IF($A12="","",IF(AND(INDEX(工程マスタ!$I$5:$I$154,$A12)="○",$E12&gt;=AR$3,$E12&lt;=AR$3+6),"▼",IF(AND($E12&gt;=AR$3,$E12&lt;=AR$3+6),$A12,"")))</f>
        <v/>
      </c>
      <c r="AS12" s="47" t="str">
        <f aca="false">IF($A12="","",IF(AND(INDEX(工程マスタ!$I$5:$I$154,$A12)="○",$E12&gt;=AS$3,$E12&lt;=AS$3+6),"▼",IF(AND($E12&gt;=AS$3,$E12&lt;=AS$3+6),$A12,"")))</f>
        <v/>
      </c>
      <c r="AT12" s="47" t="str">
        <f aca="false">IF($A12="","",IF(AND(INDEX(工程マスタ!$I$5:$I$154,$A12)="○",$E12&gt;=AT$3,$E12&lt;=AT$3+6),"▼",IF(AND($E12&gt;=AT$3,$E12&lt;=AT$3+6),$A12,"")))</f>
        <v/>
      </c>
      <c r="AU12" s="47" t="str">
        <f aca="false">IF($A12="","",IF(AND(INDEX(工程マスタ!$I$5:$I$154,$A12)="○",$E12&gt;=AU$3,$E12&lt;=AU$3+6),"▼",IF(AND($E12&gt;=AU$3,$E12&lt;=AU$3+6),$A12,"")))</f>
        <v/>
      </c>
      <c r="AV12" s="47" t="str">
        <f aca="false">IF($A12="","",IF(AND(INDEX(工程マスタ!$I$5:$I$154,$A12)="○",$E12&gt;=AV$3,$E12&lt;=AV$3+6),"▼",IF(AND($E12&gt;=AV$3,$E12&lt;=AV$3+6),$A12,"")))</f>
        <v/>
      </c>
      <c r="AW12" s="47" t="str">
        <f aca="false">IF($A12="","",IF(AND(INDEX(工程マスタ!$I$5:$I$154,$A12)="○",$E12&gt;=AW$3,$E12&lt;=AW$3+6),"▼",IF(AND($E12&gt;=AW$3,$E12&lt;=AW$3+6),$A12,"")))</f>
        <v/>
      </c>
      <c r="AX12" s="47" t="str">
        <f aca="false">IF($A12="","",IF(AND(INDEX(工程マスタ!$I$5:$I$154,$A12)="○",$E12&gt;=AX$3,$E12&lt;=AX$3+6),"▼",IF(AND($E12&gt;=AX$3,$E12&lt;=AX$3+6),$A12,"")))</f>
        <v/>
      </c>
      <c r="AY12" s="47" t="str">
        <f aca="false">IF($A12="","",IF(AND(INDEX(工程マスタ!$I$5:$I$154,$A12)="○",$E12&gt;=AY$3,$E12&lt;=AY$3+6),"▼",IF(AND($E12&gt;=AY$3,$E12&lt;=AY$3+6),$A12,"")))</f>
        <v/>
      </c>
      <c r="AZ12" s="47" t="str">
        <f aca="false">IF($A12="","",IF(AND(INDEX(工程マスタ!$I$5:$I$154,$A12)="○",$E12&gt;=AZ$3,$E12&lt;=AZ$3+6),"▼",IF(AND($E12&gt;=AZ$3,$E12&lt;=AZ$3+6),$A12,"")))</f>
        <v/>
      </c>
      <c r="BA12" s="47" t="str">
        <f aca="false">IF($A12="","",IF(AND(INDEX(工程マスタ!$I$5:$I$154,$A12)="○",$E12&gt;=BA$3,$E12&lt;=BA$3+6),"▼",IF(AND($E12&gt;=BA$3,$E12&lt;=BA$3+6),$A12,"")))</f>
        <v/>
      </c>
      <c r="BB12" s="47" t="str">
        <f aca="false">IF($A12="","",IF(AND(INDEX(工程マスタ!$I$5:$I$154,$A12)="○",$E12&gt;=BB$3,$E12&lt;=BB$3+6),"▼",IF(AND($E12&gt;=BB$3,$E12&lt;=BB$3+6),$A12,"")))</f>
        <v/>
      </c>
      <c r="BC12" s="47" t="str">
        <f aca="false">IF($A12="","",IF(AND(INDEX(工程マスタ!$I$5:$I$154,$A12)="○",$E12&gt;=BC$3,$E12&lt;=BC$3+6),"▼",IF(AND($E12&gt;=BC$3,$E12&lt;=BC$3+6),$A12,"")))</f>
        <v/>
      </c>
      <c r="BD12" s="47" t="str">
        <f aca="false">IF($A12="","",IF(AND(INDEX(工程マスタ!$I$5:$I$154,$A12)="○",$E12&gt;=BD$3,$E12&lt;=BD$3+6),"▼",IF(AND($E12&gt;=BD$3,$E12&lt;=BD$3+6),$A12,"")))</f>
        <v/>
      </c>
      <c r="BE12" s="47" t="str">
        <f aca="false">IF($A12="","",IF(AND(INDEX(工程マスタ!$I$5:$I$154,$A12)="○",$E12&gt;=BE$3,$E12&lt;=BE$3+6),"▼",IF(AND($E12&gt;=BE$3,$E12&lt;=BE$3+6),$A12,"")))</f>
        <v/>
      </c>
      <c r="BF12" s="47" t="str">
        <f aca="false">IF($A12="","",IF(AND(INDEX(工程マスタ!$I$5:$I$154,$A12)="○",$E12&gt;=BF$3,$E12&lt;=BF$3+6),"▼",IF(AND($E12&gt;=BF$3,$E12&lt;=BF$3+6),$A12,"")))</f>
        <v/>
      </c>
      <c r="BG12" s="47" t="str">
        <f aca="false">IF($A12="","",IF(AND(INDEX(工程マスタ!$I$5:$I$154,$A12)="○",$E12&gt;=BG$3,$E12&lt;=BG$3+6),"▼",IF(AND($E12&gt;=BG$3,$E12&lt;=BG$3+6),$A12,"")))</f>
        <v/>
      </c>
      <c r="BH12" s="47" t="str">
        <f aca="false">IF($A12="","",IF(AND(INDEX(工程マスタ!$I$5:$I$154,$A12)="○",$E12&gt;=BH$3,$E12&lt;=BH$3+6),"▼",IF(AND($E12&gt;=BH$3,$E12&lt;=BH$3+6),$A12,"")))</f>
        <v/>
      </c>
      <c r="BI12" s="47" t="str">
        <f aca="false">IF($A12="","",IF(AND(INDEX(工程マスタ!$I$5:$I$154,$A12)="○",$E12&gt;=BI$3,$E12&lt;=BI$3+6),"▼",IF(AND($E12&gt;=BI$3,$E12&lt;=BI$3+6),$A12,"")))</f>
        <v/>
      </c>
      <c r="BJ12" s="47" t="str">
        <f aca="false">IF($A12="","",IF(AND(INDEX(工程マスタ!$I$5:$I$154,$A12)="○",$E12&gt;=BJ$3,$E12&lt;=BJ$3+6),"▼",IF(AND($E12&gt;=BJ$3,$E12&lt;=BJ$3+6),$A12,"")))</f>
        <v/>
      </c>
    </row>
    <row r="13" customFormat="false" ht="15" hidden="false" customHeight="false" outlineLevel="0" collapsed="false">
      <c r="A13" s="28" t="n">
        <f aca="false">IF(工程マスタ!$C11="","",工程マスタ!$A11)</f>
        <v>7</v>
      </c>
      <c r="B13" s="46" t="str">
        <f aca="false">IF($A13="","",工程マスタ!$C11)</f>
        <v>山留工事</v>
      </c>
      <c r="C13" s="28" t="n">
        <f aca="false">IF($A13="","",MAX(1,工程マスタ!$G11))</f>
        <v>13</v>
      </c>
      <c r="D13" s="28" t="str">
        <f aca="false">IF($A13="","",_xlfn.TEXTJOIN(",",TRUE(),工程マスタ!$N11:$P11))</f>
        <v>6</v>
      </c>
      <c r="E13" s="29" t="n">
        <f aca="false">IF($A13="","",IF(COUNT(工程マスタ!$N11:$P11)=0,設定!$B$8,MAX(IF(工程マスタ!$N11="",0,INDEX($F$7:$F$156,工程マスタ!$N11)),IF(工程マスタ!$O11="",0,INDEX($F$7:$F$156,工程マスタ!$O11)),IF(工程マスタ!$P11="",0,INDEX($F$7:$F$156,工程マスタ!$P11)))+1))</f>
        <v>46254</v>
      </c>
      <c r="F13" s="29" t="n">
        <f aca="false">IF($A13="","",$E13+$C13-1)</f>
        <v>46266</v>
      </c>
      <c r="G13" s="29" t="n">
        <f aca="false">IF($A13="","",$H13-$C13+1)</f>
        <v>46254</v>
      </c>
      <c r="H13" s="29" t="n">
        <f aca="false" t="array" ref="H13:H13">IF($A13="","",IF(SUMPRODUCT((工程マスタ!$N$12:$N$154=$A13)*1)+SUMPRODUCT((工程マスタ!$O$12:$O$154=$A13)*1)+SUMPRODUCT((工程マスタ!$P$12:$P$154=$A13)*1)=0,MAX($F$7:$F$156),MIN(IF((工程マスタ!$N$12:$N$154=$A13)+(工程マスタ!$O$12:$O$154=$A13)+(工程マスタ!$P$12:$P$154=$A13),$G14:$G$156))-1))</f>
        <v>46266</v>
      </c>
      <c r="I13" s="28" t="n">
        <f aca="false">IF($A13="","",$G13-$E13)</f>
        <v>0</v>
      </c>
      <c r="J13" s="28" t="str">
        <f aca="false">IF($A13="","",IF($I13&lt;=0,"●",""))</f>
        <v>●</v>
      </c>
      <c r="K13" s="47" t="str">
        <f aca="false">IF($A13="","",IF(AND(INDEX(工程マスタ!$I$5:$I$154,$A13)="○",$E13&gt;=K$3,$E13&lt;=K$3+6),"▼",IF(AND($E13&gt;=K$3,$E13&lt;=K$3+6),$A13,"")))</f>
        <v/>
      </c>
      <c r="L13" s="47" t="str">
        <f aca="false">IF($A13="","",IF(AND(INDEX(工程マスタ!$I$5:$I$154,$A13)="○",$E13&gt;=L$3,$E13&lt;=L$3+6),"▼",IF(AND($E13&gt;=L$3,$E13&lt;=L$3+6),$A13,"")))</f>
        <v/>
      </c>
      <c r="M13" s="47" t="str">
        <f aca="false">IF($A13="","",IF(AND(INDEX(工程マスタ!$I$5:$I$154,$A13)="○",$E13&gt;=M$3,$E13&lt;=M$3+6),"▼",IF(AND($E13&gt;=M$3,$E13&lt;=M$3+6),$A13,"")))</f>
        <v/>
      </c>
      <c r="N13" s="47" t="str">
        <f aca="false">IF($A13="","",IF(AND(INDEX(工程マスタ!$I$5:$I$154,$A13)="○",$E13&gt;=N$3,$E13&lt;=N$3+6),"▼",IF(AND($E13&gt;=N$3,$E13&lt;=N$3+6),$A13,"")))</f>
        <v/>
      </c>
      <c r="O13" s="47" t="str">
        <f aca="false">IF($A13="","",IF(AND(INDEX(工程マスタ!$I$5:$I$154,$A13)="○",$E13&gt;=O$3,$E13&lt;=O$3+6),"▼",IF(AND($E13&gt;=O$3,$E13&lt;=O$3+6),$A13,"")))</f>
        <v/>
      </c>
      <c r="P13" s="47" t="str">
        <f aca="false">IF($A13="","",IF(AND(INDEX(工程マスタ!$I$5:$I$154,$A13)="○",$E13&gt;=P$3,$E13&lt;=P$3+6),"▼",IF(AND($E13&gt;=P$3,$E13&lt;=P$3+6),$A13,"")))</f>
        <v/>
      </c>
      <c r="Q13" s="47" t="str">
        <f aca="false">IF($A13="","",IF(AND(INDEX(工程マスタ!$I$5:$I$154,$A13)="○",$E13&gt;=Q$3,$E13&lt;=Q$3+6),"▼",IF(AND($E13&gt;=Q$3,$E13&lt;=Q$3+6),$A13,"")))</f>
        <v/>
      </c>
      <c r="R13" s="47" t="n">
        <f aca="false">IF($A13="","",IF(AND(INDEX(工程マスタ!$I$5:$I$154,$A13)="○",$E13&gt;=R$3,$E13&lt;=R$3+6),"▼",IF(AND($E13&gt;=R$3,$E13&lt;=R$3+6),$A13,"")))</f>
        <v>7</v>
      </c>
      <c r="S13" s="47" t="str">
        <f aca="false">IF($A13="","",IF(AND(INDEX(工程マスタ!$I$5:$I$154,$A13)="○",$E13&gt;=S$3,$E13&lt;=S$3+6),"▼",IF(AND($E13&gt;=S$3,$E13&lt;=S$3+6),$A13,"")))</f>
        <v/>
      </c>
      <c r="T13" s="47" t="str">
        <f aca="false">IF($A13="","",IF(AND(INDEX(工程マスタ!$I$5:$I$154,$A13)="○",$E13&gt;=T$3,$E13&lt;=T$3+6),"▼",IF(AND($E13&gt;=T$3,$E13&lt;=T$3+6),$A13,"")))</f>
        <v/>
      </c>
      <c r="U13" s="47" t="str">
        <f aca="false">IF($A13="","",IF(AND(INDEX(工程マスタ!$I$5:$I$154,$A13)="○",$E13&gt;=U$3,$E13&lt;=U$3+6),"▼",IF(AND($E13&gt;=U$3,$E13&lt;=U$3+6),$A13,"")))</f>
        <v/>
      </c>
      <c r="V13" s="47" t="str">
        <f aca="false">IF($A13="","",IF(AND(INDEX(工程マスタ!$I$5:$I$154,$A13)="○",$E13&gt;=V$3,$E13&lt;=V$3+6),"▼",IF(AND($E13&gt;=V$3,$E13&lt;=V$3+6),$A13,"")))</f>
        <v/>
      </c>
      <c r="W13" s="47" t="str">
        <f aca="false">IF($A13="","",IF(AND(INDEX(工程マスタ!$I$5:$I$154,$A13)="○",$E13&gt;=W$3,$E13&lt;=W$3+6),"▼",IF(AND($E13&gt;=W$3,$E13&lt;=W$3+6),$A13,"")))</f>
        <v/>
      </c>
      <c r="X13" s="47" t="str">
        <f aca="false">IF($A13="","",IF(AND(INDEX(工程マスタ!$I$5:$I$154,$A13)="○",$E13&gt;=X$3,$E13&lt;=X$3+6),"▼",IF(AND($E13&gt;=X$3,$E13&lt;=X$3+6),$A13,"")))</f>
        <v/>
      </c>
      <c r="Y13" s="47" t="str">
        <f aca="false">IF($A13="","",IF(AND(INDEX(工程マスタ!$I$5:$I$154,$A13)="○",$E13&gt;=Y$3,$E13&lt;=Y$3+6),"▼",IF(AND($E13&gt;=Y$3,$E13&lt;=Y$3+6),$A13,"")))</f>
        <v/>
      </c>
      <c r="Z13" s="47" t="str">
        <f aca="false">IF($A13="","",IF(AND(INDEX(工程マスタ!$I$5:$I$154,$A13)="○",$E13&gt;=Z$3,$E13&lt;=Z$3+6),"▼",IF(AND($E13&gt;=Z$3,$E13&lt;=Z$3+6),$A13,"")))</f>
        <v/>
      </c>
      <c r="AA13" s="47" t="str">
        <f aca="false">IF($A13="","",IF(AND(INDEX(工程マスタ!$I$5:$I$154,$A13)="○",$E13&gt;=AA$3,$E13&lt;=AA$3+6),"▼",IF(AND($E13&gt;=AA$3,$E13&lt;=AA$3+6),$A13,"")))</f>
        <v/>
      </c>
      <c r="AB13" s="47" t="str">
        <f aca="false">IF($A13="","",IF(AND(INDEX(工程マスタ!$I$5:$I$154,$A13)="○",$E13&gt;=AB$3,$E13&lt;=AB$3+6),"▼",IF(AND($E13&gt;=AB$3,$E13&lt;=AB$3+6),$A13,"")))</f>
        <v/>
      </c>
      <c r="AC13" s="47" t="str">
        <f aca="false">IF($A13="","",IF(AND(INDEX(工程マスタ!$I$5:$I$154,$A13)="○",$E13&gt;=AC$3,$E13&lt;=AC$3+6),"▼",IF(AND($E13&gt;=AC$3,$E13&lt;=AC$3+6),$A13,"")))</f>
        <v/>
      </c>
      <c r="AD13" s="47" t="str">
        <f aca="false">IF($A13="","",IF(AND(INDEX(工程マスタ!$I$5:$I$154,$A13)="○",$E13&gt;=AD$3,$E13&lt;=AD$3+6),"▼",IF(AND($E13&gt;=AD$3,$E13&lt;=AD$3+6),$A13,"")))</f>
        <v/>
      </c>
      <c r="AE13" s="47" t="str">
        <f aca="false">IF($A13="","",IF(AND(INDEX(工程マスタ!$I$5:$I$154,$A13)="○",$E13&gt;=AE$3,$E13&lt;=AE$3+6),"▼",IF(AND($E13&gt;=AE$3,$E13&lt;=AE$3+6),$A13,"")))</f>
        <v/>
      </c>
      <c r="AF13" s="47" t="str">
        <f aca="false">IF($A13="","",IF(AND(INDEX(工程マスタ!$I$5:$I$154,$A13)="○",$E13&gt;=AF$3,$E13&lt;=AF$3+6),"▼",IF(AND($E13&gt;=AF$3,$E13&lt;=AF$3+6),$A13,"")))</f>
        <v/>
      </c>
      <c r="AG13" s="47" t="str">
        <f aca="false">IF($A13="","",IF(AND(INDEX(工程マスタ!$I$5:$I$154,$A13)="○",$E13&gt;=AG$3,$E13&lt;=AG$3+6),"▼",IF(AND($E13&gt;=AG$3,$E13&lt;=AG$3+6),$A13,"")))</f>
        <v/>
      </c>
      <c r="AH13" s="47" t="str">
        <f aca="false">IF($A13="","",IF(AND(INDEX(工程マスタ!$I$5:$I$154,$A13)="○",$E13&gt;=AH$3,$E13&lt;=AH$3+6),"▼",IF(AND($E13&gt;=AH$3,$E13&lt;=AH$3+6),$A13,"")))</f>
        <v/>
      </c>
      <c r="AI13" s="47" t="str">
        <f aca="false">IF($A13="","",IF(AND(INDEX(工程マスタ!$I$5:$I$154,$A13)="○",$E13&gt;=AI$3,$E13&lt;=AI$3+6),"▼",IF(AND($E13&gt;=AI$3,$E13&lt;=AI$3+6),$A13,"")))</f>
        <v/>
      </c>
      <c r="AJ13" s="47" t="str">
        <f aca="false">IF($A13="","",IF(AND(INDEX(工程マスタ!$I$5:$I$154,$A13)="○",$E13&gt;=AJ$3,$E13&lt;=AJ$3+6),"▼",IF(AND($E13&gt;=AJ$3,$E13&lt;=AJ$3+6),$A13,"")))</f>
        <v/>
      </c>
      <c r="AK13" s="47" t="str">
        <f aca="false">IF($A13="","",IF(AND(INDEX(工程マスタ!$I$5:$I$154,$A13)="○",$E13&gt;=AK$3,$E13&lt;=AK$3+6),"▼",IF(AND($E13&gt;=AK$3,$E13&lt;=AK$3+6),$A13,"")))</f>
        <v/>
      </c>
      <c r="AL13" s="47" t="str">
        <f aca="false">IF($A13="","",IF(AND(INDEX(工程マスタ!$I$5:$I$154,$A13)="○",$E13&gt;=AL$3,$E13&lt;=AL$3+6),"▼",IF(AND($E13&gt;=AL$3,$E13&lt;=AL$3+6),$A13,"")))</f>
        <v/>
      </c>
      <c r="AM13" s="47" t="str">
        <f aca="false">IF($A13="","",IF(AND(INDEX(工程マスタ!$I$5:$I$154,$A13)="○",$E13&gt;=AM$3,$E13&lt;=AM$3+6),"▼",IF(AND($E13&gt;=AM$3,$E13&lt;=AM$3+6),$A13,"")))</f>
        <v/>
      </c>
      <c r="AN13" s="47" t="str">
        <f aca="false">IF($A13="","",IF(AND(INDEX(工程マスタ!$I$5:$I$154,$A13)="○",$E13&gt;=AN$3,$E13&lt;=AN$3+6),"▼",IF(AND($E13&gt;=AN$3,$E13&lt;=AN$3+6),$A13,"")))</f>
        <v/>
      </c>
      <c r="AO13" s="47" t="str">
        <f aca="false">IF($A13="","",IF(AND(INDEX(工程マスタ!$I$5:$I$154,$A13)="○",$E13&gt;=AO$3,$E13&lt;=AO$3+6),"▼",IF(AND($E13&gt;=AO$3,$E13&lt;=AO$3+6),$A13,"")))</f>
        <v/>
      </c>
      <c r="AP13" s="47" t="str">
        <f aca="false">IF($A13="","",IF(AND(INDEX(工程マスタ!$I$5:$I$154,$A13)="○",$E13&gt;=AP$3,$E13&lt;=AP$3+6),"▼",IF(AND($E13&gt;=AP$3,$E13&lt;=AP$3+6),$A13,"")))</f>
        <v/>
      </c>
      <c r="AQ13" s="47" t="str">
        <f aca="false">IF($A13="","",IF(AND(INDEX(工程マスタ!$I$5:$I$154,$A13)="○",$E13&gt;=AQ$3,$E13&lt;=AQ$3+6),"▼",IF(AND($E13&gt;=AQ$3,$E13&lt;=AQ$3+6),$A13,"")))</f>
        <v/>
      </c>
      <c r="AR13" s="47" t="str">
        <f aca="false">IF($A13="","",IF(AND(INDEX(工程マスタ!$I$5:$I$154,$A13)="○",$E13&gt;=AR$3,$E13&lt;=AR$3+6),"▼",IF(AND($E13&gt;=AR$3,$E13&lt;=AR$3+6),$A13,"")))</f>
        <v/>
      </c>
      <c r="AS13" s="47" t="str">
        <f aca="false">IF($A13="","",IF(AND(INDEX(工程マスタ!$I$5:$I$154,$A13)="○",$E13&gt;=AS$3,$E13&lt;=AS$3+6),"▼",IF(AND($E13&gt;=AS$3,$E13&lt;=AS$3+6),$A13,"")))</f>
        <v/>
      </c>
      <c r="AT13" s="47" t="str">
        <f aca="false">IF($A13="","",IF(AND(INDEX(工程マスタ!$I$5:$I$154,$A13)="○",$E13&gt;=AT$3,$E13&lt;=AT$3+6),"▼",IF(AND($E13&gt;=AT$3,$E13&lt;=AT$3+6),$A13,"")))</f>
        <v/>
      </c>
      <c r="AU13" s="47" t="str">
        <f aca="false">IF($A13="","",IF(AND(INDEX(工程マスタ!$I$5:$I$154,$A13)="○",$E13&gt;=AU$3,$E13&lt;=AU$3+6),"▼",IF(AND($E13&gt;=AU$3,$E13&lt;=AU$3+6),$A13,"")))</f>
        <v/>
      </c>
      <c r="AV13" s="47" t="str">
        <f aca="false">IF($A13="","",IF(AND(INDEX(工程マスタ!$I$5:$I$154,$A13)="○",$E13&gt;=AV$3,$E13&lt;=AV$3+6),"▼",IF(AND($E13&gt;=AV$3,$E13&lt;=AV$3+6),$A13,"")))</f>
        <v/>
      </c>
      <c r="AW13" s="47" t="str">
        <f aca="false">IF($A13="","",IF(AND(INDEX(工程マスタ!$I$5:$I$154,$A13)="○",$E13&gt;=AW$3,$E13&lt;=AW$3+6),"▼",IF(AND($E13&gt;=AW$3,$E13&lt;=AW$3+6),$A13,"")))</f>
        <v/>
      </c>
      <c r="AX13" s="47" t="str">
        <f aca="false">IF($A13="","",IF(AND(INDEX(工程マスタ!$I$5:$I$154,$A13)="○",$E13&gt;=AX$3,$E13&lt;=AX$3+6),"▼",IF(AND($E13&gt;=AX$3,$E13&lt;=AX$3+6),$A13,"")))</f>
        <v/>
      </c>
      <c r="AY13" s="47" t="str">
        <f aca="false">IF($A13="","",IF(AND(INDEX(工程マスタ!$I$5:$I$154,$A13)="○",$E13&gt;=AY$3,$E13&lt;=AY$3+6),"▼",IF(AND($E13&gt;=AY$3,$E13&lt;=AY$3+6),$A13,"")))</f>
        <v/>
      </c>
      <c r="AZ13" s="47" t="str">
        <f aca="false">IF($A13="","",IF(AND(INDEX(工程マスタ!$I$5:$I$154,$A13)="○",$E13&gt;=AZ$3,$E13&lt;=AZ$3+6),"▼",IF(AND($E13&gt;=AZ$3,$E13&lt;=AZ$3+6),$A13,"")))</f>
        <v/>
      </c>
      <c r="BA13" s="47" t="str">
        <f aca="false">IF($A13="","",IF(AND(INDEX(工程マスタ!$I$5:$I$154,$A13)="○",$E13&gt;=BA$3,$E13&lt;=BA$3+6),"▼",IF(AND($E13&gt;=BA$3,$E13&lt;=BA$3+6),$A13,"")))</f>
        <v/>
      </c>
      <c r="BB13" s="47" t="str">
        <f aca="false">IF($A13="","",IF(AND(INDEX(工程マスタ!$I$5:$I$154,$A13)="○",$E13&gt;=BB$3,$E13&lt;=BB$3+6),"▼",IF(AND($E13&gt;=BB$3,$E13&lt;=BB$3+6),$A13,"")))</f>
        <v/>
      </c>
      <c r="BC13" s="47" t="str">
        <f aca="false">IF($A13="","",IF(AND(INDEX(工程マスタ!$I$5:$I$154,$A13)="○",$E13&gt;=BC$3,$E13&lt;=BC$3+6),"▼",IF(AND($E13&gt;=BC$3,$E13&lt;=BC$3+6),$A13,"")))</f>
        <v/>
      </c>
      <c r="BD13" s="47" t="str">
        <f aca="false">IF($A13="","",IF(AND(INDEX(工程マスタ!$I$5:$I$154,$A13)="○",$E13&gt;=BD$3,$E13&lt;=BD$3+6),"▼",IF(AND($E13&gt;=BD$3,$E13&lt;=BD$3+6),$A13,"")))</f>
        <v/>
      </c>
      <c r="BE13" s="47" t="str">
        <f aca="false">IF($A13="","",IF(AND(INDEX(工程マスタ!$I$5:$I$154,$A13)="○",$E13&gt;=BE$3,$E13&lt;=BE$3+6),"▼",IF(AND($E13&gt;=BE$3,$E13&lt;=BE$3+6),$A13,"")))</f>
        <v/>
      </c>
      <c r="BF13" s="47" t="str">
        <f aca="false">IF($A13="","",IF(AND(INDEX(工程マスタ!$I$5:$I$154,$A13)="○",$E13&gt;=BF$3,$E13&lt;=BF$3+6),"▼",IF(AND($E13&gt;=BF$3,$E13&lt;=BF$3+6),$A13,"")))</f>
        <v/>
      </c>
      <c r="BG13" s="47" t="str">
        <f aca="false">IF($A13="","",IF(AND(INDEX(工程マスタ!$I$5:$I$154,$A13)="○",$E13&gt;=BG$3,$E13&lt;=BG$3+6),"▼",IF(AND($E13&gt;=BG$3,$E13&lt;=BG$3+6),$A13,"")))</f>
        <v/>
      </c>
      <c r="BH13" s="47" t="str">
        <f aca="false">IF($A13="","",IF(AND(INDEX(工程マスタ!$I$5:$I$154,$A13)="○",$E13&gt;=BH$3,$E13&lt;=BH$3+6),"▼",IF(AND($E13&gt;=BH$3,$E13&lt;=BH$3+6),$A13,"")))</f>
        <v/>
      </c>
      <c r="BI13" s="47" t="str">
        <f aca="false">IF($A13="","",IF(AND(INDEX(工程マスタ!$I$5:$I$154,$A13)="○",$E13&gt;=BI$3,$E13&lt;=BI$3+6),"▼",IF(AND($E13&gt;=BI$3,$E13&lt;=BI$3+6),$A13,"")))</f>
        <v/>
      </c>
      <c r="BJ13" s="47" t="str">
        <f aca="false">IF($A13="","",IF(AND(INDEX(工程マスタ!$I$5:$I$154,$A13)="○",$E13&gt;=BJ$3,$E13&lt;=BJ$3+6),"▼",IF(AND($E13&gt;=BJ$3,$E13&lt;=BJ$3+6),$A13,"")))</f>
        <v/>
      </c>
    </row>
    <row r="14" customFormat="false" ht="15" hidden="false" customHeight="false" outlineLevel="0" collapsed="false">
      <c r="A14" s="28" t="n">
        <f aca="false">IF(工程マスタ!$C12="","",工程マスタ!$A12)</f>
        <v>8</v>
      </c>
      <c r="B14" s="46" t="str">
        <f aca="false">IF($A14="","",工程マスタ!$C12)</f>
        <v>根切り・掘削</v>
      </c>
      <c r="C14" s="28" t="n">
        <f aca="false">IF($A14="","",MAX(1,工程マスタ!$G12))</f>
        <v>23</v>
      </c>
      <c r="D14" s="28" t="str">
        <f aca="false">IF($A14="","",_xlfn.TEXTJOIN(",",TRUE(),工程マスタ!$N12:$P12))</f>
        <v>7</v>
      </c>
      <c r="E14" s="29" t="n">
        <f aca="false">IF($A14="","",IF(COUNT(工程マスタ!$N12:$P12)=0,設定!$B$8,MAX(IF(工程マスタ!$N12="",0,INDEX($F$7:$F$156,工程マスタ!$N12)),IF(工程マスタ!$O12="",0,INDEX($F$7:$F$156,工程マスタ!$O12)),IF(工程マスタ!$P12="",0,INDEX($F$7:$F$156,工程マスタ!$P12)))+1))</f>
        <v>46267</v>
      </c>
      <c r="F14" s="29" t="n">
        <f aca="false">IF($A14="","",$E14+$C14-1)</f>
        <v>46289</v>
      </c>
      <c r="G14" s="29" t="n">
        <f aca="false">IF($A14="","",$H14-$C14+1)</f>
        <v>46267</v>
      </c>
      <c r="H14" s="29" t="n">
        <f aca="false" t="array" ref="H14:H14">IF($A14="","",IF(SUMPRODUCT((工程マスタ!$N$13:$N$154=$A14)*1)+SUMPRODUCT((工程マスタ!$O$13:$O$154=$A14)*1)+SUMPRODUCT((工程マスタ!$P$13:$P$154=$A14)*1)=0,MAX($F$7:$F$156),MIN(IF((工程マスタ!$N$13:$N$154=$A14)+(工程マスタ!$O$13:$O$154=$A14)+(工程マスタ!$P$13:$P$154=$A14),$G15:$G$156))-1))</f>
        <v>46289</v>
      </c>
      <c r="I14" s="28" t="n">
        <f aca="false">IF($A14="","",$G14-$E14)</f>
        <v>0</v>
      </c>
      <c r="J14" s="28" t="str">
        <f aca="false">IF($A14="","",IF($I14&lt;=0,"●",""))</f>
        <v>●</v>
      </c>
      <c r="K14" s="47" t="str">
        <f aca="false">IF($A14="","",IF(AND(INDEX(工程マスタ!$I$5:$I$154,$A14)="○",$E14&gt;=K$3,$E14&lt;=K$3+6),"▼",IF(AND($E14&gt;=K$3,$E14&lt;=K$3+6),$A14,"")))</f>
        <v/>
      </c>
      <c r="L14" s="47" t="str">
        <f aca="false">IF($A14="","",IF(AND(INDEX(工程マスタ!$I$5:$I$154,$A14)="○",$E14&gt;=L$3,$E14&lt;=L$3+6),"▼",IF(AND($E14&gt;=L$3,$E14&lt;=L$3+6),$A14,"")))</f>
        <v/>
      </c>
      <c r="M14" s="47" t="str">
        <f aca="false">IF($A14="","",IF(AND(INDEX(工程マスタ!$I$5:$I$154,$A14)="○",$E14&gt;=M$3,$E14&lt;=M$3+6),"▼",IF(AND($E14&gt;=M$3,$E14&lt;=M$3+6),$A14,"")))</f>
        <v/>
      </c>
      <c r="N14" s="47" t="str">
        <f aca="false">IF($A14="","",IF(AND(INDEX(工程マスタ!$I$5:$I$154,$A14)="○",$E14&gt;=N$3,$E14&lt;=N$3+6),"▼",IF(AND($E14&gt;=N$3,$E14&lt;=N$3+6),$A14,"")))</f>
        <v/>
      </c>
      <c r="O14" s="47" t="str">
        <f aca="false">IF($A14="","",IF(AND(INDEX(工程マスタ!$I$5:$I$154,$A14)="○",$E14&gt;=O$3,$E14&lt;=O$3+6),"▼",IF(AND($E14&gt;=O$3,$E14&lt;=O$3+6),$A14,"")))</f>
        <v/>
      </c>
      <c r="P14" s="47" t="str">
        <f aca="false">IF($A14="","",IF(AND(INDEX(工程マスタ!$I$5:$I$154,$A14)="○",$E14&gt;=P$3,$E14&lt;=P$3+6),"▼",IF(AND($E14&gt;=P$3,$E14&lt;=P$3+6),$A14,"")))</f>
        <v/>
      </c>
      <c r="Q14" s="47" t="str">
        <f aca="false">IF($A14="","",IF(AND(INDEX(工程マスタ!$I$5:$I$154,$A14)="○",$E14&gt;=Q$3,$E14&lt;=Q$3+6),"▼",IF(AND($E14&gt;=Q$3,$E14&lt;=Q$3+6),$A14,"")))</f>
        <v/>
      </c>
      <c r="R14" s="47" t="str">
        <f aca="false">IF($A14="","",IF(AND(INDEX(工程マスタ!$I$5:$I$154,$A14)="○",$E14&gt;=R$3,$E14&lt;=R$3+6),"▼",IF(AND($E14&gt;=R$3,$E14&lt;=R$3+6),$A14,"")))</f>
        <v/>
      </c>
      <c r="S14" s="47" t="str">
        <f aca="false">IF($A14="","",IF(AND(INDEX(工程マスタ!$I$5:$I$154,$A14)="○",$E14&gt;=S$3,$E14&lt;=S$3+6),"▼",IF(AND($E14&gt;=S$3,$E14&lt;=S$3+6),$A14,"")))</f>
        <v/>
      </c>
      <c r="T14" s="47" t="n">
        <f aca="false">IF($A14="","",IF(AND(INDEX(工程マスタ!$I$5:$I$154,$A14)="○",$E14&gt;=T$3,$E14&lt;=T$3+6),"▼",IF(AND($E14&gt;=T$3,$E14&lt;=T$3+6),$A14,"")))</f>
        <v>8</v>
      </c>
      <c r="U14" s="47" t="str">
        <f aca="false">IF($A14="","",IF(AND(INDEX(工程マスタ!$I$5:$I$154,$A14)="○",$E14&gt;=U$3,$E14&lt;=U$3+6),"▼",IF(AND($E14&gt;=U$3,$E14&lt;=U$3+6),$A14,"")))</f>
        <v/>
      </c>
      <c r="V14" s="47" t="str">
        <f aca="false">IF($A14="","",IF(AND(INDEX(工程マスタ!$I$5:$I$154,$A14)="○",$E14&gt;=V$3,$E14&lt;=V$3+6),"▼",IF(AND($E14&gt;=V$3,$E14&lt;=V$3+6),$A14,"")))</f>
        <v/>
      </c>
      <c r="W14" s="47" t="str">
        <f aca="false">IF($A14="","",IF(AND(INDEX(工程マスタ!$I$5:$I$154,$A14)="○",$E14&gt;=W$3,$E14&lt;=W$3+6),"▼",IF(AND($E14&gt;=W$3,$E14&lt;=W$3+6),$A14,"")))</f>
        <v/>
      </c>
      <c r="X14" s="47" t="str">
        <f aca="false">IF($A14="","",IF(AND(INDEX(工程マスタ!$I$5:$I$154,$A14)="○",$E14&gt;=X$3,$E14&lt;=X$3+6),"▼",IF(AND($E14&gt;=X$3,$E14&lt;=X$3+6),$A14,"")))</f>
        <v/>
      </c>
      <c r="Y14" s="47" t="str">
        <f aca="false">IF($A14="","",IF(AND(INDEX(工程マスタ!$I$5:$I$154,$A14)="○",$E14&gt;=Y$3,$E14&lt;=Y$3+6),"▼",IF(AND($E14&gt;=Y$3,$E14&lt;=Y$3+6),$A14,"")))</f>
        <v/>
      </c>
      <c r="Z14" s="47" t="str">
        <f aca="false">IF($A14="","",IF(AND(INDEX(工程マスタ!$I$5:$I$154,$A14)="○",$E14&gt;=Z$3,$E14&lt;=Z$3+6),"▼",IF(AND($E14&gt;=Z$3,$E14&lt;=Z$3+6),$A14,"")))</f>
        <v/>
      </c>
      <c r="AA14" s="47" t="str">
        <f aca="false">IF($A14="","",IF(AND(INDEX(工程マスタ!$I$5:$I$154,$A14)="○",$E14&gt;=AA$3,$E14&lt;=AA$3+6),"▼",IF(AND($E14&gt;=AA$3,$E14&lt;=AA$3+6),$A14,"")))</f>
        <v/>
      </c>
      <c r="AB14" s="47" t="str">
        <f aca="false">IF($A14="","",IF(AND(INDEX(工程マスタ!$I$5:$I$154,$A14)="○",$E14&gt;=AB$3,$E14&lt;=AB$3+6),"▼",IF(AND($E14&gt;=AB$3,$E14&lt;=AB$3+6),$A14,"")))</f>
        <v/>
      </c>
      <c r="AC14" s="47" t="str">
        <f aca="false">IF($A14="","",IF(AND(INDEX(工程マスタ!$I$5:$I$154,$A14)="○",$E14&gt;=AC$3,$E14&lt;=AC$3+6),"▼",IF(AND($E14&gt;=AC$3,$E14&lt;=AC$3+6),$A14,"")))</f>
        <v/>
      </c>
      <c r="AD14" s="47" t="str">
        <f aca="false">IF($A14="","",IF(AND(INDEX(工程マスタ!$I$5:$I$154,$A14)="○",$E14&gt;=AD$3,$E14&lt;=AD$3+6),"▼",IF(AND($E14&gt;=AD$3,$E14&lt;=AD$3+6),$A14,"")))</f>
        <v/>
      </c>
      <c r="AE14" s="47" t="str">
        <f aca="false">IF($A14="","",IF(AND(INDEX(工程マスタ!$I$5:$I$154,$A14)="○",$E14&gt;=AE$3,$E14&lt;=AE$3+6),"▼",IF(AND($E14&gt;=AE$3,$E14&lt;=AE$3+6),$A14,"")))</f>
        <v/>
      </c>
      <c r="AF14" s="47" t="str">
        <f aca="false">IF($A14="","",IF(AND(INDEX(工程マスタ!$I$5:$I$154,$A14)="○",$E14&gt;=AF$3,$E14&lt;=AF$3+6),"▼",IF(AND($E14&gt;=AF$3,$E14&lt;=AF$3+6),$A14,"")))</f>
        <v/>
      </c>
      <c r="AG14" s="47" t="str">
        <f aca="false">IF($A14="","",IF(AND(INDEX(工程マスタ!$I$5:$I$154,$A14)="○",$E14&gt;=AG$3,$E14&lt;=AG$3+6),"▼",IF(AND($E14&gt;=AG$3,$E14&lt;=AG$3+6),$A14,"")))</f>
        <v/>
      </c>
      <c r="AH14" s="47" t="str">
        <f aca="false">IF($A14="","",IF(AND(INDEX(工程マスタ!$I$5:$I$154,$A14)="○",$E14&gt;=AH$3,$E14&lt;=AH$3+6),"▼",IF(AND($E14&gt;=AH$3,$E14&lt;=AH$3+6),$A14,"")))</f>
        <v/>
      </c>
      <c r="AI14" s="47" t="str">
        <f aca="false">IF($A14="","",IF(AND(INDEX(工程マスタ!$I$5:$I$154,$A14)="○",$E14&gt;=AI$3,$E14&lt;=AI$3+6),"▼",IF(AND($E14&gt;=AI$3,$E14&lt;=AI$3+6),$A14,"")))</f>
        <v/>
      </c>
      <c r="AJ14" s="47" t="str">
        <f aca="false">IF($A14="","",IF(AND(INDEX(工程マスタ!$I$5:$I$154,$A14)="○",$E14&gt;=AJ$3,$E14&lt;=AJ$3+6),"▼",IF(AND($E14&gt;=AJ$3,$E14&lt;=AJ$3+6),$A14,"")))</f>
        <v/>
      </c>
      <c r="AK14" s="47" t="str">
        <f aca="false">IF($A14="","",IF(AND(INDEX(工程マスタ!$I$5:$I$154,$A14)="○",$E14&gt;=AK$3,$E14&lt;=AK$3+6),"▼",IF(AND($E14&gt;=AK$3,$E14&lt;=AK$3+6),$A14,"")))</f>
        <v/>
      </c>
      <c r="AL14" s="47" t="str">
        <f aca="false">IF($A14="","",IF(AND(INDEX(工程マスタ!$I$5:$I$154,$A14)="○",$E14&gt;=AL$3,$E14&lt;=AL$3+6),"▼",IF(AND($E14&gt;=AL$3,$E14&lt;=AL$3+6),$A14,"")))</f>
        <v/>
      </c>
      <c r="AM14" s="47" t="str">
        <f aca="false">IF($A14="","",IF(AND(INDEX(工程マスタ!$I$5:$I$154,$A14)="○",$E14&gt;=AM$3,$E14&lt;=AM$3+6),"▼",IF(AND($E14&gt;=AM$3,$E14&lt;=AM$3+6),$A14,"")))</f>
        <v/>
      </c>
      <c r="AN14" s="47" t="str">
        <f aca="false">IF($A14="","",IF(AND(INDEX(工程マスタ!$I$5:$I$154,$A14)="○",$E14&gt;=AN$3,$E14&lt;=AN$3+6),"▼",IF(AND($E14&gt;=AN$3,$E14&lt;=AN$3+6),$A14,"")))</f>
        <v/>
      </c>
      <c r="AO14" s="47" t="str">
        <f aca="false">IF($A14="","",IF(AND(INDEX(工程マスタ!$I$5:$I$154,$A14)="○",$E14&gt;=AO$3,$E14&lt;=AO$3+6),"▼",IF(AND($E14&gt;=AO$3,$E14&lt;=AO$3+6),$A14,"")))</f>
        <v/>
      </c>
      <c r="AP14" s="47" t="str">
        <f aca="false">IF($A14="","",IF(AND(INDEX(工程マスタ!$I$5:$I$154,$A14)="○",$E14&gt;=AP$3,$E14&lt;=AP$3+6),"▼",IF(AND($E14&gt;=AP$3,$E14&lt;=AP$3+6),$A14,"")))</f>
        <v/>
      </c>
      <c r="AQ14" s="47" t="str">
        <f aca="false">IF($A14="","",IF(AND(INDEX(工程マスタ!$I$5:$I$154,$A14)="○",$E14&gt;=AQ$3,$E14&lt;=AQ$3+6),"▼",IF(AND($E14&gt;=AQ$3,$E14&lt;=AQ$3+6),$A14,"")))</f>
        <v/>
      </c>
      <c r="AR14" s="47" t="str">
        <f aca="false">IF($A14="","",IF(AND(INDEX(工程マスタ!$I$5:$I$154,$A14)="○",$E14&gt;=AR$3,$E14&lt;=AR$3+6),"▼",IF(AND($E14&gt;=AR$3,$E14&lt;=AR$3+6),$A14,"")))</f>
        <v/>
      </c>
      <c r="AS14" s="47" t="str">
        <f aca="false">IF($A14="","",IF(AND(INDEX(工程マスタ!$I$5:$I$154,$A14)="○",$E14&gt;=AS$3,$E14&lt;=AS$3+6),"▼",IF(AND($E14&gt;=AS$3,$E14&lt;=AS$3+6),$A14,"")))</f>
        <v/>
      </c>
      <c r="AT14" s="47" t="str">
        <f aca="false">IF($A14="","",IF(AND(INDEX(工程マスタ!$I$5:$I$154,$A14)="○",$E14&gt;=AT$3,$E14&lt;=AT$3+6),"▼",IF(AND($E14&gt;=AT$3,$E14&lt;=AT$3+6),$A14,"")))</f>
        <v/>
      </c>
      <c r="AU14" s="47" t="str">
        <f aca="false">IF($A14="","",IF(AND(INDEX(工程マスタ!$I$5:$I$154,$A14)="○",$E14&gt;=AU$3,$E14&lt;=AU$3+6),"▼",IF(AND($E14&gt;=AU$3,$E14&lt;=AU$3+6),$A14,"")))</f>
        <v/>
      </c>
      <c r="AV14" s="47" t="str">
        <f aca="false">IF($A14="","",IF(AND(INDEX(工程マスタ!$I$5:$I$154,$A14)="○",$E14&gt;=AV$3,$E14&lt;=AV$3+6),"▼",IF(AND($E14&gt;=AV$3,$E14&lt;=AV$3+6),$A14,"")))</f>
        <v/>
      </c>
      <c r="AW14" s="47" t="str">
        <f aca="false">IF($A14="","",IF(AND(INDEX(工程マスタ!$I$5:$I$154,$A14)="○",$E14&gt;=AW$3,$E14&lt;=AW$3+6),"▼",IF(AND($E14&gt;=AW$3,$E14&lt;=AW$3+6),$A14,"")))</f>
        <v/>
      </c>
      <c r="AX14" s="47" t="str">
        <f aca="false">IF($A14="","",IF(AND(INDEX(工程マスタ!$I$5:$I$154,$A14)="○",$E14&gt;=AX$3,$E14&lt;=AX$3+6),"▼",IF(AND($E14&gt;=AX$3,$E14&lt;=AX$3+6),$A14,"")))</f>
        <v/>
      </c>
      <c r="AY14" s="47" t="str">
        <f aca="false">IF($A14="","",IF(AND(INDEX(工程マスタ!$I$5:$I$154,$A14)="○",$E14&gt;=AY$3,$E14&lt;=AY$3+6),"▼",IF(AND($E14&gt;=AY$3,$E14&lt;=AY$3+6),$A14,"")))</f>
        <v/>
      </c>
      <c r="AZ14" s="47" t="str">
        <f aca="false">IF($A14="","",IF(AND(INDEX(工程マスタ!$I$5:$I$154,$A14)="○",$E14&gt;=AZ$3,$E14&lt;=AZ$3+6),"▼",IF(AND($E14&gt;=AZ$3,$E14&lt;=AZ$3+6),$A14,"")))</f>
        <v/>
      </c>
      <c r="BA14" s="47" t="str">
        <f aca="false">IF($A14="","",IF(AND(INDEX(工程マスタ!$I$5:$I$154,$A14)="○",$E14&gt;=BA$3,$E14&lt;=BA$3+6),"▼",IF(AND($E14&gt;=BA$3,$E14&lt;=BA$3+6),$A14,"")))</f>
        <v/>
      </c>
      <c r="BB14" s="47" t="str">
        <f aca="false">IF($A14="","",IF(AND(INDEX(工程マスタ!$I$5:$I$154,$A14)="○",$E14&gt;=BB$3,$E14&lt;=BB$3+6),"▼",IF(AND($E14&gt;=BB$3,$E14&lt;=BB$3+6),$A14,"")))</f>
        <v/>
      </c>
      <c r="BC14" s="47" t="str">
        <f aca="false">IF($A14="","",IF(AND(INDEX(工程マスタ!$I$5:$I$154,$A14)="○",$E14&gt;=BC$3,$E14&lt;=BC$3+6),"▼",IF(AND($E14&gt;=BC$3,$E14&lt;=BC$3+6),$A14,"")))</f>
        <v/>
      </c>
      <c r="BD14" s="47" t="str">
        <f aca="false">IF($A14="","",IF(AND(INDEX(工程マスタ!$I$5:$I$154,$A14)="○",$E14&gt;=BD$3,$E14&lt;=BD$3+6),"▼",IF(AND($E14&gt;=BD$3,$E14&lt;=BD$3+6),$A14,"")))</f>
        <v/>
      </c>
      <c r="BE14" s="47" t="str">
        <f aca="false">IF($A14="","",IF(AND(INDEX(工程マスタ!$I$5:$I$154,$A14)="○",$E14&gt;=BE$3,$E14&lt;=BE$3+6),"▼",IF(AND($E14&gt;=BE$3,$E14&lt;=BE$3+6),$A14,"")))</f>
        <v/>
      </c>
      <c r="BF14" s="47" t="str">
        <f aca="false">IF($A14="","",IF(AND(INDEX(工程マスタ!$I$5:$I$154,$A14)="○",$E14&gt;=BF$3,$E14&lt;=BF$3+6),"▼",IF(AND($E14&gt;=BF$3,$E14&lt;=BF$3+6),$A14,"")))</f>
        <v/>
      </c>
      <c r="BG14" s="47" t="str">
        <f aca="false">IF($A14="","",IF(AND(INDEX(工程マスタ!$I$5:$I$154,$A14)="○",$E14&gt;=BG$3,$E14&lt;=BG$3+6),"▼",IF(AND($E14&gt;=BG$3,$E14&lt;=BG$3+6),$A14,"")))</f>
        <v/>
      </c>
      <c r="BH14" s="47" t="str">
        <f aca="false">IF($A14="","",IF(AND(INDEX(工程マスタ!$I$5:$I$154,$A14)="○",$E14&gt;=BH$3,$E14&lt;=BH$3+6),"▼",IF(AND($E14&gt;=BH$3,$E14&lt;=BH$3+6),$A14,"")))</f>
        <v/>
      </c>
      <c r="BI14" s="47" t="str">
        <f aca="false">IF($A14="","",IF(AND(INDEX(工程マスタ!$I$5:$I$154,$A14)="○",$E14&gt;=BI$3,$E14&lt;=BI$3+6),"▼",IF(AND($E14&gt;=BI$3,$E14&lt;=BI$3+6),$A14,"")))</f>
        <v/>
      </c>
      <c r="BJ14" s="47" t="str">
        <f aca="false">IF($A14="","",IF(AND(INDEX(工程マスタ!$I$5:$I$154,$A14)="○",$E14&gt;=BJ$3,$E14&lt;=BJ$3+6),"▼",IF(AND($E14&gt;=BJ$3,$E14&lt;=BJ$3+6),$A14,"")))</f>
        <v/>
      </c>
    </row>
    <row r="15" customFormat="false" ht="15" hidden="false" customHeight="false" outlineLevel="0" collapsed="false">
      <c r="A15" s="28" t="n">
        <f aca="false">IF(工程マスタ!$C13="","",工程マスタ!$A13)</f>
        <v>9</v>
      </c>
      <c r="B15" s="46" t="str">
        <f aca="false">IF($A15="","",工程マスタ!$C13)</f>
        <v>床付け・捨てコンクリート</v>
      </c>
      <c r="C15" s="28" t="n">
        <f aca="false">IF($A15="","",MAX(1,工程マスタ!$G13))</f>
        <v>6</v>
      </c>
      <c r="D15" s="28" t="str">
        <f aca="false">IF($A15="","",_xlfn.TEXTJOIN(",",TRUE(),工程マスタ!$N13:$P13))</f>
        <v>8</v>
      </c>
      <c r="E15" s="29" t="n">
        <f aca="false">IF($A15="","",IF(COUNT(工程マスタ!$N13:$P13)=0,設定!$B$8,MAX(IF(工程マスタ!$N13="",0,INDEX($F$7:$F$156,工程マスタ!$N13)),IF(工程マスタ!$O13="",0,INDEX($F$7:$F$156,工程マスタ!$O13)),IF(工程マスタ!$P13="",0,INDEX($F$7:$F$156,工程マスタ!$P13)))+1))</f>
        <v>46290</v>
      </c>
      <c r="F15" s="29" t="n">
        <f aca="false">IF($A15="","",$E15+$C15-1)</f>
        <v>46295</v>
      </c>
      <c r="G15" s="29" t="n">
        <f aca="false">IF($A15="","",$H15-$C15+1)</f>
        <v>46290</v>
      </c>
      <c r="H15" s="29" t="n">
        <f aca="false" t="array" ref="H15:H15">IF($A15="","",IF(SUMPRODUCT((工程マスタ!$N$14:$N$154=$A15)*1)+SUMPRODUCT((工程マスタ!$O$14:$O$154=$A15)*1)+SUMPRODUCT((工程マスタ!$P$14:$P$154=$A15)*1)=0,MAX($F$7:$F$156),MIN(IF((工程マスタ!$N$14:$N$154=$A15)+(工程マスタ!$O$14:$O$154=$A15)+(工程マスタ!$P$14:$P$154=$A15),$G16:$G$156))-1))</f>
        <v>46295</v>
      </c>
      <c r="I15" s="28" t="n">
        <f aca="false">IF($A15="","",$G15-$E15)</f>
        <v>0</v>
      </c>
      <c r="J15" s="28" t="str">
        <f aca="false">IF($A15="","",IF($I15&lt;=0,"●",""))</f>
        <v>●</v>
      </c>
      <c r="K15" s="47" t="str">
        <f aca="false">IF($A15="","",IF(AND(INDEX(工程マスタ!$I$5:$I$154,$A15)="○",$E15&gt;=K$3,$E15&lt;=K$3+6),"▼",IF(AND($E15&gt;=K$3,$E15&lt;=K$3+6),$A15,"")))</f>
        <v/>
      </c>
      <c r="L15" s="47" t="str">
        <f aca="false">IF($A15="","",IF(AND(INDEX(工程マスタ!$I$5:$I$154,$A15)="○",$E15&gt;=L$3,$E15&lt;=L$3+6),"▼",IF(AND($E15&gt;=L$3,$E15&lt;=L$3+6),$A15,"")))</f>
        <v/>
      </c>
      <c r="M15" s="47" t="str">
        <f aca="false">IF($A15="","",IF(AND(INDEX(工程マスタ!$I$5:$I$154,$A15)="○",$E15&gt;=M$3,$E15&lt;=M$3+6),"▼",IF(AND($E15&gt;=M$3,$E15&lt;=M$3+6),$A15,"")))</f>
        <v/>
      </c>
      <c r="N15" s="47" t="str">
        <f aca="false">IF($A15="","",IF(AND(INDEX(工程マスタ!$I$5:$I$154,$A15)="○",$E15&gt;=N$3,$E15&lt;=N$3+6),"▼",IF(AND($E15&gt;=N$3,$E15&lt;=N$3+6),$A15,"")))</f>
        <v/>
      </c>
      <c r="O15" s="47" t="str">
        <f aca="false">IF($A15="","",IF(AND(INDEX(工程マスタ!$I$5:$I$154,$A15)="○",$E15&gt;=O$3,$E15&lt;=O$3+6),"▼",IF(AND($E15&gt;=O$3,$E15&lt;=O$3+6),$A15,"")))</f>
        <v/>
      </c>
      <c r="P15" s="47" t="str">
        <f aca="false">IF($A15="","",IF(AND(INDEX(工程マスタ!$I$5:$I$154,$A15)="○",$E15&gt;=P$3,$E15&lt;=P$3+6),"▼",IF(AND($E15&gt;=P$3,$E15&lt;=P$3+6),$A15,"")))</f>
        <v/>
      </c>
      <c r="Q15" s="47" t="str">
        <f aca="false">IF($A15="","",IF(AND(INDEX(工程マスタ!$I$5:$I$154,$A15)="○",$E15&gt;=Q$3,$E15&lt;=Q$3+6),"▼",IF(AND($E15&gt;=Q$3,$E15&lt;=Q$3+6),$A15,"")))</f>
        <v/>
      </c>
      <c r="R15" s="47" t="str">
        <f aca="false">IF($A15="","",IF(AND(INDEX(工程マスタ!$I$5:$I$154,$A15)="○",$E15&gt;=R$3,$E15&lt;=R$3+6),"▼",IF(AND($E15&gt;=R$3,$E15&lt;=R$3+6),$A15,"")))</f>
        <v/>
      </c>
      <c r="S15" s="47" t="str">
        <f aca="false">IF($A15="","",IF(AND(INDEX(工程マスタ!$I$5:$I$154,$A15)="○",$E15&gt;=S$3,$E15&lt;=S$3+6),"▼",IF(AND($E15&gt;=S$3,$E15&lt;=S$3+6),$A15,"")))</f>
        <v/>
      </c>
      <c r="T15" s="47" t="str">
        <f aca="false">IF($A15="","",IF(AND(INDEX(工程マスタ!$I$5:$I$154,$A15)="○",$E15&gt;=T$3,$E15&lt;=T$3+6),"▼",IF(AND($E15&gt;=T$3,$E15&lt;=T$3+6),$A15,"")))</f>
        <v/>
      </c>
      <c r="U15" s="47" t="str">
        <f aca="false">IF($A15="","",IF(AND(INDEX(工程マスタ!$I$5:$I$154,$A15)="○",$E15&gt;=U$3,$E15&lt;=U$3+6),"▼",IF(AND($E15&gt;=U$3,$E15&lt;=U$3+6),$A15,"")))</f>
        <v/>
      </c>
      <c r="V15" s="47" t="str">
        <f aca="false">IF($A15="","",IF(AND(INDEX(工程マスタ!$I$5:$I$154,$A15)="○",$E15&gt;=V$3,$E15&lt;=V$3+6),"▼",IF(AND($E15&gt;=V$3,$E15&lt;=V$3+6),$A15,"")))</f>
        <v/>
      </c>
      <c r="W15" s="47" t="n">
        <f aca="false">IF($A15="","",IF(AND(INDEX(工程マスタ!$I$5:$I$154,$A15)="○",$E15&gt;=W$3,$E15&lt;=W$3+6),"▼",IF(AND($E15&gt;=W$3,$E15&lt;=W$3+6),$A15,"")))</f>
        <v>9</v>
      </c>
      <c r="X15" s="47" t="str">
        <f aca="false">IF($A15="","",IF(AND(INDEX(工程マスタ!$I$5:$I$154,$A15)="○",$E15&gt;=X$3,$E15&lt;=X$3+6),"▼",IF(AND($E15&gt;=X$3,$E15&lt;=X$3+6),$A15,"")))</f>
        <v/>
      </c>
      <c r="Y15" s="47" t="str">
        <f aca="false">IF($A15="","",IF(AND(INDEX(工程マスタ!$I$5:$I$154,$A15)="○",$E15&gt;=Y$3,$E15&lt;=Y$3+6),"▼",IF(AND($E15&gt;=Y$3,$E15&lt;=Y$3+6),$A15,"")))</f>
        <v/>
      </c>
      <c r="Z15" s="47" t="str">
        <f aca="false">IF($A15="","",IF(AND(INDEX(工程マスタ!$I$5:$I$154,$A15)="○",$E15&gt;=Z$3,$E15&lt;=Z$3+6),"▼",IF(AND($E15&gt;=Z$3,$E15&lt;=Z$3+6),$A15,"")))</f>
        <v/>
      </c>
      <c r="AA15" s="47" t="str">
        <f aca="false">IF($A15="","",IF(AND(INDEX(工程マスタ!$I$5:$I$154,$A15)="○",$E15&gt;=AA$3,$E15&lt;=AA$3+6),"▼",IF(AND($E15&gt;=AA$3,$E15&lt;=AA$3+6),$A15,"")))</f>
        <v/>
      </c>
      <c r="AB15" s="47" t="str">
        <f aca="false">IF($A15="","",IF(AND(INDEX(工程マスタ!$I$5:$I$154,$A15)="○",$E15&gt;=AB$3,$E15&lt;=AB$3+6),"▼",IF(AND($E15&gt;=AB$3,$E15&lt;=AB$3+6),$A15,"")))</f>
        <v/>
      </c>
      <c r="AC15" s="47" t="str">
        <f aca="false">IF($A15="","",IF(AND(INDEX(工程マスタ!$I$5:$I$154,$A15)="○",$E15&gt;=AC$3,$E15&lt;=AC$3+6),"▼",IF(AND($E15&gt;=AC$3,$E15&lt;=AC$3+6),$A15,"")))</f>
        <v/>
      </c>
      <c r="AD15" s="47" t="str">
        <f aca="false">IF($A15="","",IF(AND(INDEX(工程マスタ!$I$5:$I$154,$A15)="○",$E15&gt;=AD$3,$E15&lt;=AD$3+6),"▼",IF(AND($E15&gt;=AD$3,$E15&lt;=AD$3+6),$A15,"")))</f>
        <v/>
      </c>
      <c r="AE15" s="47" t="str">
        <f aca="false">IF($A15="","",IF(AND(INDEX(工程マスタ!$I$5:$I$154,$A15)="○",$E15&gt;=AE$3,$E15&lt;=AE$3+6),"▼",IF(AND($E15&gt;=AE$3,$E15&lt;=AE$3+6),$A15,"")))</f>
        <v/>
      </c>
      <c r="AF15" s="47" t="str">
        <f aca="false">IF($A15="","",IF(AND(INDEX(工程マスタ!$I$5:$I$154,$A15)="○",$E15&gt;=AF$3,$E15&lt;=AF$3+6),"▼",IF(AND($E15&gt;=AF$3,$E15&lt;=AF$3+6),$A15,"")))</f>
        <v/>
      </c>
      <c r="AG15" s="47" t="str">
        <f aca="false">IF($A15="","",IF(AND(INDEX(工程マスタ!$I$5:$I$154,$A15)="○",$E15&gt;=AG$3,$E15&lt;=AG$3+6),"▼",IF(AND($E15&gt;=AG$3,$E15&lt;=AG$3+6),$A15,"")))</f>
        <v/>
      </c>
      <c r="AH15" s="47" t="str">
        <f aca="false">IF($A15="","",IF(AND(INDEX(工程マスタ!$I$5:$I$154,$A15)="○",$E15&gt;=AH$3,$E15&lt;=AH$3+6),"▼",IF(AND($E15&gt;=AH$3,$E15&lt;=AH$3+6),$A15,"")))</f>
        <v/>
      </c>
      <c r="AI15" s="47" t="str">
        <f aca="false">IF($A15="","",IF(AND(INDEX(工程マスタ!$I$5:$I$154,$A15)="○",$E15&gt;=AI$3,$E15&lt;=AI$3+6),"▼",IF(AND($E15&gt;=AI$3,$E15&lt;=AI$3+6),$A15,"")))</f>
        <v/>
      </c>
      <c r="AJ15" s="47" t="str">
        <f aca="false">IF($A15="","",IF(AND(INDEX(工程マスタ!$I$5:$I$154,$A15)="○",$E15&gt;=AJ$3,$E15&lt;=AJ$3+6),"▼",IF(AND($E15&gt;=AJ$3,$E15&lt;=AJ$3+6),$A15,"")))</f>
        <v/>
      </c>
      <c r="AK15" s="47" t="str">
        <f aca="false">IF($A15="","",IF(AND(INDEX(工程マスタ!$I$5:$I$154,$A15)="○",$E15&gt;=AK$3,$E15&lt;=AK$3+6),"▼",IF(AND($E15&gt;=AK$3,$E15&lt;=AK$3+6),$A15,"")))</f>
        <v/>
      </c>
      <c r="AL15" s="47" t="str">
        <f aca="false">IF($A15="","",IF(AND(INDEX(工程マスタ!$I$5:$I$154,$A15)="○",$E15&gt;=AL$3,$E15&lt;=AL$3+6),"▼",IF(AND($E15&gt;=AL$3,$E15&lt;=AL$3+6),$A15,"")))</f>
        <v/>
      </c>
      <c r="AM15" s="47" t="str">
        <f aca="false">IF($A15="","",IF(AND(INDEX(工程マスタ!$I$5:$I$154,$A15)="○",$E15&gt;=AM$3,$E15&lt;=AM$3+6),"▼",IF(AND($E15&gt;=AM$3,$E15&lt;=AM$3+6),$A15,"")))</f>
        <v/>
      </c>
      <c r="AN15" s="47" t="str">
        <f aca="false">IF($A15="","",IF(AND(INDEX(工程マスタ!$I$5:$I$154,$A15)="○",$E15&gt;=AN$3,$E15&lt;=AN$3+6),"▼",IF(AND($E15&gt;=AN$3,$E15&lt;=AN$3+6),$A15,"")))</f>
        <v/>
      </c>
      <c r="AO15" s="47" t="str">
        <f aca="false">IF($A15="","",IF(AND(INDEX(工程マスタ!$I$5:$I$154,$A15)="○",$E15&gt;=AO$3,$E15&lt;=AO$3+6),"▼",IF(AND($E15&gt;=AO$3,$E15&lt;=AO$3+6),$A15,"")))</f>
        <v/>
      </c>
      <c r="AP15" s="47" t="str">
        <f aca="false">IF($A15="","",IF(AND(INDEX(工程マスタ!$I$5:$I$154,$A15)="○",$E15&gt;=AP$3,$E15&lt;=AP$3+6),"▼",IF(AND($E15&gt;=AP$3,$E15&lt;=AP$3+6),$A15,"")))</f>
        <v/>
      </c>
      <c r="AQ15" s="47" t="str">
        <f aca="false">IF($A15="","",IF(AND(INDEX(工程マスタ!$I$5:$I$154,$A15)="○",$E15&gt;=AQ$3,$E15&lt;=AQ$3+6),"▼",IF(AND($E15&gt;=AQ$3,$E15&lt;=AQ$3+6),$A15,"")))</f>
        <v/>
      </c>
      <c r="AR15" s="47" t="str">
        <f aca="false">IF($A15="","",IF(AND(INDEX(工程マスタ!$I$5:$I$154,$A15)="○",$E15&gt;=AR$3,$E15&lt;=AR$3+6),"▼",IF(AND($E15&gt;=AR$3,$E15&lt;=AR$3+6),$A15,"")))</f>
        <v/>
      </c>
      <c r="AS15" s="47" t="str">
        <f aca="false">IF($A15="","",IF(AND(INDEX(工程マスタ!$I$5:$I$154,$A15)="○",$E15&gt;=AS$3,$E15&lt;=AS$3+6),"▼",IF(AND($E15&gt;=AS$3,$E15&lt;=AS$3+6),$A15,"")))</f>
        <v/>
      </c>
      <c r="AT15" s="47" t="str">
        <f aca="false">IF($A15="","",IF(AND(INDEX(工程マスタ!$I$5:$I$154,$A15)="○",$E15&gt;=AT$3,$E15&lt;=AT$3+6),"▼",IF(AND($E15&gt;=AT$3,$E15&lt;=AT$3+6),$A15,"")))</f>
        <v/>
      </c>
      <c r="AU15" s="47" t="str">
        <f aca="false">IF($A15="","",IF(AND(INDEX(工程マスタ!$I$5:$I$154,$A15)="○",$E15&gt;=AU$3,$E15&lt;=AU$3+6),"▼",IF(AND($E15&gt;=AU$3,$E15&lt;=AU$3+6),$A15,"")))</f>
        <v/>
      </c>
      <c r="AV15" s="47" t="str">
        <f aca="false">IF($A15="","",IF(AND(INDEX(工程マスタ!$I$5:$I$154,$A15)="○",$E15&gt;=AV$3,$E15&lt;=AV$3+6),"▼",IF(AND($E15&gt;=AV$3,$E15&lt;=AV$3+6),$A15,"")))</f>
        <v/>
      </c>
      <c r="AW15" s="47" t="str">
        <f aca="false">IF($A15="","",IF(AND(INDEX(工程マスタ!$I$5:$I$154,$A15)="○",$E15&gt;=AW$3,$E15&lt;=AW$3+6),"▼",IF(AND($E15&gt;=AW$3,$E15&lt;=AW$3+6),$A15,"")))</f>
        <v/>
      </c>
      <c r="AX15" s="47" t="str">
        <f aca="false">IF($A15="","",IF(AND(INDEX(工程マスタ!$I$5:$I$154,$A15)="○",$E15&gt;=AX$3,$E15&lt;=AX$3+6),"▼",IF(AND($E15&gt;=AX$3,$E15&lt;=AX$3+6),$A15,"")))</f>
        <v/>
      </c>
      <c r="AY15" s="47" t="str">
        <f aca="false">IF($A15="","",IF(AND(INDEX(工程マスタ!$I$5:$I$154,$A15)="○",$E15&gt;=AY$3,$E15&lt;=AY$3+6),"▼",IF(AND($E15&gt;=AY$3,$E15&lt;=AY$3+6),$A15,"")))</f>
        <v/>
      </c>
      <c r="AZ15" s="47" t="str">
        <f aca="false">IF($A15="","",IF(AND(INDEX(工程マスタ!$I$5:$I$154,$A15)="○",$E15&gt;=AZ$3,$E15&lt;=AZ$3+6),"▼",IF(AND($E15&gt;=AZ$3,$E15&lt;=AZ$3+6),$A15,"")))</f>
        <v/>
      </c>
      <c r="BA15" s="47" t="str">
        <f aca="false">IF($A15="","",IF(AND(INDEX(工程マスタ!$I$5:$I$154,$A15)="○",$E15&gt;=BA$3,$E15&lt;=BA$3+6),"▼",IF(AND($E15&gt;=BA$3,$E15&lt;=BA$3+6),$A15,"")))</f>
        <v/>
      </c>
      <c r="BB15" s="47" t="str">
        <f aca="false">IF($A15="","",IF(AND(INDEX(工程マスタ!$I$5:$I$154,$A15)="○",$E15&gt;=BB$3,$E15&lt;=BB$3+6),"▼",IF(AND($E15&gt;=BB$3,$E15&lt;=BB$3+6),$A15,"")))</f>
        <v/>
      </c>
      <c r="BC15" s="47" t="str">
        <f aca="false">IF($A15="","",IF(AND(INDEX(工程マスタ!$I$5:$I$154,$A15)="○",$E15&gt;=BC$3,$E15&lt;=BC$3+6),"▼",IF(AND($E15&gt;=BC$3,$E15&lt;=BC$3+6),$A15,"")))</f>
        <v/>
      </c>
      <c r="BD15" s="47" t="str">
        <f aca="false">IF($A15="","",IF(AND(INDEX(工程マスタ!$I$5:$I$154,$A15)="○",$E15&gt;=BD$3,$E15&lt;=BD$3+6),"▼",IF(AND($E15&gt;=BD$3,$E15&lt;=BD$3+6),$A15,"")))</f>
        <v/>
      </c>
      <c r="BE15" s="47" t="str">
        <f aca="false">IF($A15="","",IF(AND(INDEX(工程マスタ!$I$5:$I$154,$A15)="○",$E15&gt;=BE$3,$E15&lt;=BE$3+6),"▼",IF(AND($E15&gt;=BE$3,$E15&lt;=BE$3+6),$A15,"")))</f>
        <v/>
      </c>
      <c r="BF15" s="47" t="str">
        <f aca="false">IF($A15="","",IF(AND(INDEX(工程マスタ!$I$5:$I$154,$A15)="○",$E15&gt;=BF$3,$E15&lt;=BF$3+6),"▼",IF(AND($E15&gt;=BF$3,$E15&lt;=BF$3+6),$A15,"")))</f>
        <v/>
      </c>
      <c r="BG15" s="47" t="str">
        <f aca="false">IF($A15="","",IF(AND(INDEX(工程マスタ!$I$5:$I$154,$A15)="○",$E15&gt;=BG$3,$E15&lt;=BG$3+6),"▼",IF(AND($E15&gt;=BG$3,$E15&lt;=BG$3+6),$A15,"")))</f>
        <v/>
      </c>
      <c r="BH15" s="47" t="str">
        <f aca="false">IF($A15="","",IF(AND(INDEX(工程マスタ!$I$5:$I$154,$A15)="○",$E15&gt;=BH$3,$E15&lt;=BH$3+6),"▼",IF(AND($E15&gt;=BH$3,$E15&lt;=BH$3+6),$A15,"")))</f>
        <v/>
      </c>
      <c r="BI15" s="47" t="str">
        <f aca="false">IF($A15="","",IF(AND(INDEX(工程マスタ!$I$5:$I$154,$A15)="○",$E15&gt;=BI$3,$E15&lt;=BI$3+6),"▼",IF(AND($E15&gt;=BI$3,$E15&lt;=BI$3+6),$A15,"")))</f>
        <v/>
      </c>
      <c r="BJ15" s="47" t="str">
        <f aca="false">IF($A15="","",IF(AND(INDEX(工程マスタ!$I$5:$I$154,$A15)="○",$E15&gt;=BJ$3,$E15&lt;=BJ$3+6),"▼",IF(AND($E15&gt;=BJ$3,$E15&lt;=BJ$3+6),$A15,"")))</f>
        <v/>
      </c>
    </row>
    <row r="16" customFormat="false" ht="15" hidden="false" customHeight="false" outlineLevel="0" collapsed="false">
      <c r="A16" s="28" t="n">
        <f aca="false">IF(工程マスタ!$C14="","",工程マスタ!$A14)</f>
        <v>10</v>
      </c>
      <c r="B16" s="46" t="str">
        <f aca="false">IF($A16="","",工程マスタ!$C14)</f>
        <v>基礎配筋・型枠</v>
      </c>
      <c r="C16" s="28" t="n">
        <f aca="false">IF($A16="","",MAX(1,工程マスタ!$G14))</f>
        <v>13</v>
      </c>
      <c r="D16" s="28" t="str">
        <f aca="false">IF($A16="","",_xlfn.TEXTJOIN(",",TRUE(),工程マスタ!$N14:$P14))</f>
        <v>9</v>
      </c>
      <c r="E16" s="29" t="n">
        <f aca="false">IF($A16="","",IF(COUNT(工程マスタ!$N14:$P14)=0,設定!$B$8,MAX(IF(工程マスタ!$N14="",0,INDEX($F$7:$F$156,工程マスタ!$N14)),IF(工程マスタ!$O14="",0,INDEX($F$7:$F$156,工程マスタ!$O14)),IF(工程マスタ!$P14="",0,INDEX($F$7:$F$156,工程マスタ!$P14)))+1))</f>
        <v>46296</v>
      </c>
      <c r="F16" s="29" t="n">
        <f aca="false">IF($A16="","",$E16+$C16-1)</f>
        <v>46308</v>
      </c>
      <c r="G16" s="29" t="n">
        <f aca="false">IF($A16="","",$H16-$C16+1)</f>
        <v>46296</v>
      </c>
      <c r="H16" s="29" t="n">
        <f aca="false" t="array" ref="H16:H16">IF($A16="","",IF(SUMPRODUCT((工程マスタ!$N$15:$N$154=$A16)*1)+SUMPRODUCT((工程マスタ!$O$15:$O$154=$A16)*1)+SUMPRODUCT((工程マスタ!$P$15:$P$154=$A16)*1)=0,MAX($F$7:$F$156),MIN(IF((工程マスタ!$N$15:$N$154=$A16)+(工程マスタ!$O$15:$O$154=$A16)+(工程マスタ!$P$15:$P$154=$A16),$G17:$G$156))-1))</f>
        <v>46308</v>
      </c>
      <c r="I16" s="28" t="n">
        <f aca="false">IF($A16="","",$G16-$E16)</f>
        <v>0</v>
      </c>
      <c r="J16" s="28" t="str">
        <f aca="false">IF($A16="","",IF($I16&lt;=0,"●",""))</f>
        <v>●</v>
      </c>
      <c r="K16" s="47" t="str">
        <f aca="false">IF($A16="","",IF(AND(INDEX(工程マスタ!$I$5:$I$154,$A16)="○",$E16&gt;=K$3,$E16&lt;=K$3+6),"▼",IF(AND($E16&gt;=K$3,$E16&lt;=K$3+6),$A16,"")))</f>
        <v/>
      </c>
      <c r="L16" s="47" t="str">
        <f aca="false">IF($A16="","",IF(AND(INDEX(工程マスタ!$I$5:$I$154,$A16)="○",$E16&gt;=L$3,$E16&lt;=L$3+6),"▼",IF(AND($E16&gt;=L$3,$E16&lt;=L$3+6),$A16,"")))</f>
        <v/>
      </c>
      <c r="M16" s="47" t="str">
        <f aca="false">IF($A16="","",IF(AND(INDEX(工程マスタ!$I$5:$I$154,$A16)="○",$E16&gt;=M$3,$E16&lt;=M$3+6),"▼",IF(AND($E16&gt;=M$3,$E16&lt;=M$3+6),$A16,"")))</f>
        <v/>
      </c>
      <c r="N16" s="47" t="str">
        <f aca="false">IF($A16="","",IF(AND(INDEX(工程マスタ!$I$5:$I$154,$A16)="○",$E16&gt;=N$3,$E16&lt;=N$3+6),"▼",IF(AND($E16&gt;=N$3,$E16&lt;=N$3+6),$A16,"")))</f>
        <v/>
      </c>
      <c r="O16" s="47" t="str">
        <f aca="false">IF($A16="","",IF(AND(INDEX(工程マスタ!$I$5:$I$154,$A16)="○",$E16&gt;=O$3,$E16&lt;=O$3+6),"▼",IF(AND($E16&gt;=O$3,$E16&lt;=O$3+6),$A16,"")))</f>
        <v/>
      </c>
      <c r="P16" s="47" t="str">
        <f aca="false">IF($A16="","",IF(AND(INDEX(工程マスタ!$I$5:$I$154,$A16)="○",$E16&gt;=P$3,$E16&lt;=P$3+6),"▼",IF(AND($E16&gt;=P$3,$E16&lt;=P$3+6),$A16,"")))</f>
        <v/>
      </c>
      <c r="Q16" s="47" t="str">
        <f aca="false">IF($A16="","",IF(AND(INDEX(工程マスタ!$I$5:$I$154,$A16)="○",$E16&gt;=Q$3,$E16&lt;=Q$3+6),"▼",IF(AND($E16&gt;=Q$3,$E16&lt;=Q$3+6),$A16,"")))</f>
        <v/>
      </c>
      <c r="R16" s="47" t="str">
        <f aca="false">IF($A16="","",IF(AND(INDEX(工程マスタ!$I$5:$I$154,$A16)="○",$E16&gt;=R$3,$E16&lt;=R$3+6),"▼",IF(AND($E16&gt;=R$3,$E16&lt;=R$3+6),$A16,"")))</f>
        <v/>
      </c>
      <c r="S16" s="47" t="str">
        <f aca="false">IF($A16="","",IF(AND(INDEX(工程マスタ!$I$5:$I$154,$A16)="○",$E16&gt;=S$3,$E16&lt;=S$3+6),"▼",IF(AND($E16&gt;=S$3,$E16&lt;=S$3+6),$A16,"")))</f>
        <v/>
      </c>
      <c r="T16" s="47" t="str">
        <f aca="false">IF($A16="","",IF(AND(INDEX(工程マスタ!$I$5:$I$154,$A16)="○",$E16&gt;=T$3,$E16&lt;=T$3+6),"▼",IF(AND($E16&gt;=T$3,$E16&lt;=T$3+6),$A16,"")))</f>
        <v/>
      </c>
      <c r="U16" s="47" t="str">
        <f aca="false">IF($A16="","",IF(AND(INDEX(工程マスタ!$I$5:$I$154,$A16)="○",$E16&gt;=U$3,$E16&lt;=U$3+6),"▼",IF(AND($E16&gt;=U$3,$E16&lt;=U$3+6),$A16,"")))</f>
        <v/>
      </c>
      <c r="V16" s="47" t="str">
        <f aca="false">IF($A16="","",IF(AND(INDEX(工程マスタ!$I$5:$I$154,$A16)="○",$E16&gt;=V$3,$E16&lt;=V$3+6),"▼",IF(AND($E16&gt;=V$3,$E16&lt;=V$3+6),$A16,"")))</f>
        <v/>
      </c>
      <c r="W16" s="47" t="str">
        <f aca="false">IF($A16="","",IF(AND(INDEX(工程マスタ!$I$5:$I$154,$A16)="○",$E16&gt;=W$3,$E16&lt;=W$3+6),"▼",IF(AND($E16&gt;=W$3,$E16&lt;=W$3+6),$A16,"")))</f>
        <v/>
      </c>
      <c r="X16" s="47" t="n">
        <f aca="false">IF($A16="","",IF(AND(INDEX(工程マスタ!$I$5:$I$154,$A16)="○",$E16&gt;=X$3,$E16&lt;=X$3+6),"▼",IF(AND($E16&gt;=X$3,$E16&lt;=X$3+6),$A16,"")))</f>
        <v>10</v>
      </c>
      <c r="Y16" s="47" t="str">
        <f aca="false">IF($A16="","",IF(AND(INDEX(工程マスタ!$I$5:$I$154,$A16)="○",$E16&gt;=Y$3,$E16&lt;=Y$3+6),"▼",IF(AND($E16&gt;=Y$3,$E16&lt;=Y$3+6),$A16,"")))</f>
        <v/>
      </c>
      <c r="Z16" s="47" t="str">
        <f aca="false">IF($A16="","",IF(AND(INDEX(工程マスタ!$I$5:$I$154,$A16)="○",$E16&gt;=Z$3,$E16&lt;=Z$3+6),"▼",IF(AND($E16&gt;=Z$3,$E16&lt;=Z$3+6),$A16,"")))</f>
        <v/>
      </c>
      <c r="AA16" s="47" t="str">
        <f aca="false">IF($A16="","",IF(AND(INDEX(工程マスタ!$I$5:$I$154,$A16)="○",$E16&gt;=AA$3,$E16&lt;=AA$3+6),"▼",IF(AND($E16&gt;=AA$3,$E16&lt;=AA$3+6),$A16,"")))</f>
        <v/>
      </c>
      <c r="AB16" s="47" t="str">
        <f aca="false">IF($A16="","",IF(AND(INDEX(工程マスタ!$I$5:$I$154,$A16)="○",$E16&gt;=AB$3,$E16&lt;=AB$3+6),"▼",IF(AND($E16&gt;=AB$3,$E16&lt;=AB$3+6),$A16,"")))</f>
        <v/>
      </c>
      <c r="AC16" s="47" t="str">
        <f aca="false">IF($A16="","",IF(AND(INDEX(工程マスタ!$I$5:$I$154,$A16)="○",$E16&gt;=AC$3,$E16&lt;=AC$3+6),"▼",IF(AND($E16&gt;=AC$3,$E16&lt;=AC$3+6),$A16,"")))</f>
        <v/>
      </c>
      <c r="AD16" s="47" t="str">
        <f aca="false">IF($A16="","",IF(AND(INDEX(工程マスタ!$I$5:$I$154,$A16)="○",$E16&gt;=AD$3,$E16&lt;=AD$3+6),"▼",IF(AND($E16&gt;=AD$3,$E16&lt;=AD$3+6),$A16,"")))</f>
        <v/>
      </c>
      <c r="AE16" s="47" t="str">
        <f aca="false">IF($A16="","",IF(AND(INDEX(工程マスタ!$I$5:$I$154,$A16)="○",$E16&gt;=AE$3,$E16&lt;=AE$3+6),"▼",IF(AND($E16&gt;=AE$3,$E16&lt;=AE$3+6),$A16,"")))</f>
        <v/>
      </c>
      <c r="AF16" s="47" t="str">
        <f aca="false">IF($A16="","",IF(AND(INDEX(工程マスタ!$I$5:$I$154,$A16)="○",$E16&gt;=AF$3,$E16&lt;=AF$3+6),"▼",IF(AND($E16&gt;=AF$3,$E16&lt;=AF$3+6),$A16,"")))</f>
        <v/>
      </c>
      <c r="AG16" s="47" t="str">
        <f aca="false">IF($A16="","",IF(AND(INDEX(工程マスタ!$I$5:$I$154,$A16)="○",$E16&gt;=AG$3,$E16&lt;=AG$3+6),"▼",IF(AND($E16&gt;=AG$3,$E16&lt;=AG$3+6),$A16,"")))</f>
        <v/>
      </c>
      <c r="AH16" s="47" t="str">
        <f aca="false">IF($A16="","",IF(AND(INDEX(工程マスタ!$I$5:$I$154,$A16)="○",$E16&gt;=AH$3,$E16&lt;=AH$3+6),"▼",IF(AND($E16&gt;=AH$3,$E16&lt;=AH$3+6),$A16,"")))</f>
        <v/>
      </c>
      <c r="AI16" s="47" t="str">
        <f aca="false">IF($A16="","",IF(AND(INDEX(工程マスタ!$I$5:$I$154,$A16)="○",$E16&gt;=AI$3,$E16&lt;=AI$3+6),"▼",IF(AND($E16&gt;=AI$3,$E16&lt;=AI$3+6),$A16,"")))</f>
        <v/>
      </c>
      <c r="AJ16" s="47" t="str">
        <f aca="false">IF($A16="","",IF(AND(INDEX(工程マスタ!$I$5:$I$154,$A16)="○",$E16&gt;=AJ$3,$E16&lt;=AJ$3+6),"▼",IF(AND($E16&gt;=AJ$3,$E16&lt;=AJ$3+6),$A16,"")))</f>
        <v/>
      </c>
      <c r="AK16" s="47" t="str">
        <f aca="false">IF($A16="","",IF(AND(INDEX(工程マスタ!$I$5:$I$154,$A16)="○",$E16&gt;=AK$3,$E16&lt;=AK$3+6),"▼",IF(AND($E16&gt;=AK$3,$E16&lt;=AK$3+6),$A16,"")))</f>
        <v/>
      </c>
      <c r="AL16" s="47" t="str">
        <f aca="false">IF($A16="","",IF(AND(INDEX(工程マスタ!$I$5:$I$154,$A16)="○",$E16&gt;=AL$3,$E16&lt;=AL$3+6),"▼",IF(AND($E16&gt;=AL$3,$E16&lt;=AL$3+6),$A16,"")))</f>
        <v/>
      </c>
      <c r="AM16" s="47" t="str">
        <f aca="false">IF($A16="","",IF(AND(INDEX(工程マスタ!$I$5:$I$154,$A16)="○",$E16&gt;=AM$3,$E16&lt;=AM$3+6),"▼",IF(AND($E16&gt;=AM$3,$E16&lt;=AM$3+6),$A16,"")))</f>
        <v/>
      </c>
      <c r="AN16" s="47" t="str">
        <f aca="false">IF($A16="","",IF(AND(INDEX(工程マスタ!$I$5:$I$154,$A16)="○",$E16&gt;=AN$3,$E16&lt;=AN$3+6),"▼",IF(AND($E16&gt;=AN$3,$E16&lt;=AN$3+6),$A16,"")))</f>
        <v/>
      </c>
      <c r="AO16" s="47" t="str">
        <f aca="false">IF($A16="","",IF(AND(INDEX(工程マスタ!$I$5:$I$154,$A16)="○",$E16&gt;=AO$3,$E16&lt;=AO$3+6),"▼",IF(AND($E16&gt;=AO$3,$E16&lt;=AO$3+6),$A16,"")))</f>
        <v/>
      </c>
      <c r="AP16" s="47" t="str">
        <f aca="false">IF($A16="","",IF(AND(INDEX(工程マスタ!$I$5:$I$154,$A16)="○",$E16&gt;=AP$3,$E16&lt;=AP$3+6),"▼",IF(AND($E16&gt;=AP$3,$E16&lt;=AP$3+6),$A16,"")))</f>
        <v/>
      </c>
      <c r="AQ16" s="47" t="str">
        <f aca="false">IF($A16="","",IF(AND(INDEX(工程マスタ!$I$5:$I$154,$A16)="○",$E16&gt;=AQ$3,$E16&lt;=AQ$3+6),"▼",IF(AND($E16&gt;=AQ$3,$E16&lt;=AQ$3+6),$A16,"")))</f>
        <v/>
      </c>
      <c r="AR16" s="47" t="str">
        <f aca="false">IF($A16="","",IF(AND(INDEX(工程マスタ!$I$5:$I$154,$A16)="○",$E16&gt;=AR$3,$E16&lt;=AR$3+6),"▼",IF(AND($E16&gt;=AR$3,$E16&lt;=AR$3+6),$A16,"")))</f>
        <v/>
      </c>
      <c r="AS16" s="47" t="str">
        <f aca="false">IF($A16="","",IF(AND(INDEX(工程マスタ!$I$5:$I$154,$A16)="○",$E16&gt;=AS$3,$E16&lt;=AS$3+6),"▼",IF(AND($E16&gt;=AS$3,$E16&lt;=AS$3+6),$A16,"")))</f>
        <v/>
      </c>
      <c r="AT16" s="47" t="str">
        <f aca="false">IF($A16="","",IF(AND(INDEX(工程マスタ!$I$5:$I$154,$A16)="○",$E16&gt;=AT$3,$E16&lt;=AT$3+6),"▼",IF(AND($E16&gt;=AT$3,$E16&lt;=AT$3+6),$A16,"")))</f>
        <v/>
      </c>
      <c r="AU16" s="47" t="str">
        <f aca="false">IF($A16="","",IF(AND(INDEX(工程マスタ!$I$5:$I$154,$A16)="○",$E16&gt;=AU$3,$E16&lt;=AU$3+6),"▼",IF(AND($E16&gt;=AU$3,$E16&lt;=AU$3+6),$A16,"")))</f>
        <v/>
      </c>
      <c r="AV16" s="47" t="str">
        <f aca="false">IF($A16="","",IF(AND(INDEX(工程マスタ!$I$5:$I$154,$A16)="○",$E16&gt;=AV$3,$E16&lt;=AV$3+6),"▼",IF(AND($E16&gt;=AV$3,$E16&lt;=AV$3+6),$A16,"")))</f>
        <v/>
      </c>
      <c r="AW16" s="47" t="str">
        <f aca="false">IF($A16="","",IF(AND(INDEX(工程マスタ!$I$5:$I$154,$A16)="○",$E16&gt;=AW$3,$E16&lt;=AW$3+6),"▼",IF(AND($E16&gt;=AW$3,$E16&lt;=AW$3+6),$A16,"")))</f>
        <v/>
      </c>
      <c r="AX16" s="47" t="str">
        <f aca="false">IF($A16="","",IF(AND(INDEX(工程マスタ!$I$5:$I$154,$A16)="○",$E16&gt;=AX$3,$E16&lt;=AX$3+6),"▼",IF(AND($E16&gt;=AX$3,$E16&lt;=AX$3+6),$A16,"")))</f>
        <v/>
      </c>
      <c r="AY16" s="47" t="str">
        <f aca="false">IF($A16="","",IF(AND(INDEX(工程マスタ!$I$5:$I$154,$A16)="○",$E16&gt;=AY$3,$E16&lt;=AY$3+6),"▼",IF(AND($E16&gt;=AY$3,$E16&lt;=AY$3+6),$A16,"")))</f>
        <v/>
      </c>
      <c r="AZ16" s="47" t="str">
        <f aca="false">IF($A16="","",IF(AND(INDEX(工程マスタ!$I$5:$I$154,$A16)="○",$E16&gt;=AZ$3,$E16&lt;=AZ$3+6),"▼",IF(AND($E16&gt;=AZ$3,$E16&lt;=AZ$3+6),$A16,"")))</f>
        <v/>
      </c>
      <c r="BA16" s="47" t="str">
        <f aca="false">IF($A16="","",IF(AND(INDEX(工程マスタ!$I$5:$I$154,$A16)="○",$E16&gt;=BA$3,$E16&lt;=BA$3+6),"▼",IF(AND($E16&gt;=BA$3,$E16&lt;=BA$3+6),$A16,"")))</f>
        <v/>
      </c>
      <c r="BB16" s="47" t="str">
        <f aca="false">IF($A16="","",IF(AND(INDEX(工程マスタ!$I$5:$I$154,$A16)="○",$E16&gt;=BB$3,$E16&lt;=BB$3+6),"▼",IF(AND($E16&gt;=BB$3,$E16&lt;=BB$3+6),$A16,"")))</f>
        <v/>
      </c>
      <c r="BC16" s="47" t="str">
        <f aca="false">IF($A16="","",IF(AND(INDEX(工程マスタ!$I$5:$I$154,$A16)="○",$E16&gt;=BC$3,$E16&lt;=BC$3+6),"▼",IF(AND($E16&gt;=BC$3,$E16&lt;=BC$3+6),$A16,"")))</f>
        <v/>
      </c>
      <c r="BD16" s="47" t="str">
        <f aca="false">IF($A16="","",IF(AND(INDEX(工程マスタ!$I$5:$I$154,$A16)="○",$E16&gt;=BD$3,$E16&lt;=BD$3+6),"▼",IF(AND($E16&gt;=BD$3,$E16&lt;=BD$3+6),$A16,"")))</f>
        <v/>
      </c>
      <c r="BE16" s="47" t="str">
        <f aca="false">IF($A16="","",IF(AND(INDEX(工程マスタ!$I$5:$I$154,$A16)="○",$E16&gt;=BE$3,$E16&lt;=BE$3+6),"▼",IF(AND($E16&gt;=BE$3,$E16&lt;=BE$3+6),$A16,"")))</f>
        <v/>
      </c>
      <c r="BF16" s="47" t="str">
        <f aca="false">IF($A16="","",IF(AND(INDEX(工程マスタ!$I$5:$I$154,$A16)="○",$E16&gt;=BF$3,$E16&lt;=BF$3+6),"▼",IF(AND($E16&gt;=BF$3,$E16&lt;=BF$3+6),$A16,"")))</f>
        <v/>
      </c>
      <c r="BG16" s="47" t="str">
        <f aca="false">IF($A16="","",IF(AND(INDEX(工程マスタ!$I$5:$I$154,$A16)="○",$E16&gt;=BG$3,$E16&lt;=BG$3+6),"▼",IF(AND($E16&gt;=BG$3,$E16&lt;=BG$3+6),$A16,"")))</f>
        <v/>
      </c>
      <c r="BH16" s="47" t="str">
        <f aca="false">IF($A16="","",IF(AND(INDEX(工程マスタ!$I$5:$I$154,$A16)="○",$E16&gt;=BH$3,$E16&lt;=BH$3+6),"▼",IF(AND($E16&gt;=BH$3,$E16&lt;=BH$3+6),$A16,"")))</f>
        <v/>
      </c>
      <c r="BI16" s="47" t="str">
        <f aca="false">IF($A16="","",IF(AND(INDEX(工程マスタ!$I$5:$I$154,$A16)="○",$E16&gt;=BI$3,$E16&lt;=BI$3+6),"▼",IF(AND($E16&gt;=BI$3,$E16&lt;=BI$3+6),$A16,"")))</f>
        <v/>
      </c>
      <c r="BJ16" s="47" t="str">
        <f aca="false">IF($A16="","",IF(AND(INDEX(工程マスタ!$I$5:$I$154,$A16)="○",$E16&gt;=BJ$3,$E16&lt;=BJ$3+6),"▼",IF(AND($E16&gt;=BJ$3,$E16&lt;=BJ$3+6),$A16,"")))</f>
        <v/>
      </c>
    </row>
    <row r="17" customFormat="false" ht="15" hidden="false" customHeight="false" outlineLevel="0" collapsed="false">
      <c r="A17" s="28" t="n">
        <f aca="false">IF(工程マスタ!$C15="","",工程マスタ!$A15)</f>
        <v>11</v>
      </c>
      <c r="B17" s="46" t="str">
        <f aca="false">IF($A17="","",工程マスタ!$C15)</f>
        <v>基礎コンクリート打設</v>
      </c>
      <c r="C17" s="28" t="n">
        <f aca="false">IF($A17="","",MAX(1,工程マスタ!$G15))</f>
        <v>3</v>
      </c>
      <c r="D17" s="28" t="str">
        <f aca="false">IF($A17="","",_xlfn.TEXTJOIN(",",TRUE(),工程マスタ!$N15:$P15))</f>
        <v>10</v>
      </c>
      <c r="E17" s="29" t="n">
        <f aca="false">IF($A17="","",IF(COUNT(工程マスタ!$N15:$P15)=0,設定!$B$8,MAX(IF(工程マスタ!$N15="",0,INDEX($F$7:$F$156,工程マスタ!$N15)),IF(工程マスタ!$O15="",0,INDEX($F$7:$F$156,工程マスタ!$O15)),IF(工程マスタ!$P15="",0,INDEX($F$7:$F$156,工程マスタ!$P15)))+1))</f>
        <v>46309</v>
      </c>
      <c r="F17" s="29" t="n">
        <f aca="false">IF($A17="","",$E17+$C17-1)</f>
        <v>46311</v>
      </c>
      <c r="G17" s="29" t="n">
        <f aca="false">IF($A17="","",$H17-$C17+1)</f>
        <v>46309</v>
      </c>
      <c r="H17" s="29" t="n">
        <f aca="false" t="array" ref="H17:H17">IF($A17="","",IF(SUMPRODUCT((工程マスタ!$N$16:$N$154=$A17)*1)+SUMPRODUCT((工程マスタ!$O$16:$O$154=$A17)*1)+SUMPRODUCT((工程マスタ!$P$16:$P$154=$A17)*1)=0,MAX($F$7:$F$156),MIN(IF((工程マスタ!$N$16:$N$154=$A17)+(工程マスタ!$O$16:$O$154=$A17)+(工程マスタ!$P$16:$P$154=$A17),$G18:$G$156))-1))</f>
        <v>46311</v>
      </c>
      <c r="I17" s="28" t="n">
        <f aca="false">IF($A17="","",$G17-$E17)</f>
        <v>0</v>
      </c>
      <c r="J17" s="28" t="str">
        <f aca="false">IF($A17="","",IF($I17&lt;=0,"●",""))</f>
        <v>●</v>
      </c>
      <c r="K17" s="47" t="str">
        <f aca="false">IF($A17="","",IF(AND(INDEX(工程マスタ!$I$5:$I$154,$A17)="○",$E17&gt;=K$3,$E17&lt;=K$3+6),"▼",IF(AND($E17&gt;=K$3,$E17&lt;=K$3+6),$A17,"")))</f>
        <v/>
      </c>
      <c r="L17" s="47" t="str">
        <f aca="false">IF($A17="","",IF(AND(INDEX(工程マスタ!$I$5:$I$154,$A17)="○",$E17&gt;=L$3,$E17&lt;=L$3+6),"▼",IF(AND($E17&gt;=L$3,$E17&lt;=L$3+6),$A17,"")))</f>
        <v/>
      </c>
      <c r="M17" s="47" t="str">
        <f aca="false">IF($A17="","",IF(AND(INDEX(工程マスタ!$I$5:$I$154,$A17)="○",$E17&gt;=M$3,$E17&lt;=M$3+6),"▼",IF(AND($E17&gt;=M$3,$E17&lt;=M$3+6),$A17,"")))</f>
        <v/>
      </c>
      <c r="N17" s="47" t="str">
        <f aca="false">IF($A17="","",IF(AND(INDEX(工程マスタ!$I$5:$I$154,$A17)="○",$E17&gt;=N$3,$E17&lt;=N$3+6),"▼",IF(AND($E17&gt;=N$3,$E17&lt;=N$3+6),$A17,"")))</f>
        <v/>
      </c>
      <c r="O17" s="47" t="str">
        <f aca="false">IF($A17="","",IF(AND(INDEX(工程マスタ!$I$5:$I$154,$A17)="○",$E17&gt;=O$3,$E17&lt;=O$3+6),"▼",IF(AND($E17&gt;=O$3,$E17&lt;=O$3+6),$A17,"")))</f>
        <v/>
      </c>
      <c r="P17" s="47" t="str">
        <f aca="false">IF($A17="","",IF(AND(INDEX(工程マスタ!$I$5:$I$154,$A17)="○",$E17&gt;=P$3,$E17&lt;=P$3+6),"▼",IF(AND($E17&gt;=P$3,$E17&lt;=P$3+6),$A17,"")))</f>
        <v/>
      </c>
      <c r="Q17" s="47" t="str">
        <f aca="false">IF($A17="","",IF(AND(INDEX(工程マスタ!$I$5:$I$154,$A17)="○",$E17&gt;=Q$3,$E17&lt;=Q$3+6),"▼",IF(AND($E17&gt;=Q$3,$E17&lt;=Q$3+6),$A17,"")))</f>
        <v/>
      </c>
      <c r="R17" s="47" t="str">
        <f aca="false">IF($A17="","",IF(AND(INDEX(工程マスタ!$I$5:$I$154,$A17)="○",$E17&gt;=R$3,$E17&lt;=R$3+6),"▼",IF(AND($E17&gt;=R$3,$E17&lt;=R$3+6),$A17,"")))</f>
        <v/>
      </c>
      <c r="S17" s="47" t="str">
        <f aca="false">IF($A17="","",IF(AND(INDEX(工程マスタ!$I$5:$I$154,$A17)="○",$E17&gt;=S$3,$E17&lt;=S$3+6),"▼",IF(AND($E17&gt;=S$3,$E17&lt;=S$3+6),$A17,"")))</f>
        <v/>
      </c>
      <c r="T17" s="47" t="str">
        <f aca="false">IF($A17="","",IF(AND(INDEX(工程マスタ!$I$5:$I$154,$A17)="○",$E17&gt;=T$3,$E17&lt;=T$3+6),"▼",IF(AND($E17&gt;=T$3,$E17&lt;=T$3+6),$A17,"")))</f>
        <v/>
      </c>
      <c r="U17" s="47" t="str">
        <f aca="false">IF($A17="","",IF(AND(INDEX(工程マスタ!$I$5:$I$154,$A17)="○",$E17&gt;=U$3,$E17&lt;=U$3+6),"▼",IF(AND($E17&gt;=U$3,$E17&lt;=U$3+6),$A17,"")))</f>
        <v/>
      </c>
      <c r="V17" s="47" t="str">
        <f aca="false">IF($A17="","",IF(AND(INDEX(工程マスタ!$I$5:$I$154,$A17)="○",$E17&gt;=V$3,$E17&lt;=V$3+6),"▼",IF(AND($E17&gt;=V$3,$E17&lt;=V$3+6),$A17,"")))</f>
        <v/>
      </c>
      <c r="W17" s="47" t="str">
        <f aca="false">IF($A17="","",IF(AND(INDEX(工程マスタ!$I$5:$I$154,$A17)="○",$E17&gt;=W$3,$E17&lt;=W$3+6),"▼",IF(AND($E17&gt;=W$3,$E17&lt;=W$3+6),$A17,"")))</f>
        <v/>
      </c>
      <c r="X17" s="47" t="str">
        <f aca="false">IF($A17="","",IF(AND(INDEX(工程マスタ!$I$5:$I$154,$A17)="○",$E17&gt;=X$3,$E17&lt;=X$3+6),"▼",IF(AND($E17&gt;=X$3,$E17&lt;=X$3+6),$A17,"")))</f>
        <v/>
      </c>
      <c r="Y17" s="47" t="str">
        <f aca="false">IF($A17="","",IF(AND(INDEX(工程マスタ!$I$5:$I$154,$A17)="○",$E17&gt;=Y$3,$E17&lt;=Y$3+6),"▼",IF(AND($E17&gt;=Y$3,$E17&lt;=Y$3+6),$A17,"")))</f>
        <v/>
      </c>
      <c r="Z17" s="47" t="n">
        <f aca="false">IF($A17="","",IF(AND(INDEX(工程マスタ!$I$5:$I$154,$A17)="○",$E17&gt;=Z$3,$E17&lt;=Z$3+6),"▼",IF(AND($E17&gt;=Z$3,$E17&lt;=Z$3+6),$A17,"")))</f>
        <v>11</v>
      </c>
      <c r="AA17" s="47" t="str">
        <f aca="false">IF($A17="","",IF(AND(INDEX(工程マスタ!$I$5:$I$154,$A17)="○",$E17&gt;=AA$3,$E17&lt;=AA$3+6),"▼",IF(AND($E17&gt;=AA$3,$E17&lt;=AA$3+6),$A17,"")))</f>
        <v/>
      </c>
      <c r="AB17" s="47" t="str">
        <f aca="false">IF($A17="","",IF(AND(INDEX(工程マスタ!$I$5:$I$154,$A17)="○",$E17&gt;=AB$3,$E17&lt;=AB$3+6),"▼",IF(AND($E17&gt;=AB$3,$E17&lt;=AB$3+6),$A17,"")))</f>
        <v/>
      </c>
      <c r="AC17" s="47" t="str">
        <f aca="false">IF($A17="","",IF(AND(INDEX(工程マスタ!$I$5:$I$154,$A17)="○",$E17&gt;=AC$3,$E17&lt;=AC$3+6),"▼",IF(AND($E17&gt;=AC$3,$E17&lt;=AC$3+6),$A17,"")))</f>
        <v/>
      </c>
      <c r="AD17" s="47" t="str">
        <f aca="false">IF($A17="","",IF(AND(INDEX(工程マスタ!$I$5:$I$154,$A17)="○",$E17&gt;=AD$3,$E17&lt;=AD$3+6),"▼",IF(AND($E17&gt;=AD$3,$E17&lt;=AD$3+6),$A17,"")))</f>
        <v/>
      </c>
      <c r="AE17" s="47" t="str">
        <f aca="false">IF($A17="","",IF(AND(INDEX(工程マスタ!$I$5:$I$154,$A17)="○",$E17&gt;=AE$3,$E17&lt;=AE$3+6),"▼",IF(AND($E17&gt;=AE$3,$E17&lt;=AE$3+6),$A17,"")))</f>
        <v/>
      </c>
      <c r="AF17" s="47" t="str">
        <f aca="false">IF($A17="","",IF(AND(INDEX(工程マスタ!$I$5:$I$154,$A17)="○",$E17&gt;=AF$3,$E17&lt;=AF$3+6),"▼",IF(AND($E17&gt;=AF$3,$E17&lt;=AF$3+6),$A17,"")))</f>
        <v/>
      </c>
      <c r="AG17" s="47" t="str">
        <f aca="false">IF($A17="","",IF(AND(INDEX(工程マスタ!$I$5:$I$154,$A17)="○",$E17&gt;=AG$3,$E17&lt;=AG$3+6),"▼",IF(AND($E17&gt;=AG$3,$E17&lt;=AG$3+6),$A17,"")))</f>
        <v/>
      </c>
      <c r="AH17" s="47" t="str">
        <f aca="false">IF($A17="","",IF(AND(INDEX(工程マスタ!$I$5:$I$154,$A17)="○",$E17&gt;=AH$3,$E17&lt;=AH$3+6),"▼",IF(AND($E17&gt;=AH$3,$E17&lt;=AH$3+6),$A17,"")))</f>
        <v/>
      </c>
      <c r="AI17" s="47" t="str">
        <f aca="false">IF($A17="","",IF(AND(INDEX(工程マスタ!$I$5:$I$154,$A17)="○",$E17&gt;=AI$3,$E17&lt;=AI$3+6),"▼",IF(AND($E17&gt;=AI$3,$E17&lt;=AI$3+6),$A17,"")))</f>
        <v/>
      </c>
      <c r="AJ17" s="47" t="str">
        <f aca="false">IF($A17="","",IF(AND(INDEX(工程マスタ!$I$5:$I$154,$A17)="○",$E17&gt;=AJ$3,$E17&lt;=AJ$3+6),"▼",IF(AND($E17&gt;=AJ$3,$E17&lt;=AJ$3+6),$A17,"")))</f>
        <v/>
      </c>
      <c r="AK17" s="47" t="str">
        <f aca="false">IF($A17="","",IF(AND(INDEX(工程マスタ!$I$5:$I$154,$A17)="○",$E17&gt;=AK$3,$E17&lt;=AK$3+6),"▼",IF(AND($E17&gt;=AK$3,$E17&lt;=AK$3+6),$A17,"")))</f>
        <v/>
      </c>
      <c r="AL17" s="47" t="str">
        <f aca="false">IF($A17="","",IF(AND(INDEX(工程マスタ!$I$5:$I$154,$A17)="○",$E17&gt;=AL$3,$E17&lt;=AL$3+6),"▼",IF(AND($E17&gt;=AL$3,$E17&lt;=AL$3+6),$A17,"")))</f>
        <v/>
      </c>
      <c r="AM17" s="47" t="str">
        <f aca="false">IF($A17="","",IF(AND(INDEX(工程マスタ!$I$5:$I$154,$A17)="○",$E17&gt;=AM$3,$E17&lt;=AM$3+6),"▼",IF(AND($E17&gt;=AM$3,$E17&lt;=AM$3+6),$A17,"")))</f>
        <v/>
      </c>
      <c r="AN17" s="47" t="str">
        <f aca="false">IF($A17="","",IF(AND(INDEX(工程マスタ!$I$5:$I$154,$A17)="○",$E17&gt;=AN$3,$E17&lt;=AN$3+6),"▼",IF(AND($E17&gt;=AN$3,$E17&lt;=AN$3+6),$A17,"")))</f>
        <v/>
      </c>
      <c r="AO17" s="47" t="str">
        <f aca="false">IF($A17="","",IF(AND(INDEX(工程マスタ!$I$5:$I$154,$A17)="○",$E17&gt;=AO$3,$E17&lt;=AO$3+6),"▼",IF(AND($E17&gt;=AO$3,$E17&lt;=AO$3+6),$A17,"")))</f>
        <v/>
      </c>
      <c r="AP17" s="47" t="str">
        <f aca="false">IF($A17="","",IF(AND(INDEX(工程マスタ!$I$5:$I$154,$A17)="○",$E17&gt;=AP$3,$E17&lt;=AP$3+6),"▼",IF(AND($E17&gt;=AP$3,$E17&lt;=AP$3+6),$A17,"")))</f>
        <v/>
      </c>
      <c r="AQ17" s="47" t="str">
        <f aca="false">IF($A17="","",IF(AND(INDEX(工程マスタ!$I$5:$I$154,$A17)="○",$E17&gt;=AQ$3,$E17&lt;=AQ$3+6),"▼",IF(AND($E17&gt;=AQ$3,$E17&lt;=AQ$3+6),$A17,"")))</f>
        <v/>
      </c>
      <c r="AR17" s="47" t="str">
        <f aca="false">IF($A17="","",IF(AND(INDEX(工程マスタ!$I$5:$I$154,$A17)="○",$E17&gt;=AR$3,$E17&lt;=AR$3+6),"▼",IF(AND($E17&gt;=AR$3,$E17&lt;=AR$3+6),$A17,"")))</f>
        <v/>
      </c>
      <c r="AS17" s="47" t="str">
        <f aca="false">IF($A17="","",IF(AND(INDEX(工程マスタ!$I$5:$I$154,$A17)="○",$E17&gt;=AS$3,$E17&lt;=AS$3+6),"▼",IF(AND($E17&gt;=AS$3,$E17&lt;=AS$3+6),$A17,"")))</f>
        <v/>
      </c>
      <c r="AT17" s="47" t="str">
        <f aca="false">IF($A17="","",IF(AND(INDEX(工程マスタ!$I$5:$I$154,$A17)="○",$E17&gt;=AT$3,$E17&lt;=AT$3+6),"▼",IF(AND($E17&gt;=AT$3,$E17&lt;=AT$3+6),$A17,"")))</f>
        <v/>
      </c>
      <c r="AU17" s="47" t="str">
        <f aca="false">IF($A17="","",IF(AND(INDEX(工程マスタ!$I$5:$I$154,$A17)="○",$E17&gt;=AU$3,$E17&lt;=AU$3+6),"▼",IF(AND($E17&gt;=AU$3,$E17&lt;=AU$3+6),$A17,"")))</f>
        <v/>
      </c>
      <c r="AV17" s="47" t="str">
        <f aca="false">IF($A17="","",IF(AND(INDEX(工程マスタ!$I$5:$I$154,$A17)="○",$E17&gt;=AV$3,$E17&lt;=AV$3+6),"▼",IF(AND($E17&gt;=AV$3,$E17&lt;=AV$3+6),$A17,"")))</f>
        <v/>
      </c>
      <c r="AW17" s="47" t="str">
        <f aca="false">IF($A17="","",IF(AND(INDEX(工程マスタ!$I$5:$I$154,$A17)="○",$E17&gt;=AW$3,$E17&lt;=AW$3+6),"▼",IF(AND($E17&gt;=AW$3,$E17&lt;=AW$3+6),$A17,"")))</f>
        <v/>
      </c>
      <c r="AX17" s="47" t="str">
        <f aca="false">IF($A17="","",IF(AND(INDEX(工程マスタ!$I$5:$I$154,$A17)="○",$E17&gt;=AX$3,$E17&lt;=AX$3+6),"▼",IF(AND($E17&gt;=AX$3,$E17&lt;=AX$3+6),$A17,"")))</f>
        <v/>
      </c>
      <c r="AY17" s="47" t="str">
        <f aca="false">IF($A17="","",IF(AND(INDEX(工程マスタ!$I$5:$I$154,$A17)="○",$E17&gt;=AY$3,$E17&lt;=AY$3+6),"▼",IF(AND($E17&gt;=AY$3,$E17&lt;=AY$3+6),$A17,"")))</f>
        <v/>
      </c>
      <c r="AZ17" s="47" t="str">
        <f aca="false">IF($A17="","",IF(AND(INDEX(工程マスタ!$I$5:$I$154,$A17)="○",$E17&gt;=AZ$3,$E17&lt;=AZ$3+6),"▼",IF(AND($E17&gt;=AZ$3,$E17&lt;=AZ$3+6),$A17,"")))</f>
        <v/>
      </c>
      <c r="BA17" s="47" t="str">
        <f aca="false">IF($A17="","",IF(AND(INDEX(工程マスタ!$I$5:$I$154,$A17)="○",$E17&gt;=BA$3,$E17&lt;=BA$3+6),"▼",IF(AND($E17&gt;=BA$3,$E17&lt;=BA$3+6),$A17,"")))</f>
        <v/>
      </c>
      <c r="BB17" s="47" t="str">
        <f aca="false">IF($A17="","",IF(AND(INDEX(工程マスタ!$I$5:$I$154,$A17)="○",$E17&gt;=BB$3,$E17&lt;=BB$3+6),"▼",IF(AND($E17&gt;=BB$3,$E17&lt;=BB$3+6),$A17,"")))</f>
        <v/>
      </c>
      <c r="BC17" s="47" t="str">
        <f aca="false">IF($A17="","",IF(AND(INDEX(工程マスタ!$I$5:$I$154,$A17)="○",$E17&gt;=BC$3,$E17&lt;=BC$3+6),"▼",IF(AND($E17&gt;=BC$3,$E17&lt;=BC$3+6),$A17,"")))</f>
        <v/>
      </c>
      <c r="BD17" s="47" t="str">
        <f aca="false">IF($A17="","",IF(AND(INDEX(工程マスタ!$I$5:$I$154,$A17)="○",$E17&gt;=BD$3,$E17&lt;=BD$3+6),"▼",IF(AND($E17&gt;=BD$3,$E17&lt;=BD$3+6),$A17,"")))</f>
        <v/>
      </c>
      <c r="BE17" s="47" t="str">
        <f aca="false">IF($A17="","",IF(AND(INDEX(工程マスタ!$I$5:$I$154,$A17)="○",$E17&gt;=BE$3,$E17&lt;=BE$3+6),"▼",IF(AND($E17&gt;=BE$3,$E17&lt;=BE$3+6),$A17,"")))</f>
        <v/>
      </c>
      <c r="BF17" s="47" t="str">
        <f aca="false">IF($A17="","",IF(AND(INDEX(工程マスタ!$I$5:$I$154,$A17)="○",$E17&gt;=BF$3,$E17&lt;=BF$3+6),"▼",IF(AND($E17&gt;=BF$3,$E17&lt;=BF$3+6),$A17,"")))</f>
        <v/>
      </c>
      <c r="BG17" s="47" t="str">
        <f aca="false">IF($A17="","",IF(AND(INDEX(工程マスタ!$I$5:$I$154,$A17)="○",$E17&gt;=BG$3,$E17&lt;=BG$3+6),"▼",IF(AND($E17&gt;=BG$3,$E17&lt;=BG$3+6),$A17,"")))</f>
        <v/>
      </c>
      <c r="BH17" s="47" t="str">
        <f aca="false">IF($A17="","",IF(AND(INDEX(工程マスタ!$I$5:$I$154,$A17)="○",$E17&gt;=BH$3,$E17&lt;=BH$3+6),"▼",IF(AND($E17&gt;=BH$3,$E17&lt;=BH$3+6),$A17,"")))</f>
        <v/>
      </c>
      <c r="BI17" s="47" t="str">
        <f aca="false">IF($A17="","",IF(AND(INDEX(工程マスタ!$I$5:$I$154,$A17)="○",$E17&gt;=BI$3,$E17&lt;=BI$3+6),"▼",IF(AND($E17&gt;=BI$3,$E17&lt;=BI$3+6),$A17,"")))</f>
        <v/>
      </c>
      <c r="BJ17" s="47" t="str">
        <f aca="false">IF($A17="","",IF(AND(INDEX(工程マスタ!$I$5:$I$154,$A17)="○",$E17&gt;=BJ$3,$E17&lt;=BJ$3+6),"▼",IF(AND($E17&gt;=BJ$3,$E17&lt;=BJ$3+6),$A17,"")))</f>
        <v/>
      </c>
    </row>
    <row r="18" customFormat="false" ht="15" hidden="false" customHeight="false" outlineLevel="0" collapsed="false">
      <c r="A18" s="28" t="n">
        <f aca="false">IF(工程マスタ!$C16="","",工程マスタ!$A16)</f>
        <v>12</v>
      </c>
      <c r="B18" s="46" t="str">
        <f aca="false">IF($A18="","",工程マスタ!$C16)</f>
        <v>養生・埋戻し</v>
      </c>
      <c r="C18" s="28" t="n">
        <f aca="false">IF($A18="","",MAX(1,工程マスタ!$G16))</f>
        <v>10</v>
      </c>
      <c r="D18" s="28" t="str">
        <f aca="false">IF($A18="","",_xlfn.TEXTJOIN(",",TRUE(),工程マスタ!$N16:$P16))</f>
        <v>11</v>
      </c>
      <c r="E18" s="29" t="n">
        <f aca="false">IF($A18="","",IF(COUNT(工程マスタ!$N16:$P16)=0,設定!$B$8,MAX(IF(工程マスタ!$N16="",0,INDEX($F$7:$F$156,工程マスタ!$N16)),IF(工程マスタ!$O16="",0,INDEX($F$7:$F$156,工程マスタ!$O16)),IF(工程マスタ!$P16="",0,INDEX($F$7:$F$156,工程マスタ!$P16)))+1))</f>
        <v>46312</v>
      </c>
      <c r="F18" s="29" t="n">
        <f aca="false">IF($A18="","",$E18+$C18-1)</f>
        <v>46321</v>
      </c>
      <c r="G18" s="29" t="n">
        <f aca="false">IF($A18="","",$H18-$C18+1)</f>
        <v>46312</v>
      </c>
      <c r="H18" s="29" t="n">
        <f aca="false" t="array" ref="H18:H18">IF($A18="","",IF(SUMPRODUCT((工程マスタ!$N$17:$N$154=$A18)*1)+SUMPRODUCT((工程マスタ!$O$17:$O$154=$A18)*1)+SUMPRODUCT((工程マスタ!$P$17:$P$154=$A18)*1)=0,MAX($F$7:$F$156),MIN(IF((工程マスタ!$N$17:$N$154=$A18)+(工程マスタ!$O$17:$O$154=$A18)+(工程マスタ!$P$17:$P$154=$A18),$G19:$G$156))-1))</f>
        <v>46321</v>
      </c>
      <c r="I18" s="28" t="n">
        <f aca="false">IF($A18="","",$G18-$E18)</f>
        <v>0</v>
      </c>
      <c r="J18" s="28" t="str">
        <f aca="false">IF($A18="","",IF($I18&lt;=0,"●",""))</f>
        <v>●</v>
      </c>
      <c r="K18" s="47" t="str">
        <f aca="false">IF($A18="","",IF(AND(INDEX(工程マスタ!$I$5:$I$154,$A18)="○",$E18&gt;=K$3,$E18&lt;=K$3+6),"▼",IF(AND($E18&gt;=K$3,$E18&lt;=K$3+6),$A18,"")))</f>
        <v/>
      </c>
      <c r="L18" s="47" t="str">
        <f aca="false">IF($A18="","",IF(AND(INDEX(工程マスタ!$I$5:$I$154,$A18)="○",$E18&gt;=L$3,$E18&lt;=L$3+6),"▼",IF(AND($E18&gt;=L$3,$E18&lt;=L$3+6),$A18,"")))</f>
        <v/>
      </c>
      <c r="M18" s="47" t="str">
        <f aca="false">IF($A18="","",IF(AND(INDEX(工程マスタ!$I$5:$I$154,$A18)="○",$E18&gt;=M$3,$E18&lt;=M$3+6),"▼",IF(AND($E18&gt;=M$3,$E18&lt;=M$3+6),$A18,"")))</f>
        <v/>
      </c>
      <c r="N18" s="47" t="str">
        <f aca="false">IF($A18="","",IF(AND(INDEX(工程マスタ!$I$5:$I$154,$A18)="○",$E18&gt;=N$3,$E18&lt;=N$3+6),"▼",IF(AND($E18&gt;=N$3,$E18&lt;=N$3+6),$A18,"")))</f>
        <v/>
      </c>
      <c r="O18" s="47" t="str">
        <f aca="false">IF($A18="","",IF(AND(INDEX(工程マスタ!$I$5:$I$154,$A18)="○",$E18&gt;=O$3,$E18&lt;=O$3+6),"▼",IF(AND($E18&gt;=O$3,$E18&lt;=O$3+6),$A18,"")))</f>
        <v/>
      </c>
      <c r="P18" s="47" t="str">
        <f aca="false">IF($A18="","",IF(AND(INDEX(工程マスタ!$I$5:$I$154,$A18)="○",$E18&gt;=P$3,$E18&lt;=P$3+6),"▼",IF(AND($E18&gt;=P$3,$E18&lt;=P$3+6),$A18,"")))</f>
        <v/>
      </c>
      <c r="Q18" s="47" t="str">
        <f aca="false">IF($A18="","",IF(AND(INDEX(工程マスタ!$I$5:$I$154,$A18)="○",$E18&gt;=Q$3,$E18&lt;=Q$3+6),"▼",IF(AND($E18&gt;=Q$3,$E18&lt;=Q$3+6),$A18,"")))</f>
        <v/>
      </c>
      <c r="R18" s="47" t="str">
        <f aca="false">IF($A18="","",IF(AND(INDEX(工程マスタ!$I$5:$I$154,$A18)="○",$E18&gt;=R$3,$E18&lt;=R$3+6),"▼",IF(AND($E18&gt;=R$3,$E18&lt;=R$3+6),$A18,"")))</f>
        <v/>
      </c>
      <c r="S18" s="47" t="str">
        <f aca="false">IF($A18="","",IF(AND(INDEX(工程マスタ!$I$5:$I$154,$A18)="○",$E18&gt;=S$3,$E18&lt;=S$3+6),"▼",IF(AND($E18&gt;=S$3,$E18&lt;=S$3+6),$A18,"")))</f>
        <v/>
      </c>
      <c r="T18" s="47" t="str">
        <f aca="false">IF($A18="","",IF(AND(INDEX(工程マスタ!$I$5:$I$154,$A18)="○",$E18&gt;=T$3,$E18&lt;=T$3+6),"▼",IF(AND($E18&gt;=T$3,$E18&lt;=T$3+6),$A18,"")))</f>
        <v/>
      </c>
      <c r="U18" s="47" t="str">
        <f aca="false">IF($A18="","",IF(AND(INDEX(工程マスタ!$I$5:$I$154,$A18)="○",$E18&gt;=U$3,$E18&lt;=U$3+6),"▼",IF(AND($E18&gt;=U$3,$E18&lt;=U$3+6),$A18,"")))</f>
        <v/>
      </c>
      <c r="V18" s="47" t="str">
        <f aca="false">IF($A18="","",IF(AND(INDEX(工程マスタ!$I$5:$I$154,$A18)="○",$E18&gt;=V$3,$E18&lt;=V$3+6),"▼",IF(AND($E18&gt;=V$3,$E18&lt;=V$3+6),$A18,"")))</f>
        <v/>
      </c>
      <c r="W18" s="47" t="str">
        <f aca="false">IF($A18="","",IF(AND(INDEX(工程マスタ!$I$5:$I$154,$A18)="○",$E18&gt;=W$3,$E18&lt;=W$3+6),"▼",IF(AND($E18&gt;=W$3,$E18&lt;=W$3+6),$A18,"")))</f>
        <v/>
      </c>
      <c r="X18" s="47" t="str">
        <f aca="false">IF($A18="","",IF(AND(INDEX(工程マスタ!$I$5:$I$154,$A18)="○",$E18&gt;=X$3,$E18&lt;=X$3+6),"▼",IF(AND($E18&gt;=X$3,$E18&lt;=X$3+6),$A18,"")))</f>
        <v/>
      </c>
      <c r="Y18" s="47" t="str">
        <f aca="false">IF($A18="","",IF(AND(INDEX(工程マスタ!$I$5:$I$154,$A18)="○",$E18&gt;=Y$3,$E18&lt;=Y$3+6),"▼",IF(AND($E18&gt;=Y$3,$E18&lt;=Y$3+6),$A18,"")))</f>
        <v/>
      </c>
      <c r="Z18" s="47" t="n">
        <f aca="false">IF($A18="","",IF(AND(INDEX(工程マスタ!$I$5:$I$154,$A18)="○",$E18&gt;=Z$3,$E18&lt;=Z$3+6),"▼",IF(AND($E18&gt;=Z$3,$E18&lt;=Z$3+6),$A18,"")))</f>
        <v>12</v>
      </c>
      <c r="AA18" s="47" t="str">
        <f aca="false">IF($A18="","",IF(AND(INDEX(工程マスタ!$I$5:$I$154,$A18)="○",$E18&gt;=AA$3,$E18&lt;=AA$3+6),"▼",IF(AND($E18&gt;=AA$3,$E18&lt;=AA$3+6),$A18,"")))</f>
        <v/>
      </c>
      <c r="AB18" s="47" t="str">
        <f aca="false">IF($A18="","",IF(AND(INDEX(工程マスタ!$I$5:$I$154,$A18)="○",$E18&gt;=AB$3,$E18&lt;=AB$3+6),"▼",IF(AND($E18&gt;=AB$3,$E18&lt;=AB$3+6),$A18,"")))</f>
        <v/>
      </c>
      <c r="AC18" s="47" t="str">
        <f aca="false">IF($A18="","",IF(AND(INDEX(工程マスタ!$I$5:$I$154,$A18)="○",$E18&gt;=AC$3,$E18&lt;=AC$3+6),"▼",IF(AND($E18&gt;=AC$3,$E18&lt;=AC$3+6),$A18,"")))</f>
        <v/>
      </c>
      <c r="AD18" s="47" t="str">
        <f aca="false">IF($A18="","",IF(AND(INDEX(工程マスタ!$I$5:$I$154,$A18)="○",$E18&gt;=AD$3,$E18&lt;=AD$3+6),"▼",IF(AND($E18&gt;=AD$3,$E18&lt;=AD$3+6),$A18,"")))</f>
        <v/>
      </c>
      <c r="AE18" s="47" t="str">
        <f aca="false">IF($A18="","",IF(AND(INDEX(工程マスタ!$I$5:$I$154,$A18)="○",$E18&gt;=AE$3,$E18&lt;=AE$3+6),"▼",IF(AND($E18&gt;=AE$3,$E18&lt;=AE$3+6),$A18,"")))</f>
        <v/>
      </c>
      <c r="AF18" s="47" t="str">
        <f aca="false">IF($A18="","",IF(AND(INDEX(工程マスタ!$I$5:$I$154,$A18)="○",$E18&gt;=AF$3,$E18&lt;=AF$3+6),"▼",IF(AND($E18&gt;=AF$3,$E18&lt;=AF$3+6),$A18,"")))</f>
        <v/>
      </c>
      <c r="AG18" s="47" t="str">
        <f aca="false">IF($A18="","",IF(AND(INDEX(工程マスタ!$I$5:$I$154,$A18)="○",$E18&gt;=AG$3,$E18&lt;=AG$3+6),"▼",IF(AND($E18&gt;=AG$3,$E18&lt;=AG$3+6),$A18,"")))</f>
        <v/>
      </c>
      <c r="AH18" s="47" t="str">
        <f aca="false">IF($A18="","",IF(AND(INDEX(工程マスタ!$I$5:$I$154,$A18)="○",$E18&gt;=AH$3,$E18&lt;=AH$3+6),"▼",IF(AND($E18&gt;=AH$3,$E18&lt;=AH$3+6),$A18,"")))</f>
        <v/>
      </c>
      <c r="AI18" s="47" t="str">
        <f aca="false">IF($A18="","",IF(AND(INDEX(工程マスタ!$I$5:$I$154,$A18)="○",$E18&gt;=AI$3,$E18&lt;=AI$3+6),"▼",IF(AND($E18&gt;=AI$3,$E18&lt;=AI$3+6),$A18,"")))</f>
        <v/>
      </c>
      <c r="AJ18" s="47" t="str">
        <f aca="false">IF($A18="","",IF(AND(INDEX(工程マスタ!$I$5:$I$154,$A18)="○",$E18&gt;=AJ$3,$E18&lt;=AJ$3+6),"▼",IF(AND($E18&gt;=AJ$3,$E18&lt;=AJ$3+6),$A18,"")))</f>
        <v/>
      </c>
      <c r="AK18" s="47" t="str">
        <f aca="false">IF($A18="","",IF(AND(INDEX(工程マスタ!$I$5:$I$154,$A18)="○",$E18&gt;=AK$3,$E18&lt;=AK$3+6),"▼",IF(AND($E18&gt;=AK$3,$E18&lt;=AK$3+6),$A18,"")))</f>
        <v/>
      </c>
      <c r="AL18" s="47" t="str">
        <f aca="false">IF($A18="","",IF(AND(INDEX(工程マスタ!$I$5:$I$154,$A18)="○",$E18&gt;=AL$3,$E18&lt;=AL$3+6),"▼",IF(AND($E18&gt;=AL$3,$E18&lt;=AL$3+6),$A18,"")))</f>
        <v/>
      </c>
      <c r="AM18" s="47" t="str">
        <f aca="false">IF($A18="","",IF(AND(INDEX(工程マスタ!$I$5:$I$154,$A18)="○",$E18&gt;=AM$3,$E18&lt;=AM$3+6),"▼",IF(AND($E18&gt;=AM$3,$E18&lt;=AM$3+6),$A18,"")))</f>
        <v/>
      </c>
      <c r="AN18" s="47" t="str">
        <f aca="false">IF($A18="","",IF(AND(INDEX(工程マスタ!$I$5:$I$154,$A18)="○",$E18&gt;=AN$3,$E18&lt;=AN$3+6),"▼",IF(AND($E18&gt;=AN$3,$E18&lt;=AN$3+6),$A18,"")))</f>
        <v/>
      </c>
      <c r="AO18" s="47" t="str">
        <f aca="false">IF($A18="","",IF(AND(INDEX(工程マスタ!$I$5:$I$154,$A18)="○",$E18&gt;=AO$3,$E18&lt;=AO$3+6),"▼",IF(AND($E18&gt;=AO$3,$E18&lt;=AO$3+6),$A18,"")))</f>
        <v/>
      </c>
      <c r="AP18" s="47" t="str">
        <f aca="false">IF($A18="","",IF(AND(INDEX(工程マスタ!$I$5:$I$154,$A18)="○",$E18&gt;=AP$3,$E18&lt;=AP$3+6),"▼",IF(AND($E18&gt;=AP$3,$E18&lt;=AP$3+6),$A18,"")))</f>
        <v/>
      </c>
      <c r="AQ18" s="47" t="str">
        <f aca="false">IF($A18="","",IF(AND(INDEX(工程マスタ!$I$5:$I$154,$A18)="○",$E18&gt;=AQ$3,$E18&lt;=AQ$3+6),"▼",IF(AND($E18&gt;=AQ$3,$E18&lt;=AQ$3+6),$A18,"")))</f>
        <v/>
      </c>
      <c r="AR18" s="47" t="str">
        <f aca="false">IF($A18="","",IF(AND(INDEX(工程マスタ!$I$5:$I$154,$A18)="○",$E18&gt;=AR$3,$E18&lt;=AR$3+6),"▼",IF(AND($E18&gt;=AR$3,$E18&lt;=AR$3+6),$A18,"")))</f>
        <v/>
      </c>
      <c r="AS18" s="47" t="str">
        <f aca="false">IF($A18="","",IF(AND(INDEX(工程マスタ!$I$5:$I$154,$A18)="○",$E18&gt;=AS$3,$E18&lt;=AS$3+6),"▼",IF(AND($E18&gt;=AS$3,$E18&lt;=AS$3+6),$A18,"")))</f>
        <v/>
      </c>
      <c r="AT18" s="47" t="str">
        <f aca="false">IF($A18="","",IF(AND(INDEX(工程マスタ!$I$5:$I$154,$A18)="○",$E18&gt;=AT$3,$E18&lt;=AT$3+6),"▼",IF(AND($E18&gt;=AT$3,$E18&lt;=AT$3+6),$A18,"")))</f>
        <v/>
      </c>
      <c r="AU18" s="47" t="str">
        <f aca="false">IF($A18="","",IF(AND(INDEX(工程マスタ!$I$5:$I$154,$A18)="○",$E18&gt;=AU$3,$E18&lt;=AU$3+6),"▼",IF(AND($E18&gt;=AU$3,$E18&lt;=AU$3+6),$A18,"")))</f>
        <v/>
      </c>
      <c r="AV18" s="47" t="str">
        <f aca="false">IF($A18="","",IF(AND(INDEX(工程マスタ!$I$5:$I$154,$A18)="○",$E18&gt;=AV$3,$E18&lt;=AV$3+6),"▼",IF(AND($E18&gt;=AV$3,$E18&lt;=AV$3+6),$A18,"")))</f>
        <v/>
      </c>
      <c r="AW18" s="47" t="str">
        <f aca="false">IF($A18="","",IF(AND(INDEX(工程マスタ!$I$5:$I$154,$A18)="○",$E18&gt;=AW$3,$E18&lt;=AW$3+6),"▼",IF(AND($E18&gt;=AW$3,$E18&lt;=AW$3+6),$A18,"")))</f>
        <v/>
      </c>
      <c r="AX18" s="47" t="str">
        <f aca="false">IF($A18="","",IF(AND(INDEX(工程マスタ!$I$5:$I$154,$A18)="○",$E18&gt;=AX$3,$E18&lt;=AX$3+6),"▼",IF(AND($E18&gt;=AX$3,$E18&lt;=AX$3+6),$A18,"")))</f>
        <v/>
      </c>
      <c r="AY18" s="47" t="str">
        <f aca="false">IF($A18="","",IF(AND(INDEX(工程マスタ!$I$5:$I$154,$A18)="○",$E18&gt;=AY$3,$E18&lt;=AY$3+6),"▼",IF(AND($E18&gt;=AY$3,$E18&lt;=AY$3+6),$A18,"")))</f>
        <v/>
      </c>
      <c r="AZ18" s="47" t="str">
        <f aca="false">IF($A18="","",IF(AND(INDEX(工程マスタ!$I$5:$I$154,$A18)="○",$E18&gt;=AZ$3,$E18&lt;=AZ$3+6),"▼",IF(AND($E18&gt;=AZ$3,$E18&lt;=AZ$3+6),$A18,"")))</f>
        <v/>
      </c>
      <c r="BA18" s="47" t="str">
        <f aca="false">IF($A18="","",IF(AND(INDEX(工程マスタ!$I$5:$I$154,$A18)="○",$E18&gt;=BA$3,$E18&lt;=BA$3+6),"▼",IF(AND($E18&gt;=BA$3,$E18&lt;=BA$3+6),$A18,"")))</f>
        <v/>
      </c>
      <c r="BB18" s="47" t="str">
        <f aca="false">IF($A18="","",IF(AND(INDEX(工程マスタ!$I$5:$I$154,$A18)="○",$E18&gt;=BB$3,$E18&lt;=BB$3+6),"▼",IF(AND($E18&gt;=BB$3,$E18&lt;=BB$3+6),$A18,"")))</f>
        <v/>
      </c>
      <c r="BC18" s="47" t="str">
        <f aca="false">IF($A18="","",IF(AND(INDEX(工程マスタ!$I$5:$I$154,$A18)="○",$E18&gt;=BC$3,$E18&lt;=BC$3+6),"▼",IF(AND($E18&gt;=BC$3,$E18&lt;=BC$3+6),$A18,"")))</f>
        <v/>
      </c>
      <c r="BD18" s="47" t="str">
        <f aca="false">IF($A18="","",IF(AND(INDEX(工程マスタ!$I$5:$I$154,$A18)="○",$E18&gt;=BD$3,$E18&lt;=BD$3+6),"▼",IF(AND($E18&gt;=BD$3,$E18&lt;=BD$3+6),$A18,"")))</f>
        <v/>
      </c>
      <c r="BE18" s="47" t="str">
        <f aca="false">IF($A18="","",IF(AND(INDEX(工程マスタ!$I$5:$I$154,$A18)="○",$E18&gt;=BE$3,$E18&lt;=BE$3+6),"▼",IF(AND($E18&gt;=BE$3,$E18&lt;=BE$3+6),$A18,"")))</f>
        <v/>
      </c>
      <c r="BF18" s="47" t="str">
        <f aca="false">IF($A18="","",IF(AND(INDEX(工程マスタ!$I$5:$I$154,$A18)="○",$E18&gt;=BF$3,$E18&lt;=BF$3+6),"▼",IF(AND($E18&gt;=BF$3,$E18&lt;=BF$3+6),$A18,"")))</f>
        <v/>
      </c>
      <c r="BG18" s="47" t="str">
        <f aca="false">IF($A18="","",IF(AND(INDEX(工程マスタ!$I$5:$I$154,$A18)="○",$E18&gt;=BG$3,$E18&lt;=BG$3+6),"▼",IF(AND($E18&gt;=BG$3,$E18&lt;=BG$3+6),$A18,"")))</f>
        <v/>
      </c>
      <c r="BH18" s="47" t="str">
        <f aca="false">IF($A18="","",IF(AND(INDEX(工程マスタ!$I$5:$I$154,$A18)="○",$E18&gt;=BH$3,$E18&lt;=BH$3+6),"▼",IF(AND($E18&gt;=BH$3,$E18&lt;=BH$3+6),$A18,"")))</f>
        <v/>
      </c>
      <c r="BI18" s="47" t="str">
        <f aca="false">IF($A18="","",IF(AND(INDEX(工程マスタ!$I$5:$I$154,$A18)="○",$E18&gt;=BI$3,$E18&lt;=BI$3+6),"▼",IF(AND($E18&gt;=BI$3,$E18&lt;=BI$3+6),$A18,"")))</f>
        <v/>
      </c>
      <c r="BJ18" s="47" t="str">
        <f aca="false">IF($A18="","",IF(AND(INDEX(工程マスタ!$I$5:$I$154,$A18)="○",$E18&gt;=BJ$3,$E18&lt;=BJ$3+6),"▼",IF(AND($E18&gt;=BJ$3,$E18&lt;=BJ$3+6),$A18,"")))</f>
        <v/>
      </c>
    </row>
    <row r="19" customFormat="false" ht="15" hidden="false" customHeight="false" outlineLevel="0" collapsed="false">
      <c r="A19" s="28" t="n">
        <f aca="false">IF(工程マスタ!$C17="","",工程マスタ!$A17)</f>
        <v>13</v>
      </c>
      <c r="B19" s="46" t="str">
        <f aca="false">IF($A19="","",工程マスタ!$C17)</f>
        <v>鉄骨製作(工場)</v>
      </c>
      <c r="C19" s="28" t="n">
        <f aca="false">IF($A19="","",MAX(1,工程マスタ!$G17))</f>
        <v>54</v>
      </c>
      <c r="D19" s="28" t="str">
        <f aca="false">IF($A19="","",_xlfn.TEXTJOIN(",",TRUE(),工程マスタ!$N17:$P17))</f>
        <v>2</v>
      </c>
      <c r="E19" s="29" t="n">
        <f aca="false">IF($A19="","",IF(COUNT(工程マスタ!$N17:$P17)=0,設定!$B$8,MAX(IF(工程マスタ!$N17="",0,INDEX($F$7:$F$156,工程マスタ!$N17)),IF(工程マスタ!$O17="",0,INDEX($F$7:$F$156,工程マスタ!$O17)),IF(工程マスタ!$P17="",0,INDEX($F$7:$F$156,工程マスタ!$P17)))+1))</f>
        <v>46206</v>
      </c>
      <c r="F19" s="29" t="n">
        <f aca="false">IF($A19="","",$E19+$C19-1)</f>
        <v>46259</v>
      </c>
      <c r="G19" s="29" t="n">
        <f aca="false">IF($A19="","",$H19-$C19+1)</f>
        <v>46280</v>
      </c>
      <c r="H19" s="29" t="n">
        <f aca="false" t="array" ref="H19:H19">IF($A19="","",IF(SUMPRODUCT((工程マスタ!$N$18:$N$154=$A19)*1)+SUMPRODUCT((工程マスタ!$O$18:$O$154=$A19)*1)+SUMPRODUCT((工程マスタ!$P$18:$P$154=$A19)*1)=0,MAX($F$7:$F$156),MIN(IF((工程マスタ!$N$18:$N$154=$A19)+(工程マスタ!$O$18:$O$154=$A19)+(工程マスタ!$P$18:$P$154=$A19),$G20:$G$156))-1))</f>
        <v>46333</v>
      </c>
      <c r="I19" s="28" t="n">
        <f aca="false">IF($A19="","",$G19-$E19)</f>
        <v>74</v>
      </c>
      <c r="J19" s="28" t="str">
        <f aca="false">IF($A19="","",IF($I19&lt;=0,"●",""))</f>
        <v/>
      </c>
      <c r="K19" s="47" t="n">
        <f aca="false">IF($A19="","",IF(AND(INDEX(工程マスタ!$I$5:$I$154,$A19)="○",$E19&gt;=K$3,$E19&lt;=K$3+6),"▼",IF(AND($E19&gt;=K$3,$E19&lt;=K$3+6),$A19,"")))</f>
        <v>13</v>
      </c>
      <c r="L19" s="47" t="str">
        <f aca="false">IF($A19="","",IF(AND(INDEX(工程マスタ!$I$5:$I$154,$A19)="○",$E19&gt;=L$3,$E19&lt;=L$3+6),"▼",IF(AND($E19&gt;=L$3,$E19&lt;=L$3+6),$A19,"")))</f>
        <v/>
      </c>
      <c r="M19" s="47" t="str">
        <f aca="false">IF($A19="","",IF(AND(INDEX(工程マスタ!$I$5:$I$154,$A19)="○",$E19&gt;=M$3,$E19&lt;=M$3+6),"▼",IF(AND($E19&gt;=M$3,$E19&lt;=M$3+6),$A19,"")))</f>
        <v/>
      </c>
      <c r="N19" s="47" t="str">
        <f aca="false">IF($A19="","",IF(AND(INDEX(工程マスタ!$I$5:$I$154,$A19)="○",$E19&gt;=N$3,$E19&lt;=N$3+6),"▼",IF(AND($E19&gt;=N$3,$E19&lt;=N$3+6),$A19,"")))</f>
        <v/>
      </c>
      <c r="O19" s="47" t="str">
        <f aca="false">IF($A19="","",IF(AND(INDEX(工程マスタ!$I$5:$I$154,$A19)="○",$E19&gt;=O$3,$E19&lt;=O$3+6),"▼",IF(AND($E19&gt;=O$3,$E19&lt;=O$3+6),$A19,"")))</f>
        <v/>
      </c>
      <c r="P19" s="47" t="str">
        <f aca="false">IF($A19="","",IF(AND(INDEX(工程マスタ!$I$5:$I$154,$A19)="○",$E19&gt;=P$3,$E19&lt;=P$3+6),"▼",IF(AND($E19&gt;=P$3,$E19&lt;=P$3+6),$A19,"")))</f>
        <v/>
      </c>
      <c r="Q19" s="47" t="str">
        <f aca="false">IF($A19="","",IF(AND(INDEX(工程マスタ!$I$5:$I$154,$A19)="○",$E19&gt;=Q$3,$E19&lt;=Q$3+6),"▼",IF(AND($E19&gt;=Q$3,$E19&lt;=Q$3+6),$A19,"")))</f>
        <v/>
      </c>
      <c r="R19" s="47" t="str">
        <f aca="false">IF($A19="","",IF(AND(INDEX(工程マスタ!$I$5:$I$154,$A19)="○",$E19&gt;=R$3,$E19&lt;=R$3+6),"▼",IF(AND($E19&gt;=R$3,$E19&lt;=R$3+6),$A19,"")))</f>
        <v/>
      </c>
      <c r="S19" s="47" t="str">
        <f aca="false">IF($A19="","",IF(AND(INDEX(工程マスタ!$I$5:$I$154,$A19)="○",$E19&gt;=S$3,$E19&lt;=S$3+6),"▼",IF(AND($E19&gt;=S$3,$E19&lt;=S$3+6),$A19,"")))</f>
        <v/>
      </c>
      <c r="T19" s="47" t="str">
        <f aca="false">IF($A19="","",IF(AND(INDEX(工程マスタ!$I$5:$I$154,$A19)="○",$E19&gt;=T$3,$E19&lt;=T$3+6),"▼",IF(AND($E19&gt;=T$3,$E19&lt;=T$3+6),$A19,"")))</f>
        <v/>
      </c>
      <c r="U19" s="47" t="str">
        <f aca="false">IF($A19="","",IF(AND(INDEX(工程マスタ!$I$5:$I$154,$A19)="○",$E19&gt;=U$3,$E19&lt;=U$3+6),"▼",IF(AND($E19&gt;=U$3,$E19&lt;=U$3+6),$A19,"")))</f>
        <v/>
      </c>
      <c r="V19" s="47" t="str">
        <f aca="false">IF($A19="","",IF(AND(INDEX(工程マスタ!$I$5:$I$154,$A19)="○",$E19&gt;=V$3,$E19&lt;=V$3+6),"▼",IF(AND($E19&gt;=V$3,$E19&lt;=V$3+6),$A19,"")))</f>
        <v/>
      </c>
      <c r="W19" s="47" t="str">
        <f aca="false">IF($A19="","",IF(AND(INDEX(工程マスタ!$I$5:$I$154,$A19)="○",$E19&gt;=W$3,$E19&lt;=W$3+6),"▼",IF(AND($E19&gt;=W$3,$E19&lt;=W$3+6),$A19,"")))</f>
        <v/>
      </c>
      <c r="X19" s="47" t="str">
        <f aca="false">IF($A19="","",IF(AND(INDEX(工程マスタ!$I$5:$I$154,$A19)="○",$E19&gt;=X$3,$E19&lt;=X$3+6),"▼",IF(AND($E19&gt;=X$3,$E19&lt;=X$3+6),$A19,"")))</f>
        <v/>
      </c>
      <c r="Y19" s="47" t="str">
        <f aca="false">IF($A19="","",IF(AND(INDEX(工程マスタ!$I$5:$I$154,$A19)="○",$E19&gt;=Y$3,$E19&lt;=Y$3+6),"▼",IF(AND($E19&gt;=Y$3,$E19&lt;=Y$3+6),$A19,"")))</f>
        <v/>
      </c>
      <c r="Z19" s="47" t="str">
        <f aca="false">IF($A19="","",IF(AND(INDEX(工程マスタ!$I$5:$I$154,$A19)="○",$E19&gt;=Z$3,$E19&lt;=Z$3+6),"▼",IF(AND($E19&gt;=Z$3,$E19&lt;=Z$3+6),$A19,"")))</f>
        <v/>
      </c>
      <c r="AA19" s="47" t="str">
        <f aca="false">IF($A19="","",IF(AND(INDEX(工程マスタ!$I$5:$I$154,$A19)="○",$E19&gt;=AA$3,$E19&lt;=AA$3+6),"▼",IF(AND($E19&gt;=AA$3,$E19&lt;=AA$3+6),$A19,"")))</f>
        <v/>
      </c>
      <c r="AB19" s="47" t="str">
        <f aca="false">IF($A19="","",IF(AND(INDEX(工程マスタ!$I$5:$I$154,$A19)="○",$E19&gt;=AB$3,$E19&lt;=AB$3+6),"▼",IF(AND($E19&gt;=AB$3,$E19&lt;=AB$3+6),$A19,"")))</f>
        <v/>
      </c>
      <c r="AC19" s="47" t="str">
        <f aca="false">IF($A19="","",IF(AND(INDEX(工程マスタ!$I$5:$I$154,$A19)="○",$E19&gt;=AC$3,$E19&lt;=AC$3+6),"▼",IF(AND($E19&gt;=AC$3,$E19&lt;=AC$3+6),$A19,"")))</f>
        <v/>
      </c>
      <c r="AD19" s="47" t="str">
        <f aca="false">IF($A19="","",IF(AND(INDEX(工程マスタ!$I$5:$I$154,$A19)="○",$E19&gt;=AD$3,$E19&lt;=AD$3+6),"▼",IF(AND($E19&gt;=AD$3,$E19&lt;=AD$3+6),$A19,"")))</f>
        <v/>
      </c>
      <c r="AE19" s="47" t="str">
        <f aca="false">IF($A19="","",IF(AND(INDEX(工程マスタ!$I$5:$I$154,$A19)="○",$E19&gt;=AE$3,$E19&lt;=AE$3+6),"▼",IF(AND($E19&gt;=AE$3,$E19&lt;=AE$3+6),$A19,"")))</f>
        <v/>
      </c>
      <c r="AF19" s="47" t="str">
        <f aca="false">IF($A19="","",IF(AND(INDEX(工程マスタ!$I$5:$I$154,$A19)="○",$E19&gt;=AF$3,$E19&lt;=AF$3+6),"▼",IF(AND($E19&gt;=AF$3,$E19&lt;=AF$3+6),$A19,"")))</f>
        <v/>
      </c>
      <c r="AG19" s="47" t="str">
        <f aca="false">IF($A19="","",IF(AND(INDEX(工程マスタ!$I$5:$I$154,$A19)="○",$E19&gt;=AG$3,$E19&lt;=AG$3+6),"▼",IF(AND($E19&gt;=AG$3,$E19&lt;=AG$3+6),$A19,"")))</f>
        <v/>
      </c>
      <c r="AH19" s="47" t="str">
        <f aca="false">IF($A19="","",IF(AND(INDEX(工程マスタ!$I$5:$I$154,$A19)="○",$E19&gt;=AH$3,$E19&lt;=AH$3+6),"▼",IF(AND($E19&gt;=AH$3,$E19&lt;=AH$3+6),$A19,"")))</f>
        <v/>
      </c>
      <c r="AI19" s="47" t="str">
        <f aca="false">IF($A19="","",IF(AND(INDEX(工程マスタ!$I$5:$I$154,$A19)="○",$E19&gt;=AI$3,$E19&lt;=AI$3+6),"▼",IF(AND($E19&gt;=AI$3,$E19&lt;=AI$3+6),$A19,"")))</f>
        <v/>
      </c>
      <c r="AJ19" s="47" t="str">
        <f aca="false">IF($A19="","",IF(AND(INDEX(工程マスタ!$I$5:$I$154,$A19)="○",$E19&gt;=AJ$3,$E19&lt;=AJ$3+6),"▼",IF(AND($E19&gt;=AJ$3,$E19&lt;=AJ$3+6),$A19,"")))</f>
        <v/>
      </c>
      <c r="AK19" s="47" t="str">
        <f aca="false">IF($A19="","",IF(AND(INDEX(工程マスタ!$I$5:$I$154,$A19)="○",$E19&gt;=AK$3,$E19&lt;=AK$3+6),"▼",IF(AND($E19&gt;=AK$3,$E19&lt;=AK$3+6),$A19,"")))</f>
        <v/>
      </c>
      <c r="AL19" s="47" t="str">
        <f aca="false">IF($A19="","",IF(AND(INDEX(工程マスタ!$I$5:$I$154,$A19)="○",$E19&gt;=AL$3,$E19&lt;=AL$3+6),"▼",IF(AND($E19&gt;=AL$3,$E19&lt;=AL$3+6),$A19,"")))</f>
        <v/>
      </c>
      <c r="AM19" s="47" t="str">
        <f aca="false">IF($A19="","",IF(AND(INDEX(工程マスタ!$I$5:$I$154,$A19)="○",$E19&gt;=AM$3,$E19&lt;=AM$3+6),"▼",IF(AND($E19&gt;=AM$3,$E19&lt;=AM$3+6),$A19,"")))</f>
        <v/>
      </c>
      <c r="AN19" s="47" t="str">
        <f aca="false">IF($A19="","",IF(AND(INDEX(工程マスタ!$I$5:$I$154,$A19)="○",$E19&gt;=AN$3,$E19&lt;=AN$3+6),"▼",IF(AND($E19&gt;=AN$3,$E19&lt;=AN$3+6),$A19,"")))</f>
        <v/>
      </c>
      <c r="AO19" s="47" t="str">
        <f aca="false">IF($A19="","",IF(AND(INDEX(工程マスタ!$I$5:$I$154,$A19)="○",$E19&gt;=AO$3,$E19&lt;=AO$3+6),"▼",IF(AND($E19&gt;=AO$3,$E19&lt;=AO$3+6),$A19,"")))</f>
        <v/>
      </c>
      <c r="AP19" s="47" t="str">
        <f aca="false">IF($A19="","",IF(AND(INDEX(工程マスタ!$I$5:$I$154,$A19)="○",$E19&gt;=AP$3,$E19&lt;=AP$3+6),"▼",IF(AND($E19&gt;=AP$3,$E19&lt;=AP$3+6),$A19,"")))</f>
        <v/>
      </c>
      <c r="AQ19" s="47" t="str">
        <f aca="false">IF($A19="","",IF(AND(INDEX(工程マスタ!$I$5:$I$154,$A19)="○",$E19&gt;=AQ$3,$E19&lt;=AQ$3+6),"▼",IF(AND($E19&gt;=AQ$3,$E19&lt;=AQ$3+6),$A19,"")))</f>
        <v/>
      </c>
      <c r="AR19" s="47" t="str">
        <f aca="false">IF($A19="","",IF(AND(INDEX(工程マスタ!$I$5:$I$154,$A19)="○",$E19&gt;=AR$3,$E19&lt;=AR$3+6),"▼",IF(AND($E19&gt;=AR$3,$E19&lt;=AR$3+6),$A19,"")))</f>
        <v/>
      </c>
      <c r="AS19" s="47" t="str">
        <f aca="false">IF($A19="","",IF(AND(INDEX(工程マスタ!$I$5:$I$154,$A19)="○",$E19&gt;=AS$3,$E19&lt;=AS$3+6),"▼",IF(AND($E19&gt;=AS$3,$E19&lt;=AS$3+6),$A19,"")))</f>
        <v/>
      </c>
      <c r="AT19" s="47" t="str">
        <f aca="false">IF($A19="","",IF(AND(INDEX(工程マスタ!$I$5:$I$154,$A19)="○",$E19&gt;=AT$3,$E19&lt;=AT$3+6),"▼",IF(AND($E19&gt;=AT$3,$E19&lt;=AT$3+6),$A19,"")))</f>
        <v/>
      </c>
      <c r="AU19" s="47" t="str">
        <f aca="false">IF($A19="","",IF(AND(INDEX(工程マスタ!$I$5:$I$154,$A19)="○",$E19&gt;=AU$3,$E19&lt;=AU$3+6),"▼",IF(AND($E19&gt;=AU$3,$E19&lt;=AU$3+6),$A19,"")))</f>
        <v/>
      </c>
      <c r="AV19" s="47" t="str">
        <f aca="false">IF($A19="","",IF(AND(INDEX(工程マスタ!$I$5:$I$154,$A19)="○",$E19&gt;=AV$3,$E19&lt;=AV$3+6),"▼",IF(AND($E19&gt;=AV$3,$E19&lt;=AV$3+6),$A19,"")))</f>
        <v/>
      </c>
      <c r="AW19" s="47" t="str">
        <f aca="false">IF($A19="","",IF(AND(INDEX(工程マスタ!$I$5:$I$154,$A19)="○",$E19&gt;=AW$3,$E19&lt;=AW$3+6),"▼",IF(AND($E19&gt;=AW$3,$E19&lt;=AW$3+6),$A19,"")))</f>
        <v/>
      </c>
      <c r="AX19" s="47" t="str">
        <f aca="false">IF($A19="","",IF(AND(INDEX(工程マスタ!$I$5:$I$154,$A19)="○",$E19&gt;=AX$3,$E19&lt;=AX$3+6),"▼",IF(AND($E19&gt;=AX$3,$E19&lt;=AX$3+6),$A19,"")))</f>
        <v/>
      </c>
      <c r="AY19" s="47" t="str">
        <f aca="false">IF($A19="","",IF(AND(INDEX(工程マスタ!$I$5:$I$154,$A19)="○",$E19&gt;=AY$3,$E19&lt;=AY$3+6),"▼",IF(AND($E19&gt;=AY$3,$E19&lt;=AY$3+6),$A19,"")))</f>
        <v/>
      </c>
      <c r="AZ19" s="47" t="str">
        <f aca="false">IF($A19="","",IF(AND(INDEX(工程マスタ!$I$5:$I$154,$A19)="○",$E19&gt;=AZ$3,$E19&lt;=AZ$3+6),"▼",IF(AND($E19&gt;=AZ$3,$E19&lt;=AZ$3+6),$A19,"")))</f>
        <v/>
      </c>
      <c r="BA19" s="47" t="str">
        <f aca="false">IF($A19="","",IF(AND(INDEX(工程マスタ!$I$5:$I$154,$A19)="○",$E19&gt;=BA$3,$E19&lt;=BA$3+6),"▼",IF(AND($E19&gt;=BA$3,$E19&lt;=BA$3+6),$A19,"")))</f>
        <v/>
      </c>
      <c r="BB19" s="47" t="str">
        <f aca="false">IF($A19="","",IF(AND(INDEX(工程マスタ!$I$5:$I$154,$A19)="○",$E19&gt;=BB$3,$E19&lt;=BB$3+6),"▼",IF(AND($E19&gt;=BB$3,$E19&lt;=BB$3+6),$A19,"")))</f>
        <v/>
      </c>
      <c r="BC19" s="47" t="str">
        <f aca="false">IF($A19="","",IF(AND(INDEX(工程マスタ!$I$5:$I$154,$A19)="○",$E19&gt;=BC$3,$E19&lt;=BC$3+6),"▼",IF(AND($E19&gt;=BC$3,$E19&lt;=BC$3+6),$A19,"")))</f>
        <v/>
      </c>
      <c r="BD19" s="47" t="str">
        <f aca="false">IF($A19="","",IF(AND(INDEX(工程マスタ!$I$5:$I$154,$A19)="○",$E19&gt;=BD$3,$E19&lt;=BD$3+6),"▼",IF(AND($E19&gt;=BD$3,$E19&lt;=BD$3+6),$A19,"")))</f>
        <v/>
      </c>
      <c r="BE19" s="47" t="str">
        <f aca="false">IF($A19="","",IF(AND(INDEX(工程マスタ!$I$5:$I$154,$A19)="○",$E19&gt;=BE$3,$E19&lt;=BE$3+6),"▼",IF(AND($E19&gt;=BE$3,$E19&lt;=BE$3+6),$A19,"")))</f>
        <v/>
      </c>
      <c r="BF19" s="47" t="str">
        <f aca="false">IF($A19="","",IF(AND(INDEX(工程マスタ!$I$5:$I$154,$A19)="○",$E19&gt;=BF$3,$E19&lt;=BF$3+6),"▼",IF(AND($E19&gt;=BF$3,$E19&lt;=BF$3+6),$A19,"")))</f>
        <v/>
      </c>
      <c r="BG19" s="47" t="str">
        <f aca="false">IF($A19="","",IF(AND(INDEX(工程マスタ!$I$5:$I$154,$A19)="○",$E19&gt;=BG$3,$E19&lt;=BG$3+6),"▼",IF(AND($E19&gt;=BG$3,$E19&lt;=BG$3+6),$A19,"")))</f>
        <v/>
      </c>
      <c r="BH19" s="47" t="str">
        <f aca="false">IF($A19="","",IF(AND(INDEX(工程マスタ!$I$5:$I$154,$A19)="○",$E19&gt;=BH$3,$E19&lt;=BH$3+6),"▼",IF(AND($E19&gt;=BH$3,$E19&lt;=BH$3+6),$A19,"")))</f>
        <v/>
      </c>
      <c r="BI19" s="47" t="str">
        <f aca="false">IF($A19="","",IF(AND(INDEX(工程マスタ!$I$5:$I$154,$A19)="○",$E19&gt;=BI$3,$E19&lt;=BI$3+6),"▼",IF(AND($E19&gt;=BI$3,$E19&lt;=BI$3+6),$A19,"")))</f>
        <v/>
      </c>
      <c r="BJ19" s="47" t="str">
        <f aca="false">IF($A19="","",IF(AND(INDEX(工程マスタ!$I$5:$I$154,$A19)="○",$E19&gt;=BJ$3,$E19&lt;=BJ$3+6),"▼",IF(AND($E19&gt;=BJ$3,$E19&lt;=BJ$3+6),$A19,"")))</f>
        <v/>
      </c>
    </row>
    <row r="20" customFormat="false" ht="15" hidden="false" customHeight="false" outlineLevel="0" collapsed="false">
      <c r="A20" s="28" t="n">
        <f aca="false">IF(工程マスタ!$C18="","",工程マスタ!$A18)</f>
        <v>14</v>
      </c>
      <c r="B20" s="46" t="str">
        <f aca="false">IF($A20="","",工程マスタ!$C18)</f>
        <v>鉄骨建方開始</v>
      </c>
      <c r="C20" s="28" t="n">
        <f aca="false">IF($A20="","",MAX(1,工程マスタ!$G18))</f>
        <v>1</v>
      </c>
      <c r="D20" s="28" t="str">
        <f aca="false">IF($A20="","",_xlfn.TEXTJOIN(",",TRUE(),工程マスタ!$N18:$P18))</f>
        <v>12,13</v>
      </c>
      <c r="E20" s="29" t="n">
        <f aca="false">IF($A20="","",IF(COUNT(工程マスタ!$N18:$P18)=0,設定!$B$8,MAX(IF(工程マスタ!$N18="",0,INDEX($F$7:$F$156,工程マスタ!$N18)),IF(工程マスタ!$O18="",0,INDEX($F$7:$F$156,工程マスタ!$O18)),IF(工程マスタ!$P18="",0,INDEX($F$7:$F$156,工程マスタ!$P18)))+1))</f>
        <v>46322</v>
      </c>
      <c r="F20" s="29" t="n">
        <f aca="false">IF($A20="","",$E20+$C20-1)</f>
        <v>46322</v>
      </c>
      <c r="G20" s="29" t="n">
        <f aca="false">IF($A20="","",$H20-$C20+1)</f>
        <v>46334</v>
      </c>
      <c r="H20" s="29" t="n">
        <f aca="false" t="array" ref="H20:H20">IF($A20="","",IF(SUMPRODUCT((工程マスタ!$N$19:$N$154=$A20)*1)+SUMPRODUCT((工程マスタ!$O$19:$O$154=$A20)*1)+SUMPRODUCT((工程マスタ!$P$19:$P$154=$A20)*1)=0,MAX($F$7:$F$156),MIN(IF((工程マスタ!$N$19:$N$154=$A20)+(工程マスタ!$O$19:$O$154=$A20)+(工程マスタ!$P$19:$P$154=$A20),$G21:$G$156))-1))</f>
        <v>46334</v>
      </c>
      <c r="I20" s="28" t="n">
        <f aca="false">IF($A20="","",$G20-$E20)</f>
        <v>12</v>
      </c>
      <c r="J20" s="28" t="str">
        <f aca="false">IF($A20="","",IF($I20&lt;=0,"●",""))</f>
        <v/>
      </c>
      <c r="K20" s="47" t="str">
        <f aca="false">IF($A20="","",IF(AND(INDEX(工程マスタ!$I$5:$I$154,$A20)="○",$E20&gt;=K$3,$E20&lt;=K$3+6),"▼",IF(AND($E20&gt;=K$3,$E20&lt;=K$3+6),$A20,"")))</f>
        <v/>
      </c>
      <c r="L20" s="47" t="str">
        <f aca="false">IF($A20="","",IF(AND(INDEX(工程マスタ!$I$5:$I$154,$A20)="○",$E20&gt;=L$3,$E20&lt;=L$3+6),"▼",IF(AND($E20&gt;=L$3,$E20&lt;=L$3+6),$A20,"")))</f>
        <v/>
      </c>
      <c r="M20" s="47" t="str">
        <f aca="false">IF($A20="","",IF(AND(INDEX(工程マスタ!$I$5:$I$154,$A20)="○",$E20&gt;=M$3,$E20&lt;=M$3+6),"▼",IF(AND($E20&gt;=M$3,$E20&lt;=M$3+6),$A20,"")))</f>
        <v/>
      </c>
      <c r="N20" s="47" t="str">
        <f aca="false">IF($A20="","",IF(AND(INDEX(工程マスタ!$I$5:$I$154,$A20)="○",$E20&gt;=N$3,$E20&lt;=N$3+6),"▼",IF(AND($E20&gt;=N$3,$E20&lt;=N$3+6),$A20,"")))</f>
        <v/>
      </c>
      <c r="O20" s="47" t="str">
        <f aca="false">IF($A20="","",IF(AND(INDEX(工程マスタ!$I$5:$I$154,$A20)="○",$E20&gt;=O$3,$E20&lt;=O$3+6),"▼",IF(AND($E20&gt;=O$3,$E20&lt;=O$3+6),$A20,"")))</f>
        <v/>
      </c>
      <c r="P20" s="47" t="str">
        <f aca="false">IF($A20="","",IF(AND(INDEX(工程マスタ!$I$5:$I$154,$A20)="○",$E20&gt;=P$3,$E20&lt;=P$3+6),"▼",IF(AND($E20&gt;=P$3,$E20&lt;=P$3+6),$A20,"")))</f>
        <v/>
      </c>
      <c r="Q20" s="47" t="str">
        <f aca="false">IF($A20="","",IF(AND(INDEX(工程マスタ!$I$5:$I$154,$A20)="○",$E20&gt;=Q$3,$E20&lt;=Q$3+6),"▼",IF(AND($E20&gt;=Q$3,$E20&lt;=Q$3+6),$A20,"")))</f>
        <v/>
      </c>
      <c r="R20" s="47" t="str">
        <f aca="false">IF($A20="","",IF(AND(INDEX(工程マスタ!$I$5:$I$154,$A20)="○",$E20&gt;=R$3,$E20&lt;=R$3+6),"▼",IF(AND($E20&gt;=R$3,$E20&lt;=R$3+6),$A20,"")))</f>
        <v/>
      </c>
      <c r="S20" s="47" t="str">
        <f aca="false">IF($A20="","",IF(AND(INDEX(工程マスタ!$I$5:$I$154,$A20)="○",$E20&gt;=S$3,$E20&lt;=S$3+6),"▼",IF(AND($E20&gt;=S$3,$E20&lt;=S$3+6),$A20,"")))</f>
        <v/>
      </c>
      <c r="T20" s="47" t="str">
        <f aca="false">IF($A20="","",IF(AND(INDEX(工程マスタ!$I$5:$I$154,$A20)="○",$E20&gt;=T$3,$E20&lt;=T$3+6),"▼",IF(AND($E20&gt;=T$3,$E20&lt;=T$3+6),$A20,"")))</f>
        <v/>
      </c>
      <c r="U20" s="47" t="str">
        <f aca="false">IF($A20="","",IF(AND(INDEX(工程マスタ!$I$5:$I$154,$A20)="○",$E20&gt;=U$3,$E20&lt;=U$3+6),"▼",IF(AND($E20&gt;=U$3,$E20&lt;=U$3+6),$A20,"")))</f>
        <v/>
      </c>
      <c r="V20" s="47" t="str">
        <f aca="false">IF($A20="","",IF(AND(INDEX(工程マスタ!$I$5:$I$154,$A20)="○",$E20&gt;=V$3,$E20&lt;=V$3+6),"▼",IF(AND($E20&gt;=V$3,$E20&lt;=V$3+6),$A20,"")))</f>
        <v/>
      </c>
      <c r="W20" s="47" t="str">
        <f aca="false">IF($A20="","",IF(AND(INDEX(工程マスタ!$I$5:$I$154,$A20)="○",$E20&gt;=W$3,$E20&lt;=W$3+6),"▼",IF(AND($E20&gt;=W$3,$E20&lt;=W$3+6),$A20,"")))</f>
        <v/>
      </c>
      <c r="X20" s="47" t="str">
        <f aca="false">IF($A20="","",IF(AND(INDEX(工程マスタ!$I$5:$I$154,$A20)="○",$E20&gt;=X$3,$E20&lt;=X$3+6),"▼",IF(AND($E20&gt;=X$3,$E20&lt;=X$3+6),$A20,"")))</f>
        <v/>
      </c>
      <c r="Y20" s="47" t="str">
        <f aca="false">IF($A20="","",IF(AND(INDEX(工程マスタ!$I$5:$I$154,$A20)="○",$E20&gt;=Y$3,$E20&lt;=Y$3+6),"▼",IF(AND($E20&gt;=Y$3,$E20&lt;=Y$3+6),$A20,"")))</f>
        <v/>
      </c>
      <c r="Z20" s="47" t="str">
        <f aca="false">IF($A20="","",IF(AND(INDEX(工程マスタ!$I$5:$I$154,$A20)="○",$E20&gt;=Z$3,$E20&lt;=Z$3+6),"▼",IF(AND($E20&gt;=Z$3,$E20&lt;=Z$3+6),$A20,"")))</f>
        <v/>
      </c>
      <c r="AA20" s="47" t="str">
        <f aca="false">IF($A20="","",IF(AND(INDEX(工程マスタ!$I$5:$I$154,$A20)="○",$E20&gt;=AA$3,$E20&lt;=AA$3+6),"▼",IF(AND($E20&gt;=AA$3,$E20&lt;=AA$3+6),$A20,"")))</f>
        <v>▼</v>
      </c>
      <c r="AB20" s="47" t="str">
        <f aca="false">IF($A20="","",IF(AND(INDEX(工程マスタ!$I$5:$I$154,$A20)="○",$E20&gt;=AB$3,$E20&lt;=AB$3+6),"▼",IF(AND($E20&gt;=AB$3,$E20&lt;=AB$3+6),$A20,"")))</f>
        <v/>
      </c>
      <c r="AC20" s="47" t="str">
        <f aca="false">IF($A20="","",IF(AND(INDEX(工程マスタ!$I$5:$I$154,$A20)="○",$E20&gt;=AC$3,$E20&lt;=AC$3+6),"▼",IF(AND($E20&gt;=AC$3,$E20&lt;=AC$3+6),$A20,"")))</f>
        <v/>
      </c>
      <c r="AD20" s="47" t="str">
        <f aca="false">IF($A20="","",IF(AND(INDEX(工程マスタ!$I$5:$I$154,$A20)="○",$E20&gt;=AD$3,$E20&lt;=AD$3+6),"▼",IF(AND($E20&gt;=AD$3,$E20&lt;=AD$3+6),$A20,"")))</f>
        <v/>
      </c>
      <c r="AE20" s="47" t="str">
        <f aca="false">IF($A20="","",IF(AND(INDEX(工程マスタ!$I$5:$I$154,$A20)="○",$E20&gt;=AE$3,$E20&lt;=AE$3+6),"▼",IF(AND($E20&gt;=AE$3,$E20&lt;=AE$3+6),$A20,"")))</f>
        <v/>
      </c>
      <c r="AF20" s="47" t="str">
        <f aca="false">IF($A20="","",IF(AND(INDEX(工程マスタ!$I$5:$I$154,$A20)="○",$E20&gt;=AF$3,$E20&lt;=AF$3+6),"▼",IF(AND($E20&gt;=AF$3,$E20&lt;=AF$3+6),$A20,"")))</f>
        <v/>
      </c>
      <c r="AG20" s="47" t="str">
        <f aca="false">IF($A20="","",IF(AND(INDEX(工程マスタ!$I$5:$I$154,$A20)="○",$E20&gt;=AG$3,$E20&lt;=AG$3+6),"▼",IF(AND($E20&gt;=AG$3,$E20&lt;=AG$3+6),$A20,"")))</f>
        <v/>
      </c>
      <c r="AH20" s="47" t="str">
        <f aca="false">IF($A20="","",IF(AND(INDEX(工程マスタ!$I$5:$I$154,$A20)="○",$E20&gt;=AH$3,$E20&lt;=AH$3+6),"▼",IF(AND($E20&gt;=AH$3,$E20&lt;=AH$3+6),$A20,"")))</f>
        <v/>
      </c>
      <c r="AI20" s="47" t="str">
        <f aca="false">IF($A20="","",IF(AND(INDEX(工程マスタ!$I$5:$I$154,$A20)="○",$E20&gt;=AI$3,$E20&lt;=AI$3+6),"▼",IF(AND($E20&gt;=AI$3,$E20&lt;=AI$3+6),$A20,"")))</f>
        <v/>
      </c>
      <c r="AJ20" s="47" t="str">
        <f aca="false">IF($A20="","",IF(AND(INDEX(工程マスタ!$I$5:$I$154,$A20)="○",$E20&gt;=AJ$3,$E20&lt;=AJ$3+6),"▼",IF(AND($E20&gt;=AJ$3,$E20&lt;=AJ$3+6),$A20,"")))</f>
        <v/>
      </c>
      <c r="AK20" s="47" t="str">
        <f aca="false">IF($A20="","",IF(AND(INDEX(工程マスタ!$I$5:$I$154,$A20)="○",$E20&gt;=AK$3,$E20&lt;=AK$3+6),"▼",IF(AND($E20&gt;=AK$3,$E20&lt;=AK$3+6),$A20,"")))</f>
        <v/>
      </c>
      <c r="AL20" s="47" t="str">
        <f aca="false">IF($A20="","",IF(AND(INDEX(工程マスタ!$I$5:$I$154,$A20)="○",$E20&gt;=AL$3,$E20&lt;=AL$3+6),"▼",IF(AND($E20&gt;=AL$3,$E20&lt;=AL$3+6),$A20,"")))</f>
        <v/>
      </c>
      <c r="AM20" s="47" t="str">
        <f aca="false">IF($A20="","",IF(AND(INDEX(工程マスタ!$I$5:$I$154,$A20)="○",$E20&gt;=AM$3,$E20&lt;=AM$3+6),"▼",IF(AND($E20&gt;=AM$3,$E20&lt;=AM$3+6),$A20,"")))</f>
        <v/>
      </c>
      <c r="AN20" s="47" t="str">
        <f aca="false">IF($A20="","",IF(AND(INDEX(工程マスタ!$I$5:$I$154,$A20)="○",$E20&gt;=AN$3,$E20&lt;=AN$3+6),"▼",IF(AND($E20&gt;=AN$3,$E20&lt;=AN$3+6),$A20,"")))</f>
        <v/>
      </c>
      <c r="AO20" s="47" t="str">
        <f aca="false">IF($A20="","",IF(AND(INDEX(工程マスタ!$I$5:$I$154,$A20)="○",$E20&gt;=AO$3,$E20&lt;=AO$3+6),"▼",IF(AND($E20&gt;=AO$3,$E20&lt;=AO$3+6),$A20,"")))</f>
        <v/>
      </c>
      <c r="AP20" s="47" t="str">
        <f aca="false">IF($A20="","",IF(AND(INDEX(工程マスタ!$I$5:$I$154,$A20)="○",$E20&gt;=AP$3,$E20&lt;=AP$3+6),"▼",IF(AND($E20&gt;=AP$3,$E20&lt;=AP$3+6),$A20,"")))</f>
        <v/>
      </c>
      <c r="AQ20" s="47" t="str">
        <f aca="false">IF($A20="","",IF(AND(INDEX(工程マスタ!$I$5:$I$154,$A20)="○",$E20&gt;=AQ$3,$E20&lt;=AQ$3+6),"▼",IF(AND($E20&gt;=AQ$3,$E20&lt;=AQ$3+6),$A20,"")))</f>
        <v/>
      </c>
      <c r="AR20" s="47" t="str">
        <f aca="false">IF($A20="","",IF(AND(INDEX(工程マスタ!$I$5:$I$154,$A20)="○",$E20&gt;=AR$3,$E20&lt;=AR$3+6),"▼",IF(AND($E20&gt;=AR$3,$E20&lt;=AR$3+6),$A20,"")))</f>
        <v/>
      </c>
      <c r="AS20" s="47" t="str">
        <f aca="false">IF($A20="","",IF(AND(INDEX(工程マスタ!$I$5:$I$154,$A20)="○",$E20&gt;=AS$3,$E20&lt;=AS$3+6),"▼",IF(AND($E20&gt;=AS$3,$E20&lt;=AS$3+6),$A20,"")))</f>
        <v/>
      </c>
      <c r="AT20" s="47" t="str">
        <f aca="false">IF($A20="","",IF(AND(INDEX(工程マスタ!$I$5:$I$154,$A20)="○",$E20&gt;=AT$3,$E20&lt;=AT$3+6),"▼",IF(AND($E20&gt;=AT$3,$E20&lt;=AT$3+6),$A20,"")))</f>
        <v/>
      </c>
      <c r="AU20" s="47" t="str">
        <f aca="false">IF($A20="","",IF(AND(INDEX(工程マスタ!$I$5:$I$154,$A20)="○",$E20&gt;=AU$3,$E20&lt;=AU$3+6),"▼",IF(AND($E20&gt;=AU$3,$E20&lt;=AU$3+6),$A20,"")))</f>
        <v/>
      </c>
      <c r="AV20" s="47" t="str">
        <f aca="false">IF($A20="","",IF(AND(INDEX(工程マスタ!$I$5:$I$154,$A20)="○",$E20&gt;=AV$3,$E20&lt;=AV$3+6),"▼",IF(AND($E20&gt;=AV$3,$E20&lt;=AV$3+6),$A20,"")))</f>
        <v/>
      </c>
      <c r="AW20" s="47" t="str">
        <f aca="false">IF($A20="","",IF(AND(INDEX(工程マスタ!$I$5:$I$154,$A20)="○",$E20&gt;=AW$3,$E20&lt;=AW$3+6),"▼",IF(AND($E20&gt;=AW$3,$E20&lt;=AW$3+6),$A20,"")))</f>
        <v/>
      </c>
      <c r="AX20" s="47" t="str">
        <f aca="false">IF($A20="","",IF(AND(INDEX(工程マスタ!$I$5:$I$154,$A20)="○",$E20&gt;=AX$3,$E20&lt;=AX$3+6),"▼",IF(AND($E20&gt;=AX$3,$E20&lt;=AX$3+6),$A20,"")))</f>
        <v/>
      </c>
      <c r="AY20" s="47" t="str">
        <f aca="false">IF($A20="","",IF(AND(INDEX(工程マスタ!$I$5:$I$154,$A20)="○",$E20&gt;=AY$3,$E20&lt;=AY$3+6),"▼",IF(AND($E20&gt;=AY$3,$E20&lt;=AY$3+6),$A20,"")))</f>
        <v/>
      </c>
      <c r="AZ20" s="47" t="str">
        <f aca="false">IF($A20="","",IF(AND(INDEX(工程マスタ!$I$5:$I$154,$A20)="○",$E20&gt;=AZ$3,$E20&lt;=AZ$3+6),"▼",IF(AND($E20&gt;=AZ$3,$E20&lt;=AZ$3+6),$A20,"")))</f>
        <v/>
      </c>
      <c r="BA20" s="47" t="str">
        <f aca="false">IF($A20="","",IF(AND(INDEX(工程マスタ!$I$5:$I$154,$A20)="○",$E20&gt;=BA$3,$E20&lt;=BA$3+6),"▼",IF(AND($E20&gt;=BA$3,$E20&lt;=BA$3+6),$A20,"")))</f>
        <v/>
      </c>
      <c r="BB20" s="47" t="str">
        <f aca="false">IF($A20="","",IF(AND(INDEX(工程マスタ!$I$5:$I$154,$A20)="○",$E20&gt;=BB$3,$E20&lt;=BB$3+6),"▼",IF(AND($E20&gt;=BB$3,$E20&lt;=BB$3+6),$A20,"")))</f>
        <v/>
      </c>
      <c r="BC20" s="47" t="str">
        <f aca="false">IF($A20="","",IF(AND(INDEX(工程マスタ!$I$5:$I$154,$A20)="○",$E20&gt;=BC$3,$E20&lt;=BC$3+6),"▼",IF(AND($E20&gt;=BC$3,$E20&lt;=BC$3+6),$A20,"")))</f>
        <v/>
      </c>
      <c r="BD20" s="47" t="str">
        <f aca="false">IF($A20="","",IF(AND(INDEX(工程マスタ!$I$5:$I$154,$A20)="○",$E20&gt;=BD$3,$E20&lt;=BD$3+6),"▼",IF(AND($E20&gt;=BD$3,$E20&lt;=BD$3+6),$A20,"")))</f>
        <v/>
      </c>
      <c r="BE20" s="47" t="str">
        <f aca="false">IF($A20="","",IF(AND(INDEX(工程マスタ!$I$5:$I$154,$A20)="○",$E20&gt;=BE$3,$E20&lt;=BE$3+6),"▼",IF(AND($E20&gt;=BE$3,$E20&lt;=BE$3+6),$A20,"")))</f>
        <v/>
      </c>
      <c r="BF20" s="47" t="str">
        <f aca="false">IF($A20="","",IF(AND(INDEX(工程マスタ!$I$5:$I$154,$A20)="○",$E20&gt;=BF$3,$E20&lt;=BF$3+6),"▼",IF(AND($E20&gt;=BF$3,$E20&lt;=BF$3+6),$A20,"")))</f>
        <v/>
      </c>
      <c r="BG20" s="47" t="str">
        <f aca="false">IF($A20="","",IF(AND(INDEX(工程マスタ!$I$5:$I$154,$A20)="○",$E20&gt;=BG$3,$E20&lt;=BG$3+6),"▼",IF(AND($E20&gt;=BG$3,$E20&lt;=BG$3+6),$A20,"")))</f>
        <v/>
      </c>
      <c r="BH20" s="47" t="str">
        <f aca="false">IF($A20="","",IF(AND(INDEX(工程マスタ!$I$5:$I$154,$A20)="○",$E20&gt;=BH$3,$E20&lt;=BH$3+6),"▼",IF(AND($E20&gt;=BH$3,$E20&lt;=BH$3+6),$A20,"")))</f>
        <v/>
      </c>
      <c r="BI20" s="47" t="str">
        <f aca="false">IF($A20="","",IF(AND(INDEX(工程マスタ!$I$5:$I$154,$A20)="○",$E20&gt;=BI$3,$E20&lt;=BI$3+6),"▼",IF(AND($E20&gt;=BI$3,$E20&lt;=BI$3+6),$A20,"")))</f>
        <v/>
      </c>
      <c r="BJ20" s="47" t="str">
        <f aca="false">IF($A20="","",IF(AND(INDEX(工程マスタ!$I$5:$I$154,$A20)="○",$E20&gt;=BJ$3,$E20&lt;=BJ$3+6),"▼",IF(AND($E20&gt;=BJ$3,$E20&lt;=BJ$3+6),$A20,"")))</f>
        <v/>
      </c>
    </row>
    <row r="21" customFormat="false" ht="15" hidden="false" customHeight="false" outlineLevel="0" collapsed="false">
      <c r="A21" s="28" t="n">
        <f aca="false">IF(工程マスタ!$C19="","",工程マスタ!$A19)</f>
        <v>15</v>
      </c>
      <c r="B21" s="46" t="str">
        <f aca="false">IF($A21="","",工程マスタ!$C19)</f>
        <v>外部足場組立</v>
      </c>
      <c r="C21" s="28" t="n">
        <f aca="false">IF($A21="","",MAX(1,工程マスタ!$G19))</f>
        <v>13</v>
      </c>
      <c r="D21" s="28" t="str">
        <f aca="false">IF($A21="","",_xlfn.TEXTJOIN(",",TRUE(),工程マスタ!$N19:$P19))</f>
        <v>12</v>
      </c>
      <c r="E21" s="29" t="n">
        <f aca="false">IF($A21="","",IF(COUNT(工程マスタ!$N19:$P19)=0,設定!$B$8,MAX(IF(工程マスタ!$N19="",0,INDEX($F$7:$F$156,工程マスタ!$N19)),IF(工程マスタ!$O19="",0,INDEX($F$7:$F$156,工程マスタ!$O19)),IF(工程マスタ!$P19="",0,INDEX($F$7:$F$156,工程マスタ!$P19)))+1))</f>
        <v>46322</v>
      </c>
      <c r="F21" s="29" t="n">
        <f aca="false">IF($A21="","",$E21+$C21-1)</f>
        <v>46334</v>
      </c>
      <c r="G21" s="29" t="n">
        <f aca="false">IF($A21="","",$H21-$C21+1)</f>
        <v>46322</v>
      </c>
      <c r="H21" s="29" t="n">
        <f aca="false" t="array" ref="H21:H21">IF($A21="","",IF(SUMPRODUCT((工程マスタ!$N$20:$N$154=$A21)*1)+SUMPRODUCT((工程マスタ!$O$20:$O$154=$A21)*1)+SUMPRODUCT((工程マスタ!$P$20:$P$154=$A21)*1)=0,MAX($F$7:$F$156),MIN(IF((工程マスタ!$N$20:$N$154=$A21)+(工程マスタ!$O$20:$O$154=$A21)+(工程マスタ!$P$20:$P$154=$A21),$G22:$G$156))-1))</f>
        <v>46334</v>
      </c>
      <c r="I21" s="28" t="n">
        <f aca="false">IF($A21="","",$G21-$E21)</f>
        <v>0</v>
      </c>
      <c r="J21" s="28" t="str">
        <f aca="false">IF($A21="","",IF($I21&lt;=0,"●",""))</f>
        <v>●</v>
      </c>
      <c r="K21" s="47" t="str">
        <f aca="false">IF($A21="","",IF(AND(INDEX(工程マスタ!$I$5:$I$154,$A21)="○",$E21&gt;=K$3,$E21&lt;=K$3+6),"▼",IF(AND($E21&gt;=K$3,$E21&lt;=K$3+6),$A21,"")))</f>
        <v/>
      </c>
      <c r="L21" s="47" t="str">
        <f aca="false">IF($A21="","",IF(AND(INDEX(工程マスタ!$I$5:$I$154,$A21)="○",$E21&gt;=L$3,$E21&lt;=L$3+6),"▼",IF(AND($E21&gt;=L$3,$E21&lt;=L$3+6),$A21,"")))</f>
        <v/>
      </c>
      <c r="M21" s="47" t="str">
        <f aca="false">IF($A21="","",IF(AND(INDEX(工程マスタ!$I$5:$I$154,$A21)="○",$E21&gt;=M$3,$E21&lt;=M$3+6),"▼",IF(AND($E21&gt;=M$3,$E21&lt;=M$3+6),$A21,"")))</f>
        <v/>
      </c>
      <c r="N21" s="47" t="str">
        <f aca="false">IF($A21="","",IF(AND(INDEX(工程マスタ!$I$5:$I$154,$A21)="○",$E21&gt;=N$3,$E21&lt;=N$3+6),"▼",IF(AND($E21&gt;=N$3,$E21&lt;=N$3+6),$A21,"")))</f>
        <v/>
      </c>
      <c r="O21" s="47" t="str">
        <f aca="false">IF($A21="","",IF(AND(INDEX(工程マスタ!$I$5:$I$154,$A21)="○",$E21&gt;=O$3,$E21&lt;=O$3+6),"▼",IF(AND($E21&gt;=O$3,$E21&lt;=O$3+6),$A21,"")))</f>
        <v/>
      </c>
      <c r="P21" s="47" t="str">
        <f aca="false">IF($A21="","",IF(AND(INDEX(工程マスタ!$I$5:$I$154,$A21)="○",$E21&gt;=P$3,$E21&lt;=P$3+6),"▼",IF(AND($E21&gt;=P$3,$E21&lt;=P$3+6),$A21,"")))</f>
        <v/>
      </c>
      <c r="Q21" s="47" t="str">
        <f aca="false">IF($A21="","",IF(AND(INDEX(工程マスタ!$I$5:$I$154,$A21)="○",$E21&gt;=Q$3,$E21&lt;=Q$3+6),"▼",IF(AND($E21&gt;=Q$3,$E21&lt;=Q$3+6),$A21,"")))</f>
        <v/>
      </c>
      <c r="R21" s="47" t="str">
        <f aca="false">IF($A21="","",IF(AND(INDEX(工程マスタ!$I$5:$I$154,$A21)="○",$E21&gt;=R$3,$E21&lt;=R$3+6),"▼",IF(AND($E21&gt;=R$3,$E21&lt;=R$3+6),$A21,"")))</f>
        <v/>
      </c>
      <c r="S21" s="47" t="str">
        <f aca="false">IF($A21="","",IF(AND(INDEX(工程マスタ!$I$5:$I$154,$A21)="○",$E21&gt;=S$3,$E21&lt;=S$3+6),"▼",IF(AND($E21&gt;=S$3,$E21&lt;=S$3+6),$A21,"")))</f>
        <v/>
      </c>
      <c r="T21" s="47" t="str">
        <f aca="false">IF($A21="","",IF(AND(INDEX(工程マスタ!$I$5:$I$154,$A21)="○",$E21&gt;=T$3,$E21&lt;=T$3+6),"▼",IF(AND($E21&gt;=T$3,$E21&lt;=T$3+6),$A21,"")))</f>
        <v/>
      </c>
      <c r="U21" s="47" t="str">
        <f aca="false">IF($A21="","",IF(AND(INDEX(工程マスタ!$I$5:$I$154,$A21)="○",$E21&gt;=U$3,$E21&lt;=U$3+6),"▼",IF(AND($E21&gt;=U$3,$E21&lt;=U$3+6),$A21,"")))</f>
        <v/>
      </c>
      <c r="V21" s="47" t="str">
        <f aca="false">IF($A21="","",IF(AND(INDEX(工程マスタ!$I$5:$I$154,$A21)="○",$E21&gt;=V$3,$E21&lt;=V$3+6),"▼",IF(AND($E21&gt;=V$3,$E21&lt;=V$3+6),$A21,"")))</f>
        <v/>
      </c>
      <c r="W21" s="47" t="str">
        <f aca="false">IF($A21="","",IF(AND(INDEX(工程マスタ!$I$5:$I$154,$A21)="○",$E21&gt;=W$3,$E21&lt;=W$3+6),"▼",IF(AND($E21&gt;=W$3,$E21&lt;=W$3+6),$A21,"")))</f>
        <v/>
      </c>
      <c r="X21" s="47" t="str">
        <f aca="false">IF($A21="","",IF(AND(INDEX(工程マスタ!$I$5:$I$154,$A21)="○",$E21&gt;=X$3,$E21&lt;=X$3+6),"▼",IF(AND($E21&gt;=X$3,$E21&lt;=X$3+6),$A21,"")))</f>
        <v/>
      </c>
      <c r="Y21" s="47" t="str">
        <f aca="false">IF($A21="","",IF(AND(INDEX(工程マスタ!$I$5:$I$154,$A21)="○",$E21&gt;=Y$3,$E21&lt;=Y$3+6),"▼",IF(AND($E21&gt;=Y$3,$E21&lt;=Y$3+6),$A21,"")))</f>
        <v/>
      </c>
      <c r="Z21" s="47" t="str">
        <f aca="false">IF($A21="","",IF(AND(INDEX(工程マスタ!$I$5:$I$154,$A21)="○",$E21&gt;=Z$3,$E21&lt;=Z$3+6),"▼",IF(AND($E21&gt;=Z$3,$E21&lt;=Z$3+6),$A21,"")))</f>
        <v/>
      </c>
      <c r="AA21" s="47" t="n">
        <f aca="false">IF($A21="","",IF(AND(INDEX(工程マスタ!$I$5:$I$154,$A21)="○",$E21&gt;=AA$3,$E21&lt;=AA$3+6),"▼",IF(AND($E21&gt;=AA$3,$E21&lt;=AA$3+6),$A21,"")))</f>
        <v>15</v>
      </c>
      <c r="AB21" s="47" t="str">
        <f aca="false">IF($A21="","",IF(AND(INDEX(工程マスタ!$I$5:$I$154,$A21)="○",$E21&gt;=AB$3,$E21&lt;=AB$3+6),"▼",IF(AND($E21&gt;=AB$3,$E21&lt;=AB$3+6),$A21,"")))</f>
        <v/>
      </c>
      <c r="AC21" s="47" t="str">
        <f aca="false">IF($A21="","",IF(AND(INDEX(工程マスタ!$I$5:$I$154,$A21)="○",$E21&gt;=AC$3,$E21&lt;=AC$3+6),"▼",IF(AND($E21&gt;=AC$3,$E21&lt;=AC$3+6),$A21,"")))</f>
        <v/>
      </c>
      <c r="AD21" s="47" t="str">
        <f aca="false">IF($A21="","",IF(AND(INDEX(工程マスタ!$I$5:$I$154,$A21)="○",$E21&gt;=AD$3,$E21&lt;=AD$3+6),"▼",IF(AND($E21&gt;=AD$3,$E21&lt;=AD$3+6),$A21,"")))</f>
        <v/>
      </c>
      <c r="AE21" s="47" t="str">
        <f aca="false">IF($A21="","",IF(AND(INDEX(工程マスタ!$I$5:$I$154,$A21)="○",$E21&gt;=AE$3,$E21&lt;=AE$3+6),"▼",IF(AND($E21&gt;=AE$3,$E21&lt;=AE$3+6),$A21,"")))</f>
        <v/>
      </c>
      <c r="AF21" s="47" t="str">
        <f aca="false">IF($A21="","",IF(AND(INDEX(工程マスタ!$I$5:$I$154,$A21)="○",$E21&gt;=AF$3,$E21&lt;=AF$3+6),"▼",IF(AND($E21&gt;=AF$3,$E21&lt;=AF$3+6),$A21,"")))</f>
        <v/>
      </c>
      <c r="AG21" s="47" t="str">
        <f aca="false">IF($A21="","",IF(AND(INDEX(工程マスタ!$I$5:$I$154,$A21)="○",$E21&gt;=AG$3,$E21&lt;=AG$3+6),"▼",IF(AND($E21&gt;=AG$3,$E21&lt;=AG$3+6),$A21,"")))</f>
        <v/>
      </c>
      <c r="AH21" s="47" t="str">
        <f aca="false">IF($A21="","",IF(AND(INDEX(工程マスタ!$I$5:$I$154,$A21)="○",$E21&gt;=AH$3,$E21&lt;=AH$3+6),"▼",IF(AND($E21&gt;=AH$3,$E21&lt;=AH$3+6),$A21,"")))</f>
        <v/>
      </c>
      <c r="AI21" s="47" t="str">
        <f aca="false">IF($A21="","",IF(AND(INDEX(工程マスタ!$I$5:$I$154,$A21)="○",$E21&gt;=AI$3,$E21&lt;=AI$3+6),"▼",IF(AND($E21&gt;=AI$3,$E21&lt;=AI$3+6),$A21,"")))</f>
        <v/>
      </c>
      <c r="AJ21" s="47" t="str">
        <f aca="false">IF($A21="","",IF(AND(INDEX(工程マスタ!$I$5:$I$154,$A21)="○",$E21&gt;=AJ$3,$E21&lt;=AJ$3+6),"▼",IF(AND($E21&gt;=AJ$3,$E21&lt;=AJ$3+6),$A21,"")))</f>
        <v/>
      </c>
      <c r="AK21" s="47" t="str">
        <f aca="false">IF($A21="","",IF(AND(INDEX(工程マスタ!$I$5:$I$154,$A21)="○",$E21&gt;=AK$3,$E21&lt;=AK$3+6),"▼",IF(AND($E21&gt;=AK$3,$E21&lt;=AK$3+6),$A21,"")))</f>
        <v/>
      </c>
      <c r="AL21" s="47" t="str">
        <f aca="false">IF($A21="","",IF(AND(INDEX(工程マスタ!$I$5:$I$154,$A21)="○",$E21&gt;=AL$3,$E21&lt;=AL$3+6),"▼",IF(AND($E21&gt;=AL$3,$E21&lt;=AL$3+6),$A21,"")))</f>
        <v/>
      </c>
      <c r="AM21" s="47" t="str">
        <f aca="false">IF($A21="","",IF(AND(INDEX(工程マスタ!$I$5:$I$154,$A21)="○",$E21&gt;=AM$3,$E21&lt;=AM$3+6),"▼",IF(AND($E21&gt;=AM$3,$E21&lt;=AM$3+6),$A21,"")))</f>
        <v/>
      </c>
      <c r="AN21" s="47" t="str">
        <f aca="false">IF($A21="","",IF(AND(INDEX(工程マスタ!$I$5:$I$154,$A21)="○",$E21&gt;=AN$3,$E21&lt;=AN$3+6),"▼",IF(AND($E21&gt;=AN$3,$E21&lt;=AN$3+6),$A21,"")))</f>
        <v/>
      </c>
      <c r="AO21" s="47" t="str">
        <f aca="false">IF($A21="","",IF(AND(INDEX(工程マスタ!$I$5:$I$154,$A21)="○",$E21&gt;=AO$3,$E21&lt;=AO$3+6),"▼",IF(AND($E21&gt;=AO$3,$E21&lt;=AO$3+6),$A21,"")))</f>
        <v/>
      </c>
      <c r="AP21" s="47" t="str">
        <f aca="false">IF($A21="","",IF(AND(INDEX(工程マスタ!$I$5:$I$154,$A21)="○",$E21&gt;=AP$3,$E21&lt;=AP$3+6),"▼",IF(AND($E21&gt;=AP$3,$E21&lt;=AP$3+6),$A21,"")))</f>
        <v/>
      </c>
      <c r="AQ21" s="47" t="str">
        <f aca="false">IF($A21="","",IF(AND(INDEX(工程マスタ!$I$5:$I$154,$A21)="○",$E21&gt;=AQ$3,$E21&lt;=AQ$3+6),"▼",IF(AND($E21&gt;=AQ$3,$E21&lt;=AQ$3+6),$A21,"")))</f>
        <v/>
      </c>
      <c r="AR21" s="47" t="str">
        <f aca="false">IF($A21="","",IF(AND(INDEX(工程マスタ!$I$5:$I$154,$A21)="○",$E21&gt;=AR$3,$E21&lt;=AR$3+6),"▼",IF(AND($E21&gt;=AR$3,$E21&lt;=AR$3+6),$A21,"")))</f>
        <v/>
      </c>
      <c r="AS21" s="47" t="str">
        <f aca="false">IF($A21="","",IF(AND(INDEX(工程マスタ!$I$5:$I$154,$A21)="○",$E21&gt;=AS$3,$E21&lt;=AS$3+6),"▼",IF(AND($E21&gt;=AS$3,$E21&lt;=AS$3+6),$A21,"")))</f>
        <v/>
      </c>
      <c r="AT21" s="47" t="str">
        <f aca="false">IF($A21="","",IF(AND(INDEX(工程マスタ!$I$5:$I$154,$A21)="○",$E21&gt;=AT$3,$E21&lt;=AT$3+6),"▼",IF(AND($E21&gt;=AT$3,$E21&lt;=AT$3+6),$A21,"")))</f>
        <v/>
      </c>
      <c r="AU21" s="47" t="str">
        <f aca="false">IF($A21="","",IF(AND(INDEX(工程マスタ!$I$5:$I$154,$A21)="○",$E21&gt;=AU$3,$E21&lt;=AU$3+6),"▼",IF(AND($E21&gt;=AU$3,$E21&lt;=AU$3+6),$A21,"")))</f>
        <v/>
      </c>
      <c r="AV21" s="47" t="str">
        <f aca="false">IF($A21="","",IF(AND(INDEX(工程マスタ!$I$5:$I$154,$A21)="○",$E21&gt;=AV$3,$E21&lt;=AV$3+6),"▼",IF(AND($E21&gt;=AV$3,$E21&lt;=AV$3+6),$A21,"")))</f>
        <v/>
      </c>
      <c r="AW21" s="47" t="str">
        <f aca="false">IF($A21="","",IF(AND(INDEX(工程マスタ!$I$5:$I$154,$A21)="○",$E21&gt;=AW$3,$E21&lt;=AW$3+6),"▼",IF(AND($E21&gt;=AW$3,$E21&lt;=AW$3+6),$A21,"")))</f>
        <v/>
      </c>
      <c r="AX21" s="47" t="str">
        <f aca="false">IF($A21="","",IF(AND(INDEX(工程マスタ!$I$5:$I$154,$A21)="○",$E21&gt;=AX$3,$E21&lt;=AX$3+6),"▼",IF(AND($E21&gt;=AX$3,$E21&lt;=AX$3+6),$A21,"")))</f>
        <v/>
      </c>
      <c r="AY21" s="47" t="str">
        <f aca="false">IF($A21="","",IF(AND(INDEX(工程マスタ!$I$5:$I$154,$A21)="○",$E21&gt;=AY$3,$E21&lt;=AY$3+6),"▼",IF(AND($E21&gt;=AY$3,$E21&lt;=AY$3+6),$A21,"")))</f>
        <v/>
      </c>
      <c r="AZ21" s="47" t="str">
        <f aca="false">IF($A21="","",IF(AND(INDEX(工程マスタ!$I$5:$I$154,$A21)="○",$E21&gt;=AZ$3,$E21&lt;=AZ$3+6),"▼",IF(AND($E21&gt;=AZ$3,$E21&lt;=AZ$3+6),$A21,"")))</f>
        <v/>
      </c>
      <c r="BA21" s="47" t="str">
        <f aca="false">IF($A21="","",IF(AND(INDEX(工程マスタ!$I$5:$I$154,$A21)="○",$E21&gt;=BA$3,$E21&lt;=BA$3+6),"▼",IF(AND($E21&gt;=BA$3,$E21&lt;=BA$3+6),$A21,"")))</f>
        <v/>
      </c>
      <c r="BB21" s="47" t="str">
        <f aca="false">IF($A21="","",IF(AND(INDEX(工程マスタ!$I$5:$I$154,$A21)="○",$E21&gt;=BB$3,$E21&lt;=BB$3+6),"▼",IF(AND($E21&gt;=BB$3,$E21&lt;=BB$3+6),$A21,"")))</f>
        <v/>
      </c>
      <c r="BC21" s="47" t="str">
        <f aca="false">IF($A21="","",IF(AND(INDEX(工程マスタ!$I$5:$I$154,$A21)="○",$E21&gt;=BC$3,$E21&lt;=BC$3+6),"▼",IF(AND($E21&gt;=BC$3,$E21&lt;=BC$3+6),$A21,"")))</f>
        <v/>
      </c>
      <c r="BD21" s="47" t="str">
        <f aca="false">IF($A21="","",IF(AND(INDEX(工程マスタ!$I$5:$I$154,$A21)="○",$E21&gt;=BD$3,$E21&lt;=BD$3+6),"▼",IF(AND($E21&gt;=BD$3,$E21&lt;=BD$3+6),$A21,"")))</f>
        <v/>
      </c>
      <c r="BE21" s="47" t="str">
        <f aca="false">IF($A21="","",IF(AND(INDEX(工程マスタ!$I$5:$I$154,$A21)="○",$E21&gt;=BE$3,$E21&lt;=BE$3+6),"▼",IF(AND($E21&gt;=BE$3,$E21&lt;=BE$3+6),$A21,"")))</f>
        <v/>
      </c>
      <c r="BF21" s="47" t="str">
        <f aca="false">IF($A21="","",IF(AND(INDEX(工程マスタ!$I$5:$I$154,$A21)="○",$E21&gt;=BF$3,$E21&lt;=BF$3+6),"▼",IF(AND($E21&gt;=BF$3,$E21&lt;=BF$3+6),$A21,"")))</f>
        <v/>
      </c>
      <c r="BG21" s="47" t="str">
        <f aca="false">IF($A21="","",IF(AND(INDEX(工程マスタ!$I$5:$I$154,$A21)="○",$E21&gt;=BG$3,$E21&lt;=BG$3+6),"▼",IF(AND($E21&gt;=BG$3,$E21&lt;=BG$3+6),$A21,"")))</f>
        <v/>
      </c>
      <c r="BH21" s="47" t="str">
        <f aca="false">IF($A21="","",IF(AND(INDEX(工程マスタ!$I$5:$I$154,$A21)="○",$E21&gt;=BH$3,$E21&lt;=BH$3+6),"▼",IF(AND($E21&gt;=BH$3,$E21&lt;=BH$3+6),$A21,"")))</f>
        <v/>
      </c>
      <c r="BI21" s="47" t="str">
        <f aca="false">IF($A21="","",IF(AND(INDEX(工程マスタ!$I$5:$I$154,$A21)="○",$E21&gt;=BI$3,$E21&lt;=BI$3+6),"▼",IF(AND($E21&gt;=BI$3,$E21&lt;=BI$3+6),$A21,"")))</f>
        <v/>
      </c>
      <c r="BJ21" s="47" t="str">
        <f aca="false">IF($A21="","",IF(AND(INDEX(工程マスタ!$I$5:$I$154,$A21)="○",$E21&gt;=BJ$3,$E21&lt;=BJ$3+6),"▼",IF(AND($E21&gt;=BJ$3,$E21&lt;=BJ$3+6),$A21,"")))</f>
        <v/>
      </c>
    </row>
    <row r="22" customFormat="false" ht="15" hidden="false" customHeight="false" outlineLevel="0" collapsed="false">
      <c r="A22" s="28" t="n">
        <f aca="false">IF(工程マスタ!$C20="","",工程マスタ!$A20)</f>
        <v>16</v>
      </c>
      <c r="B22" s="46" t="str">
        <f aca="false">IF($A22="","",工程マスタ!$C20)</f>
        <v>鉄骨建方</v>
      </c>
      <c r="C22" s="28" t="n">
        <f aca="false">IF($A22="","",MAX(1,工程マスタ!$G20))</f>
        <v>26</v>
      </c>
      <c r="D22" s="28" t="str">
        <f aca="false">IF($A22="","",_xlfn.TEXTJOIN(",",TRUE(),工程マスタ!$N20:$P20))</f>
        <v>14,15</v>
      </c>
      <c r="E22" s="29" t="n">
        <f aca="false">IF($A22="","",IF(COUNT(工程マスタ!$N20:$P20)=0,設定!$B$8,MAX(IF(工程マスタ!$N20="",0,INDEX($F$7:$F$156,工程マスタ!$N20)),IF(工程マスタ!$O20="",0,INDEX($F$7:$F$156,工程マスタ!$O20)),IF(工程マスタ!$P20="",0,INDEX($F$7:$F$156,工程マスタ!$P20)))+1))</f>
        <v>46335</v>
      </c>
      <c r="F22" s="29" t="n">
        <f aca="false">IF($A22="","",$E22+$C22-1)</f>
        <v>46360</v>
      </c>
      <c r="G22" s="29" t="n">
        <f aca="false">IF($A22="","",$H22-$C22+1)</f>
        <v>46335</v>
      </c>
      <c r="H22" s="29" t="n">
        <f aca="false" t="array" ref="H22:H22">IF($A22="","",IF(SUMPRODUCT((工程マスタ!$N$21:$N$154=$A22)*1)+SUMPRODUCT((工程マスタ!$O$21:$O$154=$A22)*1)+SUMPRODUCT((工程マスタ!$P$21:$P$154=$A22)*1)=0,MAX($F$7:$F$156),MIN(IF((工程マスタ!$N$21:$N$154=$A22)+(工程マスタ!$O$21:$O$154=$A22)+(工程マスタ!$P$21:$P$154=$A22),$G23:$G$156))-1))</f>
        <v>46360</v>
      </c>
      <c r="I22" s="28" t="n">
        <f aca="false">IF($A22="","",$G22-$E22)</f>
        <v>0</v>
      </c>
      <c r="J22" s="28" t="str">
        <f aca="false">IF($A22="","",IF($I22&lt;=0,"●",""))</f>
        <v>●</v>
      </c>
      <c r="K22" s="47" t="str">
        <f aca="false">IF($A22="","",IF(AND(INDEX(工程マスタ!$I$5:$I$154,$A22)="○",$E22&gt;=K$3,$E22&lt;=K$3+6),"▼",IF(AND($E22&gt;=K$3,$E22&lt;=K$3+6),$A22,"")))</f>
        <v/>
      </c>
      <c r="L22" s="47" t="str">
        <f aca="false">IF($A22="","",IF(AND(INDEX(工程マスタ!$I$5:$I$154,$A22)="○",$E22&gt;=L$3,$E22&lt;=L$3+6),"▼",IF(AND($E22&gt;=L$3,$E22&lt;=L$3+6),$A22,"")))</f>
        <v/>
      </c>
      <c r="M22" s="47" t="str">
        <f aca="false">IF($A22="","",IF(AND(INDEX(工程マスタ!$I$5:$I$154,$A22)="○",$E22&gt;=M$3,$E22&lt;=M$3+6),"▼",IF(AND($E22&gt;=M$3,$E22&lt;=M$3+6),$A22,"")))</f>
        <v/>
      </c>
      <c r="N22" s="47" t="str">
        <f aca="false">IF($A22="","",IF(AND(INDEX(工程マスタ!$I$5:$I$154,$A22)="○",$E22&gt;=N$3,$E22&lt;=N$3+6),"▼",IF(AND($E22&gt;=N$3,$E22&lt;=N$3+6),$A22,"")))</f>
        <v/>
      </c>
      <c r="O22" s="47" t="str">
        <f aca="false">IF($A22="","",IF(AND(INDEX(工程マスタ!$I$5:$I$154,$A22)="○",$E22&gt;=O$3,$E22&lt;=O$3+6),"▼",IF(AND($E22&gt;=O$3,$E22&lt;=O$3+6),$A22,"")))</f>
        <v/>
      </c>
      <c r="P22" s="47" t="str">
        <f aca="false">IF($A22="","",IF(AND(INDEX(工程マスタ!$I$5:$I$154,$A22)="○",$E22&gt;=P$3,$E22&lt;=P$3+6),"▼",IF(AND($E22&gt;=P$3,$E22&lt;=P$3+6),$A22,"")))</f>
        <v/>
      </c>
      <c r="Q22" s="47" t="str">
        <f aca="false">IF($A22="","",IF(AND(INDEX(工程マスタ!$I$5:$I$154,$A22)="○",$E22&gt;=Q$3,$E22&lt;=Q$3+6),"▼",IF(AND($E22&gt;=Q$3,$E22&lt;=Q$3+6),$A22,"")))</f>
        <v/>
      </c>
      <c r="R22" s="47" t="str">
        <f aca="false">IF($A22="","",IF(AND(INDEX(工程マスタ!$I$5:$I$154,$A22)="○",$E22&gt;=R$3,$E22&lt;=R$3+6),"▼",IF(AND($E22&gt;=R$3,$E22&lt;=R$3+6),$A22,"")))</f>
        <v/>
      </c>
      <c r="S22" s="47" t="str">
        <f aca="false">IF($A22="","",IF(AND(INDEX(工程マスタ!$I$5:$I$154,$A22)="○",$E22&gt;=S$3,$E22&lt;=S$3+6),"▼",IF(AND($E22&gt;=S$3,$E22&lt;=S$3+6),$A22,"")))</f>
        <v/>
      </c>
      <c r="T22" s="47" t="str">
        <f aca="false">IF($A22="","",IF(AND(INDEX(工程マスタ!$I$5:$I$154,$A22)="○",$E22&gt;=T$3,$E22&lt;=T$3+6),"▼",IF(AND($E22&gt;=T$3,$E22&lt;=T$3+6),$A22,"")))</f>
        <v/>
      </c>
      <c r="U22" s="47" t="str">
        <f aca="false">IF($A22="","",IF(AND(INDEX(工程マスタ!$I$5:$I$154,$A22)="○",$E22&gt;=U$3,$E22&lt;=U$3+6),"▼",IF(AND($E22&gt;=U$3,$E22&lt;=U$3+6),$A22,"")))</f>
        <v/>
      </c>
      <c r="V22" s="47" t="str">
        <f aca="false">IF($A22="","",IF(AND(INDEX(工程マスタ!$I$5:$I$154,$A22)="○",$E22&gt;=V$3,$E22&lt;=V$3+6),"▼",IF(AND($E22&gt;=V$3,$E22&lt;=V$3+6),$A22,"")))</f>
        <v/>
      </c>
      <c r="W22" s="47" t="str">
        <f aca="false">IF($A22="","",IF(AND(INDEX(工程マスタ!$I$5:$I$154,$A22)="○",$E22&gt;=W$3,$E22&lt;=W$3+6),"▼",IF(AND($E22&gt;=W$3,$E22&lt;=W$3+6),$A22,"")))</f>
        <v/>
      </c>
      <c r="X22" s="47" t="str">
        <f aca="false">IF($A22="","",IF(AND(INDEX(工程マスタ!$I$5:$I$154,$A22)="○",$E22&gt;=X$3,$E22&lt;=X$3+6),"▼",IF(AND($E22&gt;=X$3,$E22&lt;=X$3+6),$A22,"")))</f>
        <v/>
      </c>
      <c r="Y22" s="47" t="str">
        <f aca="false">IF($A22="","",IF(AND(INDEX(工程マスタ!$I$5:$I$154,$A22)="○",$E22&gt;=Y$3,$E22&lt;=Y$3+6),"▼",IF(AND($E22&gt;=Y$3,$E22&lt;=Y$3+6),$A22,"")))</f>
        <v/>
      </c>
      <c r="Z22" s="47" t="str">
        <f aca="false">IF($A22="","",IF(AND(INDEX(工程マスタ!$I$5:$I$154,$A22)="○",$E22&gt;=Z$3,$E22&lt;=Z$3+6),"▼",IF(AND($E22&gt;=Z$3,$E22&lt;=Z$3+6),$A22,"")))</f>
        <v/>
      </c>
      <c r="AA22" s="47" t="str">
        <f aca="false">IF($A22="","",IF(AND(INDEX(工程マスタ!$I$5:$I$154,$A22)="○",$E22&gt;=AA$3,$E22&lt;=AA$3+6),"▼",IF(AND($E22&gt;=AA$3,$E22&lt;=AA$3+6),$A22,"")))</f>
        <v/>
      </c>
      <c r="AB22" s="47" t="str">
        <f aca="false">IF($A22="","",IF(AND(INDEX(工程マスタ!$I$5:$I$154,$A22)="○",$E22&gt;=AB$3,$E22&lt;=AB$3+6),"▼",IF(AND($E22&gt;=AB$3,$E22&lt;=AB$3+6),$A22,"")))</f>
        <v/>
      </c>
      <c r="AC22" s="47" t="n">
        <f aca="false">IF($A22="","",IF(AND(INDEX(工程マスタ!$I$5:$I$154,$A22)="○",$E22&gt;=AC$3,$E22&lt;=AC$3+6),"▼",IF(AND($E22&gt;=AC$3,$E22&lt;=AC$3+6),$A22,"")))</f>
        <v>16</v>
      </c>
      <c r="AD22" s="47" t="str">
        <f aca="false">IF($A22="","",IF(AND(INDEX(工程マスタ!$I$5:$I$154,$A22)="○",$E22&gt;=AD$3,$E22&lt;=AD$3+6),"▼",IF(AND($E22&gt;=AD$3,$E22&lt;=AD$3+6),$A22,"")))</f>
        <v/>
      </c>
      <c r="AE22" s="47" t="str">
        <f aca="false">IF($A22="","",IF(AND(INDEX(工程マスタ!$I$5:$I$154,$A22)="○",$E22&gt;=AE$3,$E22&lt;=AE$3+6),"▼",IF(AND($E22&gt;=AE$3,$E22&lt;=AE$3+6),$A22,"")))</f>
        <v/>
      </c>
      <c r="AF22" s="47" t="str">
        <f aca="false">IF($A22="","",IF(AND(INDEX(工程マスタ!$I$5:$I$154,$A22)="○",$E22&gt;=AF$3,$E22&lt;=AF$3+6),"▼",IF(AND($E22&gt;=AF$3,$E22&lt;=AF$3+6),$A22,"")))</f>
        <v/>
      </c>
      <c r="AG22" s="47" t="str">
        <f aca="false">IF($A22="","",IF(AND(INDEX(工程マスタ!$I$5:$I$154,$A22)="○",$E22&gt;=AG$3,$E22&lt;=AG$3+6),"▼",IF(AND($E22&gt;=AG$3,$E22&lt;=AG$3+6),$A22,"")))</f>
        <v/>
      </c>
      <c r="AH22" s="47" t="str">
        <f aca="false">IF($A22="","",IF(AND(INDEX(工程マスタ!$I$5:$I$154,$A22)="○",$E22&gt;=AH$3,$E22&lt;=AH$3+6),"▼",IF(AND($E22&gt;=AH$3,$E22&lt;=AH$3+6),$A22,"")))</f>
        <v/>
      </c>
      <c r="AI22" s="47" t="str">
        <f aca="false">IF($A22="","",IF(AND(INDEX(工程マスタ!$I$5:$I$154,$A22)="○",$E22&gt;=AI$3,$E22&lt;=AI$3+6),"▼",IF(AND($E22&gt;=AI$3,$E22&lt;=AI$3+6),$A22,"")))</f>
        <v/>
      </c>
      <c r="AJ22" s="47" t="str">
        <f aca="false">IF($A22="","",IF(AND(INDEX(工程マスタ!$I$5:$I$154,$A22)="○",$E22&gt;=AJ$3,$E22&lt;=AJ$3+6),"▼",IF(AND($E22&gt;=AJ$3,$E22&lt;=AJ$3+6),$A22,"")))</f>
        <v/>
      </c>
      <c r="AK22" s="47" t="str">
        <f aca="false">IF($A22="","",IF(AND(INDEX(工程マスタ!$I$5:$I$154,$A22)="○",$E22&gt;=AK$3,$E22&lt;=AK$3+6),"▼",IF(AND($E22&gt;=AK$3,$E22&lt;=AK$3+6),$A22,"")))</f>
        <v/>
      </c>
      <c r="AL22" s="47" t="str">
        <f aca="false">IF($A22="","",IF(AND(INDEX(工程マスタ!$I$5:$I$154,$A22)="○",$E22&gt;=AL$3,$E22&lt;=AL$3+6),"▼",IF(AND($E22&gt;=AL$3,$E22&lt;=AL$3+6),$A22,"")))</f>
        <v/>
      </c>
      <c r="AM22" s="47" t="str">
        <f aca="false">IF($A22="","",IF(AND(INDEX(工程マスタ!$I$5:$I$154,$A22)="○",$E22&gt;=AM$3,$E22&lt;=AM$3+6),"▼",IF(AND($E22&gt;=AM$3,$E22&lt;=AM$3+6),$A22,"")))</f>
        <v/>
      </c>
      <c r="AN22" s="47" t="str">
        <f aca="false">IF($A22="","",IF(AND(INDEX(工程マスタ!$I$5:$I$154,$A22)="○",$E22&gt;=AN$3,$E22&lt;=AN$3+6),"▼",IF(AND($E22&gt;=AN$3,$E22&lt;=AN$3+6),$A22,"")))</f>
        <v/>
      </c>
      <c r="AO22" s="47" t="str">
        <f aca="false">IF($A22="","",IF(AND(INDEX(工程マスタ!$I$5:$I$154,$A22)="○",$E22&gt;=AO$3,$E22&lt;=AO$3+6),"▼",IF(AND($E22&gt;=AO$3,$E22&lt;=AO$3+6),$A22,"")))</f>
        <v/>
      </c>
      <c r="AP22" s="47" t="str">
        <f aca="false">IF($A22="","",IF(AND(INDEX(工程マスタ!$I$5:$I$154,$A22)="○",$E22&gt;=AP$3,$E22&lt;=AP$3+6),"▼",IF(AND($E22&gt;=AP$3,$E22&lt;=AP$3+6),$A22,"")))</f>
        <v/>
      </c>
      <c r="AQ22" s="47" t="str">
        <f aca="false">IF($A22="","",IF(AND(INDEX(工程マスタ!$I$5:$I$154,$A22)="○",$E22&gt;=AQ$3,$E22&lt;=AQ$3+6),"▼",IF(AND($E22&gt;=AQ$3,$E22&lt;=AQ$3+6),$A22,"")))</f>
        <v/>
      </c>
      <c r="AR22" s="47" t="str">
        <f aca="false">IF($A22="","",IF(AND(INDEX(工程マスタ!$I$5:$I$154,$A22)="○",$E22&gt;=AR$3,$E22&lt;=AR$3+6),"▼",IF(AND($E22&gt;=AR$3,$E22&lt;=AR$3+6),$A22,"")))</f>
        <v/>
      </c>
      <c r="AS22" s="47" t="str">
        <f aca="false">IF($A22="","",IF(AND(INDEX(工程マスタ!$I$5:$I$154,$A22)="○",$E22&gt;=AS$3,$E22&lt;=AS$3+6),"▼",IF(AND($E22&gt;=AS$3,$E22&lt;=AS$3+6),$A22,"")))</f>
        <v/>
      </c>
      <c r="AT22" s="47" t="str">
        <f aca="false">IF($A22="","",IF(AND(INDEX(工程マスタ!$I$5:$I$154,$A22)="○",$E22&gt;=AT$3,$E22&lt;=AT$3+6),"▼",IF(AND($E22&gt;=AT$3,$E22&lt;=AT$3+6),$A22,"")))</f>
        <v/>
      </c>
      <c r="AU22" s="47" t="str">
        <f aca="false">IF($A22="","",IF(AND(INDEX(工程マスタ!$I$5:$I$154,$A22)="○",$E22&gt;=AU$3,$E22&lt;=AU$3+6),"▼",IF(AND($E22&gt;=AU$3,$E22&lt;=AU$3+6),$A22,"")))</f>
        <v/>
      </c>
      <c r="AV22" s="47" t="str">
        <f aca="false">IF($A22="","",IF(AND(INDEX(工程マスタ!$I$5:$I$154,$A22)="○",$E22&gt;=AV$3,$E22&lt;=AV$3+6),"▼",IF(AND($E22&gt;=AV$3,$E22&lt;=AV$3+6),$A22,"")))</f>
        <v/>
      </c>
      <c r="AW22" s="47" t="str">
        <f aca="false">IF($A22="","",IF(AND(INDEX(工程マスタ!$I$5:$I$154,$A22)="○",$E22&gt;=AW$3,$E22&lt;=AW$3+6),"▼",IF(AND($E22&gt;=AW$3,$E22&lt;=AW$3+6),$A22,"")))</f>
        <v/>
      </c>
      <c r="AX22" s="47" t="str">
        <f aca="false">IF($A22="","",IF(AND(INDEX(工程マスタ!$I$5:$I$154,$A22)="○",$E22&gt;=AX$3,$E22&lt;=AX$3+6),"▼",IF(AND($E22&gt;=AX$3,$E22&lt;=AX$3+6),$A22,"")))</f>
        <v/>
      </c>
      <c r="AY22" s="47" t="str">
        <f aca="false">IF($A22="","",IF(AND(INDEX(工程マスタ!$I$5:$I$154,$A22)="○",$E22&gt;=AY$3,$E22&lt;=AY$3+6),"▼",IF(AND($E22&gt;=AY$3,$E22&lt;=AY$3+6),$A22,"")))</f>
        <v/>
      </c>
      <c r="AZ22" s="47" t="str">
        <f aca="false">IF($A22="","",IF(AND(INDEX(工程マスタ!$I$5:$I$154,$A22)="○",$E22&gt;=AZ$3,$E22&lt;=AZ$3+6),"▼",IF(AND($E22&gt;=AZ$3,$E22&lt;=AZ$3+6),$A22,"")))</f>
        <v/>
      </c>
      <c r="BA22" s="47" t="str">
        <f aca="false">IF($A22="","",IF(AND(INDEX(工程マスタ!$I$5:$I$154,$A22)="○",$E22&gt;=BA$3,$E22&lt;=BA$3+6),"▼",IF(AND($E22&gt;=BA$3,$E22&lt;=BA$3+6),$A22,"")))</f>
        <v/>
      </c>
      <c r="BB22" s="47" t="str">
        <f aca="false">IF($A22="","",IF(AND(INDEX(工程マスタ!$I$5:$I$154,$A22)="○",$E22&gt;=BB$3,$E22&lt;=BB$3+6),"▼",IF(AND($E22&gt;=BB$3,$E22&lt;=BB$3+6),$A22,"")))</f>
        <v/>
      </c>
      <c r="BC22" s="47" t="str">
        <f aca="false">IF($A22="","",IF(AND(INDEX(工程マスタ!$I$5:$I$154,$A22)="○",$E22&gt;=BC$3,$E22&lt;=BC$3+6),"▼",IF(AND($E22&gt;=BC$3,$E22&lt;=BC$3+6),$A22,"")))</f>
        <v/>
      </c>
      <c r="BD22" s="47" t="str">
        <f aca="false">IF($A22="","",IF(AND(INDEX(工程マスタ!$I$5:$I$154,$A22)="○",$E22&gt;=BD$3,$E22&lt;=BD$3+6),"▼",IF(AND($E22&gt;=BD$3,$E22&lt;=BD$3+6),$A22,"")))</f>
        <v/>
      </c>
      <c r="BE22" s="47" t="str">
        <f aca="false">IF($A22="","",IF(AND(INDEX(工程マスタ!$I$5:$I$154,$A22)="○",$E22&gt;=BE$3,$E22&lt;=BE$3+6),"▼",IF(AND($E22&gt;=BE$3,$E22&lt;=BE$3+6),$A22,"")))</f>
        <v/>
      </c>
      <c r="BF22" s="47" t="str">
        <f aca="false">IF($A22="","",IF(AND(INDEX(工程マスタ!$I$5:$I$154,$A22)="○",$E22&gt;=BF$3,$E22&lt;=BF$3+6),"▼",IF(AND($E22&gt;=BF$3,$E22&lt;=BF$3+6),$A22,"")))</f>
        <v/>
      </c>
      <c r="BG22" s="47" t="str">
        <f aca="false">IF($A22="","",IF(AND(INDEX(工程マスタ!$I$5:$I$154,$A22)="○",$E22&gt;=BG$3,$E22&lt;=BG$3+6),"▼",IF(AND($E22&gt;=BG$3,$E22&lt;=BG$3+6),$A22,"")))</f>
        <v/>
      </c>
      <c r="BH22" s="47" t="str">
        <f aca="false">IF($A22="","",IF(AND(INDEX(工程マスタ!$I$5:$I$154,$A22)="○",$E22&gt;=BH$3,$E22&lt;=BH$3+6),"▼",IF(AND($E22&gt;=BH$3,$E22&lt;=BH$3+6),$A22,"")))</f>
        <v/>
      </c>
      <c r="BI22" s="47" t="str">
        <f aca="false">IF($A22="","",IF(AND(INDEX(工程マスタ!$I$5:$I$154,$A22)="○",$E22&gt;=BI$3,$E22&lt;=BI$3+6),"▼",IF(AND($E22&gt;=BI$3,$E22&lt;=BI$3+6),$A22,"")))</f>
        <v/>
      </c>
      <c r="BJ22" s="47" t="str">
        <f aca="false">IF($A22="","",IF(AND(INDEX(工程マスタ!$I$5:$I$154,$A22)="○",$E22&gt;=BJ$3,$E22&lt;=BJ$3+6),"▼",IF(AND($E22&gt;=BJ$3,$E22&lt;=BJ$3+6),$A22,"")))</f>
        <v/>
      </c>
    </row>
    <row r="23" customFormat="false" ht="15" hidden="false" customHeight="false" outlineLevel="0" collapsed="false">
      <c r="A23" s="28" t="n">
        <f aca="false">IF(工程マスタ!$C21="","",工程マスタ!$A21)</f>
        <v>17</v>
      </c>
      <c r="B23" s="46" t="str">
        <f aca="false">IF($A23="","",工程マスタ!$C21)</f>
        <v>上棟</v>
      </c>
      <c r="C23" s="28" t="n">
        <f aca="false">IF($A23="","",MAX(1,工程マスタ!$G21))</f>
        <v>1</v>
      </c>
      <c r="D23" s="28" t="str">
        <f aca="false">IF($A23="","",_xlfn.TEXTJOIN(",",TRUE(),工程マスタ!$N21:$P21))</f>
        <v>16</v>
      </c>
      <c r="E23" s="29" t="n">
        <f aca="false">IF($A23="","",IF(COUNT(工程マスタ!$N21:$P21)=0,設定!$B$8,MAX(IF(工程マスタ!$N21="",0,INDEX($F$7:$F$156,工程マスタ!$N21)),IF(工程マスタ!$O21="",0,INDEX($F$7:$F$156,工程マスタ!$O21)),IF(工程マスタ!$P21="",0,INDEX($F$7:$F$156,工程マスタ!$P21)))+1))</f>
        <v>46361</v>
      </c>
      <c r="F23" s="29" t="n">
        <f aca="false">IF($A23="","",$E23+$C23-1)</f>
        <v>46361</v>
      </c>
      <c r="G23" s="29" t="n">
        <f aca="false">IF($A23="","",$H23-$C23+1)</f>
        <v>46361</v>
      </c>
      <c r="H23" s="29" t="n">
        <f aca="false" t="array" ref="H23:H23">IF($A23="","",IF(SUMPRODUCT((工程マスタ!$N$22:$N$154=$A23)*1)+SUMPRODUCT((工程マスタ!$O$22:$O$154=$A23)*1)+SUMPRODUCT((工程マスタ!$P$22:$P$154=$A23)*1)=0,MAX($F$7:$F$156),MIN(IF((工程マスタ!$N$22:$N$154=$A23)+(工程マスタ!$O$22:$O$154=$A23)+(工程マスタ!$P$22:$P$154=$A23),$G24:$G$156))-1))</f>
        <v>46361</v>
      </c>
      <c r="I23" s="28" t="n">
        <f aca="false">IF($A23="","",$G23-$E23)</f>
        <v>0</v>
      </c>
      <c r="J23" s="28" t="str">
        <f aca="false">IF($A23="","",IF($I23&lt;=0,"●",""))</f>
        <v>●</v>
      </c>
      <c r="K23" s="47" t="str">
        <f aca="false">IF($A23="","",IF(AND(INDEX(工程マスタ!$I$5:$I$154,$A23)="○",$E23&gt;=K$3,$E23&lt;=K$3+6),"▼",IF(AND($E23&gt;=K$3,$E23&lt;=K$3+6),$A23,"")))</f>
        <v/>
      </c>
      <c r="L23" s="47" t="str">
        <f aca="false">IF($A23="","",IF(AND(INDEX(工程マスタ!$I$5:$I$154,$A23)="○",$E23&gt;=L$3,$E23&lt;=L$3+6),"▼",IF(AND($E23&gt;=L$3,$E23&lt;=L$3+6),$A23,"")))</f>
        <v/>
      </c>
      <c r="M23" s="47" t="str">
        <f aca="false">IF($A23="","",IF(AND(INDEX(工程マスタ!$I$5:$I$154,$A23)="○",$E23&gt;=M$3,$E23&lt;=M$3+6),"▼",IF(AND($E23&gt;=M$3,$E23&lt;=M$3+6),$A23,"")))</f>
        <v/>
      </c>
      <c r="N23" s="47" t="str">
        <f aca="false">IF($A23="","",IF(AND(INDEX(工程マスタ!$I$5:$I$154,$A23)="○",$E23&gt;=N$3,$E23&lt;=N$3+6),"▼",IF(AND($E23&gt;=N$3,$E23&lt;=N$3+6),$A23,"")))</f>
        <v/>
      </c>
      <c r="O23" s="47" t="str">
        <f aca="false">IF($A23="","",IF(AND(INDEX(工程マスタ!$I$5:$I$154,$A23)="○",$E23&gt;=O$3,$E23&lt;=O$3+6),"▼",IF(AND($E23&gt;=O$3,$E23&lt;=O$3+6),$A23,"")))</f>
        <v/>
      </c>
      <c r="P23" s="47" t="str">
        <f aca="false">IF($A23="","",IF(AND(INDEX(工程マスタ!$I$5:$I$154,$A23)="○",$E23&gt;=P$3,$E23&lt;=P$3+6),"▼",IF(AND($E23&gt;=P$3,$E23&lt;=P$3+6),$A23,"")))</f>
        <v/>
      </c>
      <c r="Q23" s="47" t="str">
        <f aca="false">IF($A23="","",IF(AND(INDEX(工程マスタ!$I$5:$I$154,$A23)="○",$E23&gt;=Q$3,$E23&lt;=Q$3+6),"▼",IF(AND($E23&gt;=Q$3,$E23&lt;=Q$3+6),$A23,"")))</f>
        <v/>
      </c>
      <c r="R23" s="47" t="str">
        <f aca="false">IF($A23="","",IF(AND(INDEX(工程マスタ!$I$5:$I$154,$A23)="○",$E23&gt;=R$3,$E23&lt;=R$3+6),"▼",IF(AND($E23&gt;=R$3,$E23&lt;=R$3+6),$A23,"")))</f>
        <v/>
      </c>
      <c r="S23" s="47" t="str">
        <f aca="false">IF($A23="","",IF(AND(INDEX(工程マスタ!$I$5:$I$154,$A23)="○",$E23&gt;=S$3,$E23&lt;=S$3+6),"▼",IF(AND($E23&gt;=S$3,$E23&lt;=S$3+6),$A23,"")))</f>
        <v/>
      </c>
      <c r="T23" s="47" t="str">
        <f aca="false">IF($A23="","",IF(AND(INDEX(工程マスタ!$I$5:$I$154,$A23)="○",$E23&gt;=T$3,$E23&lt;=T$3+6),"▼",IF(AND($E23&gt;=T$3,$E23&lt;=T$3+6),$A23,"")))</f>
        <v/>
      </c>
      <c r="U23" s="47" t="str">
        <f aca="false">IF($A23="","",IF(AND(INDEX(工程マスタ!$I$5:$I$154,$A23)="○",$E23&gt;=U$3,$E23&lt;=U$3+6),"▼",IF(AND($E23&gt;=U$3,$E23&lt;=U$3+6),$A23,"")))</f>
        <v/>
      </c>
      <c r="V23" s="47" t="str">
        <f aca="false">IF($A23="","",IF(AND(INDEX(工程マスタ!$I$5:$I$154,$A23)="○",$E23&gt;=V$3,$E23&lt;=V$3+6),"▼",IF(AND($E23&gt;=V$3,$E23&lt;=V$3+6),$A23,"")))</f>
        <v/>
      </c>
      <c r="W23" s="47" t="str">
        <f aca="false">IF($A23="","",IF(AND(INDEX(工程マスタ!$I$5:$I$154,$A23)="○",$E23&gt;=W$3,$E23&lt;=W$3+6),"▼",IF(AND($E23&gt;=W$3,$E23&lt;=W$3+6),$A23,"")))</f>
        <v/>
      </c>
      <c r="X23" s="47" t="str">
        <f aca="false">IF($A23="","",IF(AND(INDEX(工程マスタ!$I$5:$I$154,$A23)="○",$E23&gt;=X$3,$E23&lt;=X$3+6),"▼",IF(AND($E23&gt;=X$3,$E23&lt;=X$3+6),$A23,"")))</f>
        <v/>
      </c>
      <c r="Y23" s="47" t="str">
        <f aca="false">IF($A23="","",IF(AND(INDEX(工程マスタ!$I$5:$I$154,$A23)="○",$E23&gt;=Y$3,$E23&lt;=Y$3+6),"▼",IF(AND($E23&gt;=Y$3,$E23&lt;=Y$3+6),$A23,"")))</f>
        <v/>
      </c>
      <c r="Z23" s="47" t="str">
        <f aca="false">IF($A23="","",IF(AND(INDEX(工程マスタ!$I$5:$I$154,$A23)="○",$E23&gt;=Z$3,$E23&lt;=Z$3+6),"▼",IF(AND($E23&gt;=Z$3,$E23&lt;=Z$3+6),$A23,"")))</f>
        <v/>
      </c>
      <c r="AA23" s="47" t="str">
        <f aca="false">IF($A23="","",IF(AND(INDEX(工程マスタ!$I$5:$I$154,$A23)="○",$E23&gt;=AA$3,$E23&lt;=AA$3+6),"▼",IF(AND($E23&gt;=AA$3,$E23&lt;=AA$3+6),$A23,"")))</f>
        <v/>
      </c>
      <c r="AB23" s="47" t="str">
        <f aca="false">IF($A23="","",IF(AND(INDEX(工程マスタ!$I$5:$I$154,$A23)="○",$E23&gt;=AB$3,$E23&lt;=AB$3+6),"▼",IF(AND($E23&gt;=AB$3,$E23&lt;=AB$3+6),$A23,"")))</f>
        <v/>
      </c>
      <c r="AC23" s="47" t="str">
        <f aca="false">IF($A23="","",IF(AND(INDEX(工程マスタ!$I$5:$I$154,$A23)="○",$E23&gt;=AC$3,$E23&lt;=AC$3+6),"▼",IF(AND($E23&gt;=AC$3,$E23&lt;=AC$3+6),$A23,"")))</f>
        <v/>
      </c>
      <c r="AD23" s="47" t="str">
        <f aca="false">IF($A23="","",IF(AND(INDEX(工程マスタ!$I$5:$I$154,$A23)="○",$E23&gt;=AD$3,$E23&lt;=AD$3+6),"▼",IF(AND($E23&gt;=AD$3,$E23&lt;=AD$3+6),$A23,"")))</f>
        <v/>
      </c>
      <c r="AE23" s="47" t="str">
        <f aca="false">IF($A23="","",IF(AND(INDEX(工程マスタ!$I$5:$I$154,$A23)="○",$E23&gt;=AE$3,$E23&lt;=AE$3+6),"▼",IF(AND($E23&gt;=AE$3,$E23&lt;=AE$3+6),$A23,"")))</f>
        <v/>
      </c>
      <c r="AF23" s="47" t="str">
        <f aca="false">IF($A23="","",IF(AND(INDEX(工程マスタ!$I$5:$I$154,$A23)="○",$E23&gt;=AF$3,$E23&lt;=AF$3+6),"▼",IF(AND($E23&gt;=AF$3,$E23&lt;=AF$3+6),$A23,"")))</f>
        <v/>
      </c>
      <c r="AG23" s="47" t="str">
        <f aca="false">IF($A23="","",IF(AND(INDEX(工程マスタ!$I$5:$I$154,$A23)="○",$E23&gt;=AG$3,$E23&lt;=AG$3+6),"▼",IF(AND($E23&gt;=AG$3,$E23&lt;=AG$3+6),$A23,"")))</f>
        <v>▼</v>
      </c>
      <c r="AH23" s="47" t="str">
        <f aca="false">IF($A23="","",IF(AND(INDEX(工程マスタ!$I$5:$I$154,$A23)="○",$E23&gt;=AH$3,$E23&lt;=AH$3+6),"▼",IF(AND($E23&gt;=AH$3,$E23&lt;=AH$3+6),$A23,"")))</f>
        <v/>
      </c>
      <c r="AI23" s="47" t="str">
        <f aca="false">IF($A23="","",IF(AND(INDEX(工程マスタ!$I$5:$I$154,$A23)="○",$E23&gt;=AI$3,$E23&lt;=AI$3+6),"▼",IF(AND($E23&gt;=AI$3,$E23&lt;=AI$3+6),$A23,"")))</f>
        <v/>
      </c>
      <c r="AJ23" s="47" t="str">
        <f aca="false">IF($A23="","",IF(AND(INDEX(工程マスタ!$I$5:$I$154,$A23)="○",$E23&gt;=AJ$3,$E23&lt;=AJ$3+6),"▼",IF(AND($E23&gt;=AJ$3,$E23&lt;=AJ$3+6),$A23,"")))</f>
        <v/>
      </c>
      <c r="AK23" s="47" t="str">
        <f aca="false">IF($A23="","",IF(AND(INDEX(工程マスタ!$I$5:$I$154,$A23)="○",$E23&gt;=AK$3,$E23&lt;=AK$3+6),"▼",IF(AND($E23&gt;=AK$3,$E23&lt;=AK$3+6),$A23,"")))</f>
        <v/>
      </c>
      <c r="AL23" s="47" t="str">
        <f aca="false">IF($A23="","",IF(AND(INDEX(工程マスタ!$I$5:$I$154,$A23)="○",$E23&gt;=AL$3,$E23&lt;=AL$3+6),"▼",IF(AND($E23&gt;=AL$3,$E23&lt;=AL$3+6),$A23,"")))</f>
        <v/>
      </c>
      <c r="AM23" s="47" t="str">
        <f aca="false">IF($A23="","",IF(AND(INDEX(工程マスタ!$I$5:$I$154,$A23)="○",$E23&gt;=AM$3,$E23&lt;=AM$3+6),"▼",IF(AND($E23&gt;=AM$3,$E23&lt;=AM$3+6),$A23,"")))</f>
        <v/>
      </c>
      <c r="AN23" s="47" t="str">
        <f aca="false">IF($A23="","",IF(AND(INDEX(工程マスタ!$I$5:$I$154,$A23)="○",$E23&gt;=AN$3,$E23&lt;=AN$3+6),"▼",IF(AND($E23&gt;=AN$3,$E23&lt;=AN$3+6),$A23,"")))</f>
        <v/>
      </c>
      <c r="AO23" s="47" t="str">
        <f aca="false">IF($A23="","",IF(AND(INDEX(工程マスタ!$I$5:$I$154,$A23)="○",$E23&gt;=AO$3,$E23&lt;=AO$3+6),"▼",IF(AND($E23&gt;=AO$3,$E23&lt;=AO$3+6),$A23,"")))</f>
        <v/>
      </c>
      <c r="AP23" s="47" t="str">
        <f aca="false">IF($A23="","",IF(AND(INDEX(工程マスタ!$I$5:$I$154,$A23)="○",$E23&gt;=AP$3,$E23&lt;=AP$3+6),"▼",IF(AND($E23&gt;=AP$3,$E23&lt;=AP$3+6),$A23,"")))</f>
        <v/>
      </c>
      <c r="AQ23" s="47" t="str">
        <f aca="false">IF($A23="","",IF(AND(INDEX(工程マスタ!$I$5:$I$154,$A23)="○",$E23&gt;=AQ$3,$E23&lt;=AQ$3+6),"▼",IF(AND($E23&gt;=AQ$3,$E23&lt;=AQ$3+6),$A23,"")))</f>
        <v/>
      </c>
      <c r="AR23" s="47" t="str">
        <f aca="false">IF($A23="","",IF(AND(INDEX(工程マスタ!$I$5:$I$154,$A23)="○",$E23&gt;=AR$3,$E23&lt;=AR$3+6),"▼",IF(AND($E23&gt;=AR$3,$E23&lt;=AR$3+6),$A23,"")))</f>
        <v/>
      </c>
      <c r="AS23" s="47" t="str">
        <f aca="false">IF($A23="","",IF(AND(INDEX(工程マスタ!$I$5:$I$154,$A23)="○",$E23&gt;=AS$3,$E23&lt;=AS$3+6),"▼",IF(AND($E23&gt;=AS$3,$E23&lt;=AS$3+6),$A23,"")))</f>
        <v/>
      </c>
      <c r="AT23" s="47" t="str">
        <f aca="false">IF($A23="","",IF(AND(INDEX(工程マスタ!$I$5:$I$154,$A23)="○",$E23&gt;=AT$3,$E23&lt;=AT$3+6),"▼",IF(AND($E23&gt;=AT$3,$E23&lt;=AT$3+6),$A23,"")))</f>
        <v/>
      </c>
      <c r="AU23" s="47" t="str">
        <f aca="false">IF($A23="","",IF(AND(INDEX(工程マスタ!$I$5:$I$154,$A23)="○",$E23&gt;=AU$3,$E23&lt;=AU$3+6),"▼",IF(AND($E23&gt;=AU$3,$E23&lt;=AU$3+6),$A23,"")))</f>
        <v/>
      </c>
      <c r="AV23" s="47" t="str">
        <f aca="false">IF($A23="","",IF(AND(INDEX(工程マスタ!$I$5:$I$154,$A23)="○",$E23&gt;=AV$3,$E23&lt;=AV$3+6),"▼",IF(AND($E23&gt;=AV$3,$E23&lt;=AV$3+6),$A23,"")))</f>
        <v/>
      </c>
      <c r="AW23" s="47" t="str">
        <f aca="false">IF($A23="","",IF(AND(INDEX(工程マスタ!$I$5:$I$154,$A23)="○",$E23&gt;=AW$3,$E23&lt;=AW$3+6),"▼",IF(AND($E23&gt;=AW$3,$E23&lt;=AW$3+6),$A23,"")))</f>
        <v/>
      </c>
      <c r="AX23" s="47" t="str">
        <f aca="false">IF($A23="","",IF(AND(INDEX(工程マスタ!$I$5:$I$154,$A23)="○",$E23&gt;=AX$3,$E23&lt;=AX$3+6),"▼",IF(AND($E23&gt;=AX$3,$E23&lt;=AX$3+6),$A23,"")))</f>
        <v/>
      </c>
      <c r="AY23" s="47" t="str">
        <f aca="false">IF($A23="","",IF(AND(INDEX(工程マスタ!$I$5:$I$154,$A23)="○",$E23&gt;=AY$3,$E23&lt;=AY$3+6),"▼",IF(AND($E23&gt;=AY$3,$E23&lt;=AY$3+6),$A23,"")))</f>
        <v/>
      </c>
      <c r="AZ23" s="47" t="str">
        <f aca="false">IF($A23="","",IF(AND(INDEX(工程マスタ!$I$5:$I$154,$A23)="○",$E23&gt;=AZ$3,$E23&lt;=AZ$3+6),"▼",IF(AND($E23&gt;=AZ$3,$E23&lt;=AZ$3+6),$A23,"")))</f>
        <v/>
      </c>
      <c r="BA23" s="47" t="str">
        <f aca="false">IF($A23="","",IF(AND(INDEX(工程マスタ!$I$5:$I$154,$A23)="○",$E23&gt;=BA$3,$E23&lt;=BA$3+6),"▼",IF(AND($E23&gt;=BA$3,$E23&lt;=BA$3+6),$A23,"")))</f>
        <v/>
      </c>
      <c r="BB23" s="47" t="str">
        <f aca="false">IF($A23="","",IF(AND(INDEX(工程マスタ!$I$5:$I$154,$A23)="○",$E23&gt;=BB$3,$E23&lt;=BB$3+6),"▼",IF(AND($E23&gt;=BB$3,$E23&lt;=BB$3+6),$A23,"")))</f>
        <v/>
      </c>
      <c r="BC23" s="47" t="str">
        <f aca="false">IF($A23="","",IF(AND(INDEX(工程マスタ!$I$5:$I$154,$A23)="○",$E23&gt;=BC$3,$E23&lt;=BC$3+6),"▼",IF(AND($E23&gt;=BC$3,$E23&lt;=BC$3+6),$A23,"")))</f>
        <v/>
      </c>
      <c r="BD23" s="47" t="str">
        <f aca="false">IF($A23="","",IF(AND(INDEX(工程マスタ!$I$5:$I$154,$A23)="○",$E23&gt;=BD$3,$E23&lt;=BD$3+6),"▼",IF(AND($E23&gt;=BD$3,$E23&lt;=BD$3+6),$A23,"")))</f>
        <v/>
      </c>
      <c r="BE23" s="47" t="str">
        <f aca="false">IF($A23="","",IF(AND(INDEX(工程マスタ!$I$5:$I$154,$A23)="○",$E23&gt;=BE$3,$E23&lt;=BE$3+6),"▼",IF(AND($E23&gt;=BE$3,$E23&lt;=BE$3+6),$A23,"")))</f>
        <v/>
      </c>
      <c r="BF23" s="47" t="str">
        <f aca="false">IF($A23="","",IF(AND(INDEX(工程マスタ!$I$5:$I$154,$A23)="○",$E23&gt;=BF$3,$E23&lt;=BF$3+6),"▼",IF(AND($E23&gt;=BF$3,$E23&lt;=BF$3+6),$A23,"")))</f>
        <v/>
      </c>
      <c r="BG23" s="47" t="str">
        <f aca="false">IF($A23="","",IF(AND(INDEX(工程マスタ!$I$5:$I$154,$A23)="○",$E23&gt;=BG$3,$E23&lt;=BG$3+6),"▼",IF(AND($E23&gt;=BG$3,$E23&lt;=BG$3+6),$A23,"")))</f>
        <v/>
      </c>
      <c r="BH23" s="47" t="str">
        <f aca="false">IF($A23="","",IF(AND(INDEX(工程マスタ!$I$5:$I$154,$A23)="○",$E23&gt;=BH$3,$E23&lt;=BH$3+6),"▼",IF(AND($E23&gt;=BH$3,$E23&lt;=BH$3+6),$A23,"")))</f>
        <v/>
      </c>
      <c r="BI23" s="47" t="str">
        <f aca="false">IF($A23="","",IF(AND(INDEX(工程マスタ!$I$5:$I$154,$A23)="○",$E23&gt;=BI$3,$E23&lt;=BI$3+6),"▼",IF(AND($E23&gt;=BI$3,$E23&lt;=BI$3+6),$A23,"")))</f>
        <v/>
      </c>
      <c r="BJ23" s="47" t="str">
        <f aca="false">IF($A23="","",IF(AND(INDEX(工程マスタ!$I$5:$I$154,$A23)="○",$E23&gt;=BJ$3,$E23&lt;=BJ$3+6),"▼",IF(AND($E23&gt;=BJ$3,$E23&lt;=BJ$3+6),$A23,"")))</f>
        <v/>
      </c>
    </row>
    <row r="24" customFormat="false" ht="15" hidden="false" customHeight="false" outlineLevel="0" collapsed="false">
      <c r="A24" s="28" t="n">
        <f aca="false">IF(工程マスタ!$C22="","",工程マスタ!$A22)</f>
        <v>18</v>
      </c>
      <c r="B24" s="46" t="str">
        <f aca="false">IF($A24="","",工程マスタ!$C22)</f>
        <v>本締め・建入れ検査</v>
      </c>
      <c r="C24" s="28" t="n">
        <f aca="false">IF($A24="","",MAX(1,工程マスタ!$G22))</f>
        <v>12</v>
      </c>
      <c r="D24" s="28" t="str">
        <f aca="false">IF($A24="","",_xlfn.TEXTJOIN(",",TRUE(),工程マスタ!$N22:$P22))</f>
        <v>17</v>
      </c>
      <c r="E24" s="29" t="n">
        <f aca="false">IF($A24="","",IF(COUNT(工程マスタ!$N22:$P22)=0,設定!$B$8,MAX(IF(工程マスタ!$N22="",0,INDEX($F$7:$F$156,工程マスタ!$N22)),IF(工程マスタ!$O22="",0,INDEX($F$7:$F$156,工程マスタ!$O22)),IF(工程マスタ!$P22="",0,INDEX($F$7:$F$156,工程マスタ!$P22)))+1))</f>
        <v>46362</v>
      </c>
      <c r="F24" s="29" t="n">
        <f aca="false">IF($A24="","",$E24+$C24-1)</f>
        <v>46373</v>
      </c>
      <c r="G24" s="29" t="n">
        <f aca="false">IF($A24="","",$H24-$C24+1)</f>
        <v>46376</v>
      </c>
      <c r="H24" s="29" t="n">
        <f aca="false" t="array" ref="H24:H24">IF($A24="","",IF(SUMPRODUCT((工程マスタ!$N$23:$N$154=$A24)*1)+SUMPRODUCT((工程マスタ!$O$23:$O$154=$A24)*1)+SUMPRODUCT((工程マスタ!$P$23:$P$154=$A24)*1)=0,MAX($F$7:$F$156),MIN(IF((工程マスタ!$N$23:$N$154=$A24)+(工程マスタ!$O$23:$O$154=$A24)+(工程マスタ!$P$23:$P$154=$A24),$G25:$G$156))-1))</f>
        <v>46387</v>
      </c>
      <c r="I24" s="28" t="n">
        <f aca="false">IF($A24="","",$G24-$E24)</f>
        <v>14</v>
      </c>
      <c r="J24" s="28" t="str">
        <f aca="false">IF($A24="","",IF($I24&lt;=0,"●",""))</f>
        <v/>
      </c>
      <c r="K24" s="47" t="str">
        <f aca="false">IF($A24="","",IF(AND(INDEX(工程マスタ!$I$5:$I$154,$A24)="○",$E24&gt;=K$3,$E24&lt;=K$3+6),"▼",IF(AND($E24&gt;=K$3,$E24&lt;=K$3+6),$A24,"")))</f>
        <v/>
      </c>
      <c r="L24" s="47" t="str">
        <f aca="false">IF($A24="","",IF(AND(INDEX(工程マスタ!$I$5:$I$154,$A24)="○",$E24&gt;=L$3,$E24&lt;=L$3+6),"▼",IF(AND($E24&gt;=L$3,$E24&lt;=L$3+6),$A24,"")))</f>
        <v/>
      </c>
      <c r="M24" s="47" t="str">
        <f aca="false">IF($A24="","",IF(AND(INDEX(工程マスタ!$I$5:$I$154,$A24)="○",$E24&gt;=M$3,$E24&lt;=M$3+6),"▼",IF(AND($E24&gt;=M$3,$E24&lt;=M$3+6),$A24,"")))</f>
        <v/>
      </c>
      <c r="N24" s="47" t="str">
        <f aca="false">IF($A24="","",IF(AND(INDEX(工程マスタ!$I$5:$I$154,$A24)="○",$E24&gt;=N$3,$E24&lt;=N$3+6),"▼",IF(AND($E24&gt;=N$3,$E24&lt;=N$3+6),$A24,"")))</f>
        <v/>
      </c>
      <c r="O24" s="47" t="str">
        <f aca="false">IF($A24="","",IF(AND(INDEX(工程マスタ!$I$5:$I$154,$A24)="○",$E24&gt;=O$3,$E24&lt;=O$3+6),"▼",IF(AND($E24&gt;=O$3,$E24&lt;=O$3+6),$A24,"")))</f>
        <v/>
      </c>
      <c r="P24" s="47" t="str">
        <f aca="false">IF($A24="","",IF(AND(INDEX(工程マスタ!$I$5:$I$154,$A24)="○",$E24&gt;=P$3,$E24&lt;=P$3+6),"▼",IF(AND($E24&gt;=P$3,$E24&lt;=P$3+6),$A24,"")))</f>
        <v/>
      </c>
      <c r="Q24" s="47" t="str">
        <f aca="false">IF($A24="","",IF(AND(INDEX(工程マスタ!$I$5:$I$154,$A24)="○",$E24&gt;=Q$3,$E24&lt;=Q$3+6),"▼",IF(AND($E24&gt;=Q$3,$E24&lt;=Q$3+6),$A24,"")))</f>
        <v/>
      </c>
      <c r="R24" s="47" t="str">
        <f aca="false">IF($A24="","",IF(AND(INDEX(工程マスタ!$I$5:$I$154,$A24)="○",$E24&gt;=R$3,$E24&lt;=R$3+6),"▼",IF(AND($E24&gt;=R$3,$E24&lt;=R$3+6),$A24,"")))</f>
        <v/>
      </c>
      <c r="S24" s="47" t="str">
        <f aca="false">IF($A24="","",IF(AND(INDEX(工程マスタ!$I$5:$I$154,$A24)="○",$E24&gt;=S$3,$E24&lt;=S$3+6),"▼",IF(AND($E24&gt;=S$3,$E24&lt;=S$3+6),$A24,"")))</f>
        <v/>
      </c>
      <c r="T24" s="47" t="str">
        <f aca="false">IF($A24="","",IF(AND(INDEX(工程マスタ!$I$5:$I$154,$A24)="○",$E24&gt;=T$3,$E24&lt;=T$3+6),"▼",IF(AND($E24&gt;=T$3,$E24&lt;=T$3+6),$A24,"")))</f>
        <v/>
      </c>
      <c r="U24" s="47" t="str">
        <f aca="false">IF($A24="","",IF(AND(INDEX(工程マスタ!$I$5:$I$154,$A24)="○",$E24&gt;=U$3,$E24&lt;=U$3+6),"▼",IF(AND($E24&gt;=U$3,$E24&lt;=U$3+6),$A24,"")))</f>
        <v/>
      </c>
      <c r="V24" s="47" t="str">
        <f aca="false">IF($A24="","",IF(AND(INDEX(工程マスタ!$I$5:$I$154,$A24)="○",$E24&gt;=V$3,$E24&lt;=V$3+6),"▼",IF(AND($E24&gt;=V$3,$E24&lt;=V$3+6),$A24,"")))</f>
        <v/>
      </c>
      <c r="W24" s="47" t="str">
        <f aca="false">IF($A24="","",IF(AND(INDEX(工程マスタ!$I$5:$I$154,$A24)="○",$E24&gt;=W$3,$E24&lt;=W$3+6),"▼",IF(AND($E24&gt;=W$3,$E24&lt;=W$3+6),$A24,"")))</f>
        <v/>
      </c>
      <c r="X24" s="47" t="str">
        <f aca="false">IF($A24="","",IF(AND(INDEX(工程マスタ!$I$5:$I$154,$A24)="○",$E24&gt;=X$3,$E24&lt;=X$3+6),"▼",IF(AND($E24&gt;=X$3,$E24&lt;=X$3+6),$A24,"")))</f>
        <v/>
      </c>
      <c r="Y24" s="47" t="str">
        <f aca="false">IF($A24="","",IF(AND(INDEX(工程マスタ!$I$5:$I$154,$A24)="○",$E24&gt;=Y$3,$E24&lt;=Y$3+6),"▼",IF(AND($E24&gt;=Y$3,$E24&lt;=Y$3+6),$A24,"")))</f>
        <v/>
      </c>
      <c r="Z24" s="47" t="str">
        <f aca="false">IF($A24="","",IF(AND(INDEX(工程マスタ!$I$5:$I$154,$A24)="○",$E24&gt;=Z$3,$E24&lt;=Z$3+6),"▼",IF(AND($E24&gt;=Z$3,$E24&lt;=Z$3+6),$A24,"")))</f>
        <v/>
      </c>
      <c r="AA24" s="47" t="str">
        <f aca="false">IF($A24="","",IF(AND(INDEX(工程マスタ!$I$5:$I$154,$A24)="○",$E24&gt;=AA$3,$E24&lt;=AA$3+6),"▼",IF(AND($E24&gt;=AA$3,$E24&lt;=AA$3+6),$A24,"")))</f>
        <v/>
      </c>
      <c r="AB24" s="47" t="str">
        <f aca="false">IF($A24="","",IF(AND(INDEX(工程マスタ!$I$5:$I$154,$A24)="○",$E24&gt;=AB$3,$E24&lt;=AB$3+6),"▼",IF(AND($E24&gt;=AB$3,$E24&lt;=AB$3+6),$A24,"")))</f>
        <v/>
      </c>
      <c r="AC24" s="47" t="str">
        <f aca="false">IF($A24="","",IF(AND(INDEX(工程マスタ!$I$5:$I$154,$A24)="○",$E24&gt;=AC$3,$E24&lt;=AC$3+6),"▼",IF(AND($E24&gt;=AC$3,$E24&lt;=AC$3+6),$A24,"")))</f>
        <v/>
      </c>
      <c r="AD24" s="47" t="str">
        <f aca="false">IF($A24="","",IF(AND(INDEX(工程マスタ!$I$5:$I$154,$A24)="○",$E24&gt;=AD$3,$E24&lt;=AD$3+6),"▼",IF(AND($E24&gt;=AD$3,$E24&lt;=AD$3+6),$A24,"")))</f>
        <v/>
      </c>
      <c r="AE24" s="47" t="str">
        <f aca="false">IF($A24="","",IF(AND(INDEX(工程マスタ!$I$5:$I$154,$A24)="○",$E24&gt;=AE$3,$E24&lt;=AE$3+6),"▼",IF(AND($E24&gt;=AE$3,$E24&lt;=AE$3+6),$A24,"")))</f>
        <v/>
      </c>
      <c r="AF24" s="47" t="str">
        <f aca="false">IF($A24="","",IF(AND(INDEX(工程マスタ!$I$5:$I$154,$A24)="○",$E24&gt;=AF$3,$E24&lt;=AF$3+6),"▼",IF(AND($E24&gt;=AF$3,$E24&lt;=AF$3+6),$A24,"")))</f>
        <v/>
      </c>
      <c r="AG24" s="47" t="n">
        <f aca="false">IF($A24="","",IF(AND(INDEX(工程マスタ!$I$5:$I$154,$A24)="○",$E24&gt;=AG$3,$E24&lt;=AG$3+6),"▼",IF(AND($E24&gt;=AG$3,$E24&lt;=AG$3+6),$A24,"")))</f>
        <v>18</v>
      </c>
      <c r="AH24" s="47" t="str">
        <f aca="false">IF($A24="","",IF(AND(INDEX(工程マスタ!$I$5:$I$154,$A24)="○",$E24&gt;=AH$3,$E24&lt;=AH$3+6),"▼",IF(AND($E24&gt;=AH$3,$E24&lt;=AH$3+6),$A24,"")))</f>
        <v/>
      </c>
      <c r="AI24" s="47" t="str">
        <f aca="false">IF($A24="","",IF(AND(INDEX(工程マスタ!$I$5:$I$154,$A24)="○",$E24&gt;=AI$3,$E24&lt;=AI$3+6),"▼",IF(AND($E24&gt;=AI$3,$E24&lt;=AI$3+6),$A24,"")))</f>
        <v/>
      </c>
      <c r="AJ24" s="47" t="str">
        <f aca="false">IF($A24="","",IF(AND(INDEX(工程マスタ!$I$5:$I$154,$A24)="○",$E24&gt;=AJ$3,$E24&lt;=AJ$3+6),"▼",IF(AND($E24&gt;=AJ$3,$E24&lt;=AJ$3+6),$A24,"")))</f>
        <v/>
      </c>
      <c r="AK24" s="47" t="str">
        <f aca="false">IF($A24="","",IF(AND(INDEX(工程マスタ!$I$5:$I$154,$A24)="○",$E24&gt;=AK$3,$E24&lt;=AK$3+6),"▼",IF(AND($E24&gt;=AK$3,$E24&lt;=AK$3+6),$A24,"")))</f>
        <v/>
      </c>
      <c r="AL24" s="47" t="str">
        <f aca="false">IF($A24="","",IF(AND(INDEX(工程マスタ!$I$5:$I$154,$A24)="○",$E24&gt;=AL$3,$E24&lt;=AL$3+6),"▼",IF(AND($E24&gt;=AL$3,$E24&lt;=AL$3+6),$A24,"")))</f>
        <v/>
      </c>
      <c r="AM24" s="47" t="str">
        <f aca="false">IF($A24="","",IF(AND(INDEX(工程マスタ!$I$5:$I$154,$A24)="○",$E24&gt;=AM$3,$E24&lt;=AM$3+6),"▼",IF(AND($E24&gt;=AM$3,$E24&lt;=AM$3+6),$A24,"")))</f>
        <v/>
      </c>
      <c r="AN24" s="47" t="str">
        <f aca="false">IF($A24="","",IF(AND(INDEX(工程マスタ!$I$5:$I$154,$A24)="○",$E24&gt;=AN$3,$E24&lt;=AN$3+6),"▼",IF(AND($E24&gt;=AN$3,$E24&lt;=AN$3+6),$A24,"")))</f>
        <v/>
      </c>
      <c r="AO24" s="47" t="str">
        <f aca="false">IF($A24="","",IF(AND(INDEX(工程マスタ!$I$5:$I$154,$A24)="○",$E24&gt;=AO$3,$E24&lt;=AO$3+6),"▼",IF(AND($E24&gt;=AO$3,$E24&lt;=AO$3+6),$A24,"")))</f>
        <v/>
      </c>
      <c r="AP24" s="47" t="str">
        <f aca="false">IF($A24="","",IF(AND(INDEX(工程マスタ!$I$5:$I$154,$A24)="○",$E24&gt;=AP$3,$E24&lt;=AP$3+6),"▼",IF(AND($E24&gt;=AP$3,$E24&lt;=AP$3+6),$A24,"")))</f>
        <v/>
      </c>
      <c r="AQ24" s="47" t="str">
        <f aca="false">IF($A24="","",IF(AND(INDEX(工程マスタ!$I$5:$I$154,$A24)="○",$E24&gt;=AQ$3,$E24&lt;=AQ$3+6),"▼",IF(AND($E24&gt;=AQ$3,$E24&lt;=AQ$3+6),$A24,"")))</f>
        <v/>
      </c>
      <c r="AR24" s="47" t="str">
        <f aca="false">IF($A24="","",IF(AND(INDEX(工程マスタ!$I$5:$I$154,$A24)="○",$E24&gt;=AR$3,$E24&lt;=AR$3+6),"▼",IF(AND($E24&gt;=AR$3,$E24&lt;=AR$3+6),$A24,"")))</f>
        <v/>
      </c>
      <c r="AS24" s="47" t="str">
        <f aca="false">IF($A24="","",IF(AND(INDEX(工程マスタ!$I$5:$I$154,$A24)="○",$E24&gt;=AS$3,$E24&lt;=AS$3+6),"▼",IF(AND($E24&gt;=AS$3,$E24&lt;=AS$3+6),$A24,"")))</f>
        <v/>
      </c>
      <c r="AT24" s="47" t="str">
        <f aca="false">IF($A24="","",IF(AND(INDEX(工程マスタ!$I$5:$I$154,$A24)="○",$E24&gt;=AT$3,$E24&lt;=AT$3+6),"▼",IF(AND($E24&gt;=AT$3,$E24&lt;=AT$3+6),$A24,"")))</f>
        <v/>
      </c>
      <c r="AU24" s="47" t="str">
        <f aca="false">IF($A24="","",IF(AND(INDEX(工程マスタ!$I$5:$I$154,$A24)="○",$E24&gt;=AU$3,$E24&lt;=AU$3+6),"▼",IF(AND($E24&gt;=AU$3,$E24&lt;=AU$3+6),$A24,"")))</f>
        <v/>
      </c>
      <c r="AV24" s="47" t="str">
        <f aca="false">IF($A24="","",IF(AND(INDEX(工程マスタ!$I$5:$I$154,$A24)="○",$E24&gt;=AV$3,$E24&lt;=AV$3+6),"▼",IF(AND($E24&gt;=AV$3,$E24&lt;=AV$3+6),$A24,"")))</f>
        <v/>
      </c>
      <c r="AW24" s="47" t="str">
        <f aca="false">IF($A24="","",IF(AND(INDEX(工程マスタ!$I$5:$I$154,$A24)="○",$E24&gt;=AW$3,$E24&lt;=AW$3+6),"▼",IF(AND($E24&gt;=AW$3,$E24&lt;=AW$3+6),$A24,"")))</f>
        <v/>
      </c>
      <c r="AX24" s="47" t="str">
        <f aca="false">IF($A24="","",IF(AND(INDEX(工程マスタ!$I$5:$I$154,$A24)="○",$E24&gt;=AX$3,$E24&lt;=AX$3+6),"▼",IF(AND($E24&gt;=AX$3,$E24&lt;=AX$3+6),$A24,"")))</f>
        <v/>
      </c>
      <c r="AY24" s="47" t="str">
        <f aca="false">IF($A24="","",IF(AND(INDEX(工程マスタ!$I$5:$I$154,$A24)="○",$E24&gt;=AY$3,$E24&lt;=AY$3+6),"▼",IF(AND($E24&gt;=AY$3,$E24&lt;=AY$3+6),$A24,"")))</f>
        <v/>
      </c>
      <c r="AZ24" s="47" t="str">
        <f aca="false">IF($A24="","",IF(AND(INDEX(工程マスタ!$I$5:$I$154,$A24)="○",$E24&gt;=AZ$3,$E24&lt;=AZ$3+6),"▼",IF(AND($E24&gt;=AZ$3,$E24&lt;=AZ$3+6),$A24,"")))</f>
        <v/>
      </c>
      <c r="BA24" s="47" t="str">
        <f aca="false">IF($A24="","",IF(AND(INDEX(工程マスタ!$I$5:$I$154,$A24)="○",$E24&gt;=BA$3,$E24&lt;=BA$3+6),"▼",IF(AND($E24&gt;=BA$3,$E24&lt;=BA$3+6),$A24,"")))</f>
        <v/>
      </c>
      <c r="BB24" s="47" t="str">
        <f aca="false">IF($A24="","",IF(AND(INDEX(工程マスタ!$I$5:$I$154,$A24)="○",$E24&gt;=BB$3,$E24&lt;=BB$3+6),"▼",IF(AND($E24&gt;=BB$3,$E24&lt;=BB$3+6),$A24,"")))</f>
        <v/>
      </c>
      <c r="BC24" s="47" t="str">
        <f aca="false">IF($A24="","",IF(AND(INDEX(工程マスタ!$I$5:$I$154,$A24)="○",$E24&gt;=BC$3,$E24&lt;=BC$3+6),"▼",IF(AND($E24&gt;=BC$3,$E24&lt;=BC$3+6),$A24,"")))</f>
        <v/>
      </c>
      <c r="BD24" s="47" t="str">
        <f aca="false">IF($A24="","",IF(AND(INDEX(工程マスタ!$I$5:$I$154,$A24)="○",$E24&gt;=BD$3,$E24&lt;=BD$3+6),"▼",IF(AND($E24&gt;=BD$3,$E24&lt;=BD$3+6),$A24,"")))</f>
        <v/>
      </c>
      <c r="BE24" s="47" t="str">
        <f aca="false">IF($A24="","",IF(AND(INDEX(工程マスタ!$I$5:$I$154,$A24)="○",$E24&gt;=BE$3,$E24&lt;=BE$3+6),"▼",IF(AND($E24&gt;=BE$3,$E24&lt;=BE$3+6),$A24,"")))</f>
        <v/>
      </c>
      <c r="BF24" s="47" t="str">
        <f aca="false">IF($A24="","",IF(AND(INDEX(工程マスタ!$I$5:$I$154,$A24)="○",$E24&gt;=BF$3,$E24&lt;=BF$3+6),"▼",IF(AND($E24&gt;=BF$3,$E24&lt;=BF$3+6),$A24,"")))</f>
        <v/>
      </c>
      <c r="BG24" s="47" t="str">
        <f aca="false">IF($A24="","",IF(AND(INDEX(工程マスタ!$I$5:$I$154,$A24)="○",$E24&gt;=BG$3,$E24&lt;=BG$3+6),"▼",IF(AND($E24&gt;=BG$3,$E24&lt;=BG$3+6),$A24,"")))</f>
        <v/>
      </c>
      <c r="BH24" s="47" t="str">
        <f aca="false">IF($A24="","",IF(AND(INDEX(工程マスタ!$I$5:$I$154,$A24)="○",$E24&gt;=BH$3,$E24&lt;=BH$3+6),"▼",IF(AND($E24&gt;=BH$3,$E24&lt;=BH$3+6),$A24,"")))</f>
        <v/>
      </c>
      <c r="BI24" s="47" t="str">
        <f aca="false">IF($A24="","",IF(AND(INDEX(工程マスタ!$I$5:$I$154,$A24)="○",$E24&gt;=BI$3,$E24&lt;=BI$3+6),"▼",IF(AND($E24&gt;=BI$3,$E24&lt;=BI$3+6),$A24,"")))</f>
        <v/>
      </c>
      <c r="BJ24" s="47" t="str">
        <f aca="false">IF($A24="","",IF(AND(INDEX(工程マスタ!$I$5:$I$154,$A24)="○",$E24&gt;=BJ$3,$E24&lt;=BJ$3+6),"▼",IF(AND($E24&gt;=BJ$3,$E24&lt;=BJ$3+6),$A24,"")))</f>
        <v/>
      </c>
    </row>
    <row r="25" customFormat="false" ht="15" hidden="false" customHeight="false" outlineLevel="0" collapsed="false">
      <c r="A25" s="28" t="n">
        <f aca="false">IF(工程マスタ!$C23="","",工程マスタ!$A23)</f>
        <v>19</v>
      </c>
      <c r="B25" s="46" t="str">
        <f aca="false">IF($A25="","",工程マスタ!$C23)</f>
        <v>デッキ・スタッド溶接</v>
      </c>
      <c r="C25" s="28" t="n">
        <f aca="false">IF($A25="","",MAX(1,工程マスタ!$G23))</f>
        <v>26</v>
      </c>
      <c r="D25" s="28" t="str">
        <f aca="false">IF($A25="","",_xlfn.TEXTJOIN(",",TRUE(),工程マスタ!$N23:$P23))</f>
        <v>17</v>
      </c>
      <c r="E25" s="29" t="n">
        <f aca="false">IF($A25="","",IF(COUNT(工程マスタ!$N23:$P23)=0,設定!$B$8,MAX(IF(工程マスタ!$N23="",0,INDEX($F$7:$F$156,工程マスタ!$N23)),IF(工程マスタ!$O23="",0,INDEX($F$7:$F$156,工程マスタ!$O23)),IF(工程マスタ!$P23="",0,INDEX($F$7:$F$156,工程マスタ!$P23)))+1))</f>
        <v>46362</v>
      </c>
      <c r="F25" s="29" t="n">
        <f aca="false">IF($A25="","",$E25+$C25-1)</f>
        <v>46387</v>
      </c>
      <c r="G25" s="29" t="n">
        <f aca="false">IF($A25="","",$H25-$C25+1)</f>
        <v>46362</v>
      </c>
      <c r="H25" s="29" t="n">
        <f aca="false" t="array" ref="H25:H25">IF($A25="","",IF(SUMPRODUCT((工程マスタ!$N$24:$N$154=$A25)*1)+SUMPRODUCT((工程マスタ!$O$24:$O$154=$A25)*1)+SUMPRODUCT((工程マスタ!$P$24:$P$154=$A25)*1)=0,MAX($F$7:$F$156),MIN(IF((工程マスタ!$N$24:$N$154=$A25)+(工程マスタ!$O$24:$O$154=$A25)+(工程マスタ!$P$24:$P$154=$A25),$G26:$G$156))-1))</f>
        <v>46387</v>
      </c>
      <c r="I25" s="28" t="n">
        <f aca="false">IF($A25="","",$G25-$E25)</f>
        <v>0</v>
      </c>
      <c r="J25" s="28" t="str">
        <f aca="false">IF($A25="","",IF($I25&lt;=0,"●",""))</f>
        <v>●</v>
      </c>
      <c r="K25" s="47" t="str">
        <f aca="false">IF($A25="","",IF(AND(INDEX(工程マスタ!$I$5:$I$154,$A25)="○",$E25&gt;=K$3,$E25&lt;=K$3+6),"▼",IF(AND($E25&gt;=K$3,$E25&lt;=K$3+6),$A25,"")))</f>
        <v/>
      </c>
      <c r="L25" s="47" t="str">
        <f aca="false">IF($A25="","",IF(AND(INDEX(工程マスタ!$I$5:$I$154,$A25)="○",$E25&gt;=L$3,$E25&lt;=L$3+6),"▼",IF(AND($E25&gt;=L$3,$E25&lt;=L$3+6),$A25,"")))</f>
        <v/>
      </c>
      <c r="M25" s="47" t="str">
        <f aca="false">IF($A25="","",IF(AND(INDEX(工程マスタ!$I$5:$I$154,$A25)="○",$E25&gt;=M$3,$E25&lt;=M$3+6),"▼",IF(AND($E25&gt;=M$3,$E25&lt;=M$3+6),$A25,"")))</f>
        <v/>
      </c>
      <c r="N25" s="47" t="str">
        <f aca="false">IF($A25="","",IF(AND(INDEX(工程マスタ!$I$5:$I$154,$A25)="○",$E25&gt;=N$3,$E25&lt;=N$3+6),"▼",IF(AND($E25&gt;=N$3,$E25&lt;=N$3+6),$A25,"")))</f>
        <v/>
      </c>
      <c r="O25" s="47" t="str">
        <f aca="false">IF($A25="","",IF(AND(INDEX(工程マスタ!$I$5:$I$154,$A25)="○",$E25&gt;=O$3,$E25&lt;=O$3+6),"▼",IF(AND($E25&gt;=O$3,$E25&lt;=O$3+6),$A25,"")))</f>
        <v/>
      </c>
      <c r="P25" s="47" t="str">
        <f aca="false">IF($A25="","",IF(AND(INDEX(工程マスタ!$I$5:$I$154,$A25)="○",$E25&gt;=P$3,$E25&lt;=P$3+6),"▼",IF(AND($E25&gt;=P$3,$E25&lt;=P$3+6),$A25,"")))</f>
        <v/>
      </c>
      <c r="Q25" s="47" t="str">
        <f aca="false">IF($A25="","",IF(AND(INDEX(工程マスタ!$I$5:$I$154,$A25)="○",$E25&gt;=Q$3,$E25&lt;=Q$3+6),"▼",IF(AND($E25&gt;=Q$3,$E25&lt;=Q$3+6),$A25,"")))</f>
        <v/>
      </c>
      <c r="R25" s="47" t="str">
        <f aca="false">IF($A25="","",IF(AND(INDEX(工程マスタ!$I$5:$I$154,$A25)="○",$E25&gt;=R$3,$E25&lt;=R$3+6),"▼",IF(AND($E25&gt;=R$3,$E25&lt;=R$3+6),$A25,"")))</f>
        <v/>
      </c>
      <c r="S25" s="47" t="str">
        <f aca="false">IF($A25="","",IF(AND(INDEX(工程マスタ!$I$5:$I$154,$A25)="○",$E25&gt;=S$3,$E25&lt;=S$3+6),"▼",IF(AND($E25&gt;=S$3,$E25&lt;=S$3+6),$A25,"")))</f>
        <v/>
      </c>
      <c r="T25" s="47" t="str">
        <f aca="false">IF($A25="","",IF(AND(INDEX(工程マスタ!$I$5:$I$154,$A25)="○",$E25&gt;=T$3,$E25&lt;=T$3+6),"▼",IF(AND($E25&gt;=T$3,$E25&lt;=T$3+6),$A25,"")))</f>
        <v/>
      </c>
      <c r="U25" s="47" t="str">
        <f aca="false">IF($A25="","",IF(AND(INDEX(工程マスタ!$I$5:$I$154,$A25)="○",$E25&gt;=U$3,$E25&lt;=U$3+6),"▼",IF(AND($E25&gt;=U$3,$E25&lt;=U$3+6),$A25,"")))</f>
        <v/>
      </c>
      <c r="V25" s="47" t="str">
        <f aca="false">IF($A25="","",IF(AND(INDEX(工程マスタ!$I$5:$I$154,$A25)="○",$E25&gt;=V$3,$E25&lt;=V$3+6),"▼",IF(AND($E25&gt;=V$3,$E25&lt;=V$3+6),$A25,"")))</f>
        <v/>
      </c>
      <c r="W25" s="47" t="str">
        <f aca="false">IF($A25="","",IF(AND(INDEX(工程マスタ!$I$5:$I$154,$A25)="○",$E25&gt;=W$3,$E25&lt;=W$3+6),"▼",IF(AND($E25&gt;=W$3,$E25&lt;=W$3+6),$A25,"")))</f>
        <v/>
      </c>
      <c r="X25" s="47" t="str">
        <f aca="false">IF($A25="","",IF(AND(INDEX(工程マスタ!$I$5:$I$154,$A25)="○",$E25&gt;=X$3,$E25&lt;=X$3+6),"▼",IF(AND($E25&gt;=X$3,$E25&lt;=X$3+6),$A25,"")))</f>
        <v/>
      </c>
      <c r="Y25" s="47" t="str">
        <f aca="false">IF($A25="","",IF(AND(INDEX(工程マスタ!$I$5:$I$154,$A25)="○",$E25&gt;=Y$3,$E25&lt;=Y$3+6),"▼",IF(AND($E25&gt;=Y$3,$E25&lt;=Y$3+6),$A25,"")))</f>
        <v/>
      </c>
      <c r="Z25" s="47" t="str">
        <f aca="false">IF($A25="","",IF(AND(INDEX(工程マスタ!$I$5:$I$154,$A25)="○",$E25&gt;=Z$3,$E25&lt;=Z$3+6),"▼",IF(AND($E25&gt;=Z$3,$E25&lt;=Z$3+6),$A25,"")))</f>
        <v/>
      </c>
      <c r="AA25" s="47" t="str">
        <f aca="false">IF($A25="","",IF(AND(INDEX(工程マスタ!$I$5:$I$154,$A25)="○",$E25&gt;=AA$3,$E25&lt;=AA$3+6),"▼",IF(AND($E25&gt;=AA$3,$E25&lt;=AA$3+6),$A25,"")))</f>
        <v/>
      </c>
      <c r="AB25" s="47" t="str">
        <f aca="false">IF($A25="","",IF(AND(INDEX(工程マスタ!$I$5:$I$154,$A25)="○",$E25&gt;=AB$3,$E25&lt;=AB$3+6),"▼",IF(AND($E25&gt;=AB$3,$E25&lt;=AB$3+6),$A25,"")))</f>
        <v/>
      </c>
      <c r="AC25" s="47" t="str">
        <f aca="false">IF($A25="","",IF(AND(INDEX(工程マスタ!$I$5:$I$154,$A25)="○",$E25&gt;=AC$3,$E25&lt;=AC$3+6),"▼",IF(AND($E25&gt;=AC$3,$E25&lt;=AC$3+6),$A25,"")))</f>
        <v/>
      </c>
      <c r="AD25" s="47" t="str">
        <f aca="false">IF($A25="","",IF(AND(INDEX(工程マスタ!$I$5:$I$154,$A25)="○",$E25&gt;=AD$3,$E25&lt;=AD$3+6),"▼",IF(AND($E25&gt;=AD$3,$E25&lt;=AD$3+6),$A25,"")))</f>
        <v/>
      </c>
      <c r="AE25" s="47" t="str">
        <f aca="false">IF($A25="","",IF(AND(INDEX(工程マスタ!$I$5:$I$154,$A25)="○",$E25&gt;=AE$3,$E25&lt;=AE$3+6),"▼",IF(AND($E25&gt;=AE$3,$E25&lt;=AE$3+6),$A25,"")))</f>
        <v/>
      </c>
      <c r="AF25" s="47" t="str">
        <f aca="false">IF($A25="","",IF(AND(INDEX(工程マスタ!$I$5:$I$154,$A25)="○",$E25&gt;=AF$3,$E25&lt;=AF$3+6),"▼",IF(AND($E25&gt;=AF$3,$E25&lt;=AF$3+6),$A25,"")))</f>
        <v/>
      </c>
      <c r="AG25" s="47" t="n">
        <f aca="false">IF($A25="","",IF(AND(INDEX(工程マスタ!$I$5:$I$154,$A25)="○",$E25&gt;=AG$3,$E25&lt;=AG$3+6),"▼",IF(AND($E25&gt;=AG$3,$E25&lt;=AG$3+6),$A25,"")))</f>
        <v>19</v>
      </c>
      <c r="AH25" s="47" t="str">
        <f aca="false">IF($A25="","",IF(AND(INDEX(工程マスタ!$I$5:$I$154,$A25)="○",$E25&gt;=AH$3,$E25&lt;=AH$3+6),"▼",IF(AND($E25&gt;=AH$3,$E25&lt;=AH$3+6),$A25,"")))</f>
        <v/>
      </c>
      <c r="AI25" s="47" t="str">
        <f aca="false">IF($A25="","",IF(AND(INDEX(工程マスタ!$I$5:$I$154,$A25)="○",$E25&gt;=AI$3,$E25&lt;=AI$3+6),"▼",IF(AND($E25&gt;=AI$3,$E25&lt;=AI$3+6),$A25,"")))</f>
        <v/>
      </c>
      <c r="AJ25" s="47" t="str">
        <f aca="false">IF($A25="","",IF(AND(INDEX(工程マスタ!$I$5:$I$154,$A25)="○",$E25&gt;=AJ$3,$E25&lt;=AJ$3+6),"▼",IF(AND($E25&gt;=AJ$3,$E25&lt;=AJ$3+6),$A25,"")))</f>
        <v/>
      </c>
      <c r="AK25" s="47" t="str">
        <f aca="false">IF($A25="","",IF(AND(INDEX(工程マスタ!$I$5:$I$154,$A25)="○",$E25&gt;=AK$3,$E25&lt;=AK$3+6),"▼",IF(AND($E25&gt;=AK$3,$E25&lt;=AK$3+6),$A25,"")))</f>
        <v/>
      </c>
      <c r="AL25" s="47" t="str">
        <f aca="false">IF($A25="","",IF(AND(INDEX(工程マスタ!$I$5:$I$154,$A25)="○",$E25&gt;=AL$3,$E25&lt;=AL$3+6),"▼",IF(AND($E25&gt;=AL$3,$E25&lt;=AL$3+6),$A25,"")))</f>
        <v/>
      </c>
      <c r="AM25" s="47" t="str">
        <f aca="false">IF($A25="","",IF(AND(INDEX(工程マスタ!$I$5:$I$154,$A25)="○",$E25&gt;=AM$3,$E25&lt;=AM$3+6),"▼",IF(AND($E25&gt;=AM$3,$E25&lt;=AM$3+6),$A25,"")))</f>
        <v/>
      </c>
      <c r="AN25" s="47" t="str">
        <f aca="false">IF($A25="","",IF(AND(INDEX(工程マスタ!$I$5:$I$154,$A25)="○",$E25&gt;=AN$3,$E25&lt;=AN$3+6),"▼",IF(AND($E25&gt;=AN$3,$E25&lt;=AN$3+6),$A25,"")))</f>
        <v/>
      </c>
      <c r="AO25" s="47" t="str">
        <f aca="false">IF($A25="","",IF(AND(INDEX(工程マスタ!$I$5:$I$154,$A25)="○",$E25&gt;=AO$3,$E25&lt;=AO$3+6),"▼",IF(AND($E25&gt;=AO$3,$E25&lt;=AO$3+6),$A25,"")))</f>
        <v/>
      </c>
      <c r="AP25" s="47" t="str">
        <f aca="false">IF($A25="","",IF(AND(INDEX(工程マスタ!$I$5:$I$154,$A25)="○",$E25&gt;=AP$3,$E25&lt;=AP$3+6),"▼",IF(AND($E25&gt;=AP$3,$E25&lt;=AP$3+6),$A25,"")))</f>
        <v/>
      </c>
      <c r="AQ25" s="47" t="str">
        <f aca="false">IF($A25="","",IF(AND(INDEX(工程マスタ!$I$5:$I$154,$A25)="○",$E25&gt;=AQ$3,$E25&lt;=AQ$3+6),"▼",IF(AND($E25&gt;=AQ$3,$E25&lt;=AQ$3+6),$A25,"")))</f>
        <v/>
      </c>
      <c r="AR25" s="47" t="str">
        <f aca="false">IF($A25="","",IF(AND(INDEX(工程マスタ!$I$5:$I$154,$A25)="○",$E25&gt;=AR$3,$E25&lt;=AR$3+6),"▼",IF(AND($E25&gt;=AR$3,$E25&lt;=AR$3+6),$A25,"")))</f>
        <v/>
      </c>
      <c r="AS25" s="47" t="str">
        <f aca="false">IF($A25="","",IF(AND(INDEX(工程マスタ!$I$5:$I$154,$A25)="○",$E25&gt;=AS$3,$E25&lt;=AS$3+6),"▼",IF(AND($E25&gt;=AS$3,$E25&lt;=AS$3+6),$A25,"")))</f>
        <v/>
      </c>
      <c r="AT25" s="47" t="str">
        <f aca="false">IF($A25="","",IF(AND(INDEX(工程マスタ!$I$5:$I$154,$A25)="○",$E25&gt;=AT$3,$E25&lt;=AT$3+6),"▼",IF(AND($E25&gt;=AT$3,$E25&lt;=AT$3+6),$A25,"")))</f>
        <v/>
      </c>
      <c r="AU25" s="47" t="str">
        <f aca="false">IF($A25="","",IF(AND(INDEX(工程マスタ!$I$5:$I$154,$A25)="○",$E25&gt;=AU$3,$E25&lt;=AU$3+6),"▼",IF(AND($E25&gt;=AU$3,$E25&lt;=AU$3+6),$A25,"")))</f>
        <v/>
      </c>
      <c r="AV25" s="47" t="str">
        <f aca="false">IF($A25="","",IF(AND(INDEX(工程マスタ!$I$5:$I$154,$A25)="○",$E25&gt;=AV$3,$E25&lt;=AV$3+6),"▼",IF(AND($E25&gt;=AV$3,$E25&lt;=AV$3+6),$A25,"")))</f>
        <v/>
      </c>
      <c r="AW25" s="47" t="str">
        <f aca="false">IF($A25="","",IF(AND(INDEX(工程マスタ!$I$5:$I$154,$A25)="○",$E25&gt;=AW$3,$E25&lt;=AW$3+6),"▼",IF(AND($E25&gt;=AW$3,$E25&lt;=AW$3+6),$A25,"")))</f>
        <v/>
      </c>
      <c r="AX25" s="47" t="str">
        <f aca="false">IF($A25="","",IF(AND(INDEX(工程マスタ!$I$5:$I$154,$A25)="○",$E25&gt;=AX$3,$E25&lt;=AX$3+6),"▼",IF(AND($E25&gt;=AX$3,$E25&lt;=AX$3+6),$A25,"")))</f>
        <v/>
      </c>
      <c r="AY25" s="47" t="str">
        <f aca="false">IF($A25="","",IF(AND(INDEX(工程マスタ!$I$5:$I$154,$A25)="○",$E25&gt;=AY$3,$E25&lt;=AY$3+6),"▼",IF(AND($E25&gt;=AY$3,$E25&lt;=AY$3+6),$A25,"")))</f>
        <v/>
      </c>
      <c r="AZ25" s="47" t="str">
        <f aca="false">IF($A25="","",IF(AND(INDEX(工程マスタ!$I$5:$I$154,$A25)="○",$E25&gt;=AZ$3,$E25&lt;=AZ$3+6),"▼",IF(AND($E25&gt;=AZ$3,$E25&lt;=AZ$3+6),$A25,"")))</f>
        <v/>
      </c>
      <c r="BA25" s="47" t="str">
        <f aca="false">IF($A25="","",IF(AND(INDEX(工程マスタ!$I$5:$I$154,$A25)="○",$E25&gt;=BA$3,$E25&lt;=BA$3+6),"▼",IF(AND($E25&gt;=BA$3,$E25&lt;=BA$3+6),$A25,"")))</f>
        <v/>
      </c>
      <c r="BB25" s="47" t="str">
        <f aca="false">IF($A25="","",IF(AND(INDEX(工程マスタ!$I$5:$I$154,$A25)="○",$E25&gt;=BB$3,$E25&lt;=BB$3+6),"▼",IF(AND($E25&gt;=BB$3,$E25&lt;=BB$3+6),$A25,"")))</f>
        <v/>
      </c>
      <c r="BC25" s="47" t="str">
        <f aca="false">IF($A25="","",IF(AND(INDEX(工程マスタ!$I$5:$I$154,$A25)="○",$E25&gt;=BC$3,$E25&lt;=BC$3+6),"▼",IF(AND($E25&gt;=BC$3,$E25&lt;=BC$3+6),$A25,"")))</f>
        <v/>
      </c>
      <c r="BD25" s="47" t="str">
        <f aca="false">IF($A25="","",IF(AND(INDEX(工程マスタ!$I$5:$I$154,$A25)="○",$E25&gt;=BD$3,$E25&lt;=BD$3+6),"▼",IF(AND($E25&gt;=BD$3,$E25&lt;=BD$3+6),$A25,"")))</f>
        <v/>
      </c>
      <c r="BE25" s="47" t="str">
        <f aca="false">IF($A25="","",IF(AND(INDEX(工程マスタ!$I$5:$I$154,$A25)="○",$E25&gt;=BE$3,$E25&lt;=BE$3+6),"▼",IF(AND($E25&gt;=BE$3,$E25&lt;=BE$3+6),$A25,"")))</f>
        <v/>
      </c>
      <c r="BF25" s="47" t="str">
        <f aca="false">IF($A25="","",IF(AND(INDEX(工程マスタ!$I$5:$I$154,$A25)="○",$E25&gt;=BF$3,$E25&lt;=BF$3+6),"▼",IF(AND($E25&gt;=BF$3,$E25&lt;=BF$3+6),$A25,"")))</f>
        <v/>
      </c>
      <c r="BG25" s="47" t="str">
        <f aca="false">IF($A25="","",IF(AND(INDEX(工程マスタ!$I$5:$I$154,$A25)="○",$E25&gt;=BG$3,$E25&lt;=BG$3+6),"▼",IF(AND($E25&gt;=BG$3,$E25&lt;=BG$3+6),$A25,"")))</f>
        <v/>
      </c>
      <c r="BH25" s="47" t="str">
        <f aca="false">IF($A25="","",IF(AND(INDEX(工程マスタ!$I$5:$I$154,$A25)="○",$E25&gt;=BH$3,$E25&lt;=BH$3+6),"▼",IF(AND($E25&gt;=BH$3,$E25&lt;=BH$3+6),$A25,"")))</f>
        <v/>
      </c>
      <c r="BI25" s="47" t="str">
        <f aca="false">IF($A25="","",IF(AND(INDEX(工程マスタ!$I$5:$I$154,$A25)="○",$E25&gt;=BI$3,$E25&lt;=BI$3+6),"▼",IF(AND($E25&gt;=BI$3,$E25&lt;=BI$3+6),$A25,"")))</f>
        <v/>
      </c>
      <c r="BJ25" s="47" t="str">
        <f aca="false">IF($A25="","",IF(AND(INDEX(工程マスタ!$I$5:$I$154,$A25)="○",$E25&gt;=BJ$3,$E25&lt;=BJ$3+6),"▼",IF(AND($E25&gt;=BJ$3,$E25&lt;=BJ$3+6),$A25,"")))</f>
        <v/>
      </c>
    </row>
    <row r="26" customFormat="false" ht="15" hidden="false" customHeight="false" outlineLevel="0" collapsed="false">
      <c r="A26" s="28" t="n">
        <f aca="false">IF(工程マスタ!$C24="","",工程マスタ!$A24)</f>
        <v>20</v>
      </c>
      <c r="B26" s="46" t="str">
        <f aca="false">IF($A26="","",工程マスタ!$C24)</f>
        <v>床コンクリート打設</v>
      </c>
      <c r="C26" s="28" t="n">
        <f aca="false">IF($A26="","",MAX(1,工程マスタ!$G24))</f>
        <v>19</v>
      </c>
      <c r="D26" s="28" t="str">
        <f aca="false">IF($A26="","",_xlfn.TEXTJOIN(",",TRUE(),工程マスタ!$N24:$P24))</f>
        <v>18,19</v>
      </c>
      <c r="E26" s="29" t="n">
        <f aca="false">IF($A26="","",IF(COUNT(工程マスタ!$N24:$P24)=0,設定!$B$8,MAX(IF(工程マスタ!$N24="",0,INDEX($F$7:$F$156,工程マスタ!$N24)),IF(工程マスタ!$O24="",0,INDEX($F$7:$F$156,工程マスタ!$O24)),IF(工程マスタ!$P24="",0,INDEX($F$7:$F$156,工程マスタ!$P24)))+1))</f>
        <v>46388</v>
      </c>
      <c r="F26" s="29" t="n">
        <f aca="false">IF($A26="","",$E26+$C26-1)</f>
        <v>46406</v>
      </c>
      <c r="G26" s="29" t="n">
        <f aca="false">IF($A26="","",$H26-$C26+1)</f>
        <v>46388</v>
      </c>
      <c r="H26" s="29" t="n">
        <f aca="false" t="array" ref="H26:H26">IF($A26="","",IF(SUMPRODUCT((工程マスタ!$N$25:$N$154=$A26)*1)+SUMPRODUCT((工程マスタ!$O$25:$O$154=$A26)*1)+SUMPRODUCT((工程マスタ!$P$25:$P$154=$A26)*1)=0,MAX($F$7:$F$156),MIN(IF((工程マスタ!$N$25:$N$154=$A26)+(工程マスタ!$O$25:$O$154=$A26)+(工程マスタ!$P$25:$P$154=$A26),$G27:$G$156))-1))</f>
        <v>46406</v>
      </c>
      <c r="I26" s="28" t="n">
        <f aca="false">IF($A26="","",$G26-$E26)</f>
        <v>0</v>
      </c>
      <c r="J26" s="28" t="str">
        <f aca="false">IF($A26="","",IF($I26&lt;=0,"●",""))</f>
        <v>●</v>
      </c>
      <c r="K26" s="47" t="str">
        <f aca="false">IF($A26="","",IF(AND(INDEX(工程マスタ!$I$5:$I$154,$A26)="○",$E26&gt;=K$3,$E26&lt;=K$3+6),"▼",IF(AND($E26&gt;=K$3,$E26&lt;=K$3+6),$A26,"")))</f>
        <v/>
      </c>
      <c r="L26" s="47" t="str">
        <f aca="false">IF($A26="","",IF(AND(INDEX(工程マスタ!$I$5:$I$154,$A26)="○",$E26&gt;=L$3,$E26&lt;=L$3+6),"▼",IF(AND($E26&gt;=L$3,$E26&lt;=L$3+6),$A26,"")))</f>
        <v/>
      </c>
      <c r="M26" s="47" t="str">
        <f aca="false">IF($A26="","",IF(AND(INDEX(工程マスタ!$I$5:$I$154,$A26)="○",$E26&gt;=M$3,$E26&lt;=M$3+6),"▼",IF(AND($E26&gt;=M$3,$E26&lt;=M$3+6),$A26,"")))</f>
        <v/>
      </c>
      <c r="N26" s="47" t="str">
        <f aca="false">IF($A26="","",IF(AND(INDEX(工程マスタ!$I$5:$I$154,$A26)="○",$E26&gt;=N$3,$E26&lt;=N$3+6),"▼",IF(AND($E26&gt;=N$3,$E26&lt;=N$3+6),$A26,"")))</f>
        <v/>
      </c>
      <c r="O26" s="47" t="str">
        <f aca="false">IF($A26="","",IF(AND(INDEX(工程マスタ!$I$5:$I$154,$A26)="○",$E26&gt;=O$3,$E26&lt;=O$3+6),"▼",IF(AND($E26&gt;=O$3,$E26&lt;=O$3+6),$A26,"")))</f>
        <v/>
      </c>
      <c r="P26" s="47" t="str">
        <f aca="false">IF($A26="","",IF(AND(INDEX(工程マスタ!$I$5:$I$154,$A26)="○",$E26&gt;=P$3,$E26&lt;=P$3+6),"▼",IF(AND($E26&gt;=P$3,$E26&lt;=P$3+6),$A26,"")))</f>
        <v/>
      </c>
      <c r="Q26" s="47" t="str">
        <f aca="false">IF($A26="","",IF(AND(INDEX(工程マスタ!$I$5:$I$154,$A26)="○",$E26&gt;=Q$3,$E26&lt;=Q$3+6),"▼",IF(AND($E26&gt;=Q$3,$E26&lt;=Q$3+6),$A26,"")))</f>
        <v/>
      </c>
      <c r="R26" s="47" t="str">
        <f aca="false">IF($A26="","",IF(AND(INDEX(工程マスタ!$I$5:$I$154,$A26)="○",$E26&gt;=R$3,$E26&lt;=R$3+6),"▼",IF(AND($E26&gt;=R$3,$E26&lt;=R$3+6),$A26,"")))</f>
        <v/>
      </c>
      <c r="S26" s="47" t="str">
        <f aca="false">IF($A26="","",IF(AND(INDEX(工程マスタ!$I$5:$I$154,$A26)="○",$E26&gt;=S$3,$E26&lt;=S$3+6),"▼",IF(AND($E26&gt;=S$3,$E26&lt;=S$3+6),$A26,"")))</f>
        <v/>
      </c>
      <c r="T26" s="47" t="str">
        <f aca="false">IF($A26="","",IF(AND(INDEX(工程マスタ!$I$5:$I$154,$A26)="○",$E26&gt;=T$3,$E26&lt;=T$3+6),"▼",IF(AND($E26&gt;=T$3,$E26&lt;=T$3+6),$A26,"")))</f>
        <v/>
      </c>
      <c r="U26" s="47" t="str">
        <f aca="false">IF($A26="","",IF(AND(INDEX(工程マスタ!$I$5:$I$154,$A26)="○",$E26&gt;=U$3,$E26&lt;=U$3+6),"▼",IF(AND($E26&gt;=U$3,$E26&lt;=U$3+6),$A26,"")))</f>
        <v/>
      </c>
      <c r="V26" s="47" t="str">
        <f aca="false">IF($A26="","",IF(AND(INDEX(工程マスタ!$I$5:$I$154,$A26)="○",$E26&gt;=V$3,$E26&lt;=V$3+6),"▼",IF(AND($E26&gt;=V$3,$E26&lt;=V$3+6),$A26,"")))</f>
        <v/>
      </c>
      <c r="W26" s="47" t="str">
        <f aca="false">IF($A26="","",IF(AND(INDEX(工程マスタ!$I$5:$I$154,$A26)="○",$E26&gt;=W$3,$E26&lt;=W$3+6),"▼",IF(AND($E26&gt;=W$3,$E26&lt;=W$3+6),$A26,"")))</f>
        <v/>
      </c>
      <c r="X26" s="47" t="str">
        <f aca="false">IF($A26="","",IF(AND(INDEX(工程マスタ!$I$5:$I$154,$A26)="○",$E26&gt;=X$3,$E26&lt;=X$3+6),"▼",IF(AND($E26&gt;=X$3,$E26&lt;=X$3+6),$A26,"")))</f>
        <v/>
      </c>
      <c r="Y26" s="47" t="str">
        <f aca="false">IF($A26="","",IF(AND(INDEX(工程マスタ!$I$5:$I$154,$A26)="○",$E26&gt;=Y$3,$E26&lt;=Y$3+6),"▼",IF(AND($E26&gt;=Y$3,$E26&lt;=Y$3+6),$A26,"")))</f>
        <v/>
      </c>
      <c r="Z26" s="47" t="str">
        <f aca="false">IF($A26="","",IF(AND(INDEX(工程マスタ!$I$5:$I$154,$A26)="○",$E26&gt;=Z$3,$E26&lt;=Z$3+6),"▼",IF(AND($E26&gt;=Z$3,$E26&lt;=Z$3+6),$A26,"")))</f>
        <v/>
      </c>
      <c r="AA26" s="47" t="str">
        <f aca="false">IF($A26="","",IF(AND(INDEX(工程マスタ!$I$5:$I$154,$A26)="○",$E26&gt;=AA$3,$E26&lt;=AA$3+6),"▼",IF(AND($E26&gt;=AA$3,$E26&lt;=AA$3+6),$A26,"")))</f>
        <v/>
      </c>
      <c r="AB26" s="47" t="str">
        <f aca="false">IF($A26="","",IF(AND(INDEX(工程マスタ!$I$5:$I$154,$A26)="○",$E26&gt;=AB$3,$E26&lt;=AB$3+6),"▼",IF(AND($E26&gt;=AB$3,$E26&lt;=AB$3+6),$A26,"")))</f>
        <v/>
      </c>
      <c r="AC26" s="47" t="str">
        <f aca="false">IF($A26="","",IF(AND(INDEX(工程マスタ!$I$5:$I$154,$A26)="○",$E26&gt;=AC$3,$E26&lt;=AC$3+6),"▼",IF(AND($E26&gt;=AC$3,$E26&lt;=AC$3+6),$A26,"")))</f>
        <v/>
      </c>
      <c r="AD26" s="47" t="str">
        <f aca="false">IF($A26="","",IF(AND(INDEX(工程マスタ!$I$5:$I$154,$A26)="○",$E26&gt;=AD$3,$E26&lt;=AD$3+6),"▼",IF(AND($E26&gt;=AD$3,$E26&lt;=AD$3+6),$A26,"")))</f>
        <v/>
      </c>
      <c r="AE26" s="47" t="str">
        <f aca="false">IF($A26="","",IF(AND(INDEX(工程マスタ!$I$5:$I$154,$A26)="○",$E26&gt;=AE$3,$E26&lt;=AE$3+6),"▼",IF(AND($E26&gt;=AE$3,$E26&lt;=AE$3+6),$A26,"")))</f>
        <v/>
      </c>
      <c r="AF26" s="47" t="str">
        <f aca="false">IF($A26="","",IF(AND(INDEX(工程マスタ!$I$5:$I$154,$A26)="○",$E26&gt;=AF$3,$E26&lt;=AF$3+6),"▼",IF(AND($E26&gt;=AF$3,$E26&lt;=AF$3+6),$A26,"")))</f>
        <v/>
      </c>
      <c r="AG26" s="47" t="str">
        <f aca="false">IF($A26="","",IF(AND(INDEX(工程マスタ!$I$5:$I$154,$A26)="○",$E26&gt;=AG$3,$E26&lt;=AG$3+6),"▼",IF(AND($E26&gt;=AG$3,$E26&lt;=AG$3+6),$A26,"")))</f>
        <v/>
      </c>
      <c r="AH26" s="47" t="str">
        <f aca="false">IF($A26="","",IF(AND(INDEX(工程マスタ!$I$5:$I$154,$A26)="○",$E26&gt;=AH$3,$E26&lt;=AH$3+6),"▼",IF(AND($E26&gt;=AH$3,$E26&lt;=AH$3+6),$A26,"")))</f>
        <v/>
      </c>
      <c r="AI26" s="47" t="str">
        <f aca="false">IF($A26="","",IF(AND(INDEX(工程マスタ!$I$5:$I$154,$A26)="○",$E26&gt;=AI$3,$E26&lt;=AI$3+6),"▼",IF(AND($E26&gt;=AI$3,$E26&lt;=AI$3+6),$A26,"")))</f>
        <v/>
      </c>
      <c r="AJ26" s="47" t="str">
        <f aca="false">IF($A26="","",IF(AND(INDEX(工程マスタ!$I$5:$I$154,$A26)="○",$E26&gt;=AJ$3,$E26&lt;=AJ$3+6),"▼",IF(AND($E26&gt;=AJ$3,$E26&lt;=AJ$3+6),$A26,"")))</f>
        <v/>
      </c>
      <c r="AK26" s="47" t="n">
        <f aca="false">IF($A26="","",IF(AND(INDEX(工程マスタ!$I$5:$I$154,$A26)="○",$E26&gt;=AK$3,$E26&lt;=AK$3+6),"▼",IF(AND($E26&gt;=AK$3,$E26&lt;=AK$3+6),$A26,"")))</f>
        <v>20</v>
      </c>
      <c r="AL26" s="47" t="str">
        <f aca="false">IF($A26="","",IF(AND(INDEX(工程マスタ!$I$5:$I$154,$A26)="○",$E26&gt;=AL$3,$E26&lt;=AL$3+6),"▼",IF(AND($E26&gt;=AL$3,$E26&lt;=AL$3+6),$A26,"")))</f>
        <v/>
      </c>
      <c r="AM26" s="47" t="str">
        <f aca="false">IF($A26="","",IF(AND(INDEX(工程マスタ!$I$5:$I$154,$A26)="○",$E26&gt;=AM$3,$E26&lt;=AM$3+6),"▼",IF(AND($E26&gt;=AM$3,$E26&lt;=AM$3+6),$A26,"")))</f>
        <v/>
      </c>
      <c r="AN26" s="47" t="str">
        <f aca="false">IF($A26="","",IF(AND(INDEX(工程マスタ!$I$5:$I$154,$A26)="○",$E26&gt;=AN$3,$E26&lt;=AN$3+6),"▼",IF(AND($E26&gt;=AN$3,$E26&lt;=AN$3+6),$A26,"")))</f>
        <v/>
      </c>
      <c r="AO26" s="47" t="str">
        <f aca="false">IF($A26="","",IF(AND(INDEX(工程マスタ!$I$5:$I$154,$A26)="○",$E26&gt;=AO$3,$E26&lt;=AO$3+6),"▼",IF(AND($E26&gt;=AO$3,$E26&lt;=AO$3+6),$A26,"")))</f>
        <v/>
      </c>
      <c r="AP26" s="47" t="str">
        <f aca="false">IF($A26="","",IF(AND(INDEX(工程マスタ!$I$5:$I$154,$A26)="○",$E26&gt;=AP$3,$E26&lt;=AP$3+6),"▼",IF(AND($E26&gt;=AP$3,$E26&lt;=AP$3+6),$A26,"")))</f>
        <v/>
      </c>
      <c r="AQ26" s="47" t="str">
        <f aca="false">IF($A26="","",IF(AND(INDEX(工程マスタ!$I$5:$I$154,$A26)="○",$E26&gt;=AQ$3,$E26&lt;=AQ$3+6),"▼",IF(AND($E26&gt;=AQ$3,$E26&lt;=AQ$3+6),$A26,"")))</f>
        <v/>
      </c>
      <c r="AR26" s="47" t="str">
        <f aca="false">IF($A26="","",IF(AND(INDEX(工程マスタ!$I$5:$I$154,$A26)="○",$E26&gt;=AR$3,$E26&lt;=AR$3+6),"▼",IF(AND($E26&gt;=AR$3,$E26&lt;=AR$3+6),$A26,"")))</f>
        <v/>
      </c>
      <c r="AS26" s="47" t="str">
        <f aca="false">IF($A26="","",IF(AND(INDEX(工程マスタ!$I$5:$I$154,$A26)="○",$E26&gt;=AS$3,$E26&lt;=AS$3+6),"▼",IF(AND($E26&gt;=AS$3,$E26&lt;=AS$3+6),$A26,"")))</f>
        <v/>
      </c>
      <c r="AT26" s="47" t="str">
        <f aca="false">IF($A26="","",IF(AND(INDEX(工程マスタ!$I$5:$I$154,$A26)="○",$E26&gt;=AT$3,$E26&lt;=AT$3+6),"▼",IF(AND($E26&gt;=AT$3,$E26&lt;=AT$3+6),$A26,"")))</f>
        <v/>
      </c>
      <c r="AU26" s="47" t="str">
        <f aca="false">IF($A26="","",IF(AND(INDEX(工程マスタ!$I$5:$I$154,$A26)="○",$E26&gt;=AU$3,$E26&lt;=AU$3+6),"▼",IF(AND($E26&gt;=AU$3,$E26&lt;=AU$3+6),$A26,"")))</f>
        <v/>
      </c>
      <c r="AV26" s="47" t="str">
        <f aca="false">IF($A26="","",IF(AND(INDEX(工程マスタ!$I$5:$I$154,$A26)="○",$E26&gt;=AV$3,$E26&lt;=AV$3+6),"▼",IF(AND($E26&gt;=AV$3,$E26&lt;=AV$3+6),$A26,"")))</f>
        <v/>
      </c>
      <c r="AW26" s="47" t="str">
        <f aca="false">IF($A26="","",IF(AND(INDEX(工程マスタ!$I$5:$I$154,$A26)="○",$E26&gt;=AW$3,$E26&lt;=AW$3+6),"▼",IF(AND($E26&gt;=AW$3,$E26&lt;=AW$3+6),$A26,"")))</f>
        <v/>
      </c>
      <c r="AX26" s="47" t="str">
        <f aca="false">IF($A26="","",IF(AND(INDEX(工程マスタ!$I$5:$I$154,$A26)="○",$E26&gt;=AX$3,$E26&lt;=AX$3+6),"▼",IF(AND($E26&gt;=AX$3,$E26&lt;=AX$3+6),$A26,"")))</f>
        <v/>
      </c>
      <c r="AY26" s="47" t="str">
        <f aca="false">IF($A26="","",IF(AND(INDEX(工程マスタ!$I$5:$I$154,$A26)="○",$E26&gt;=AY$3,$E26&lt;=AY$3+6),"▼",IF(AND($E26&gt;=AY$3,$E26&lt;=AY$3+6),$A26,"")))</f>
        <v/>
      </c>
      <c r="AZ26" s="47" t="str">
        <f aca="false">IF($A26="","",IF(AND(INDEX(工程マスタ!$I$5:$I$154,$A26)="○",$E26&gt;=AZ$3,$E26&lt;=AZ$3+6),"▼",IF(AND($E26&gt;=AZ$3,$E26&lt;=AZ$3+6),$A26,"")))</f>
        <v/>
      </c>
      <c r="BA26" s="47" t="str">
        <f aca="false">IF($A26="","",IF(AND(INDEX(工程マスタ!$I$5:$I$154,$A26)="○",$E26&gt;=BA$3,$E26&lt;=BA$3+6),"▼",IF(AND($E26&gt;=BA$3,$E26&lt;=BA$3+6),$A26,"")))</f>
        <v/>
      </c>
      <c r="BB26" s="47" t="str">
        <f aca="false">IF($A26="","",IF(AND(INDEX(工程マスタ!$I$5:$I$154,$A26)="○",$E26&gt;=BB$3,$E26&lt;=BB$3+6),"▼",IF(AND($E26&gt;=BB$3,$E26&lt;=BB$3+6),$A26,"")))</f>
        <v/>
      </c>
      <c r="BC26" s="47" t="str">
        <f aca="false">IF($A26="","",IF(AND(INDEX(工程マスタ!$I$5:$I$154,$A26)="○",$E26&gt;=BC$3,$E26&lt;=BC$3+6),"▼",IF(AND($E26&gt;=BC$3,$E26&lt;=BC$3+6),$A26,"")))</f>
        <v/>
      </c>
      <c r="BD26" s="47" t="str">
        <f aca="false">IF($A26="","",IF(AND(INDEX(工程マスタ!$I$5:$I$154,$A26)="○",$E26&gt;=BD$3,$E26&lt;=BD$3+6),"▼",IF(AND($E26&gt;=BD$3,$E26&lt;=BD$3+6),$A26,"")))</f>
        <v/>
      </c>
      <c r="BE26" s="47" t="str">
        <f aca="false">IF($A26="","",IF(AND(INDEX(工程マスタ!$I$5:$I$154,$A26)="○",$E26&gt;=BE$3,$E26&lt;=BE$3+6),"▼",IF(AND($E26&gt;=BE$3,$E26&lt;=BE$3+6),$A26,"")))</f>
        <v/>
      </c>
      <c r="BF26" s="47" t="str">
        <f aca="false">IF($A26="","",IF(AND(INDEX(工程マスタ!$I$5:$I$154,$A26)="○",$E26&gt;=BF$3,$E26&lt;=BF$3+6),"▼",IF(AND($E26&gt;=BF$3,$E26&lt;=BF$3+6),$A26,"")))</f>
        <v/>
      </c>
      <c r="BG26" s="47" t="str">
        <f aca="false">IF($A26="","",IF(AND(INDEX(工程マスタ!$I$5:$I$154,$A26)="○",$E26&gt;=BG$3,$E26&lt;=BG$3+6),"▼",IF(AND($E26&gt;=BG$3,$E26&lt;=BG$3+6),$A26,"")))</f>
        <v/>
      </c>
      <c r="BH26" s="47" t="str">
        <f aca="false">IF($A26="","",IF(AND(INDEX(工程マスタ!$I$5:$I$154,$A26)="○",$E26&gt;=BH$3,$E26&lt;=BH$3+6),"▼",IF(AND($E26&gt;=BH$3,$E26&lt;=BH$3+6),$A26,"")))</f>
        <v/>
      </c>
      <c r="BI26" s="47" t="str">
        <f aca="false">IF($A26="","",IF(AND(INDEX(工程マスタ!$I$5:$I$154,$A26)="○",$E26&gt;=BI$3,$E26&lt;=BI$3+6),"▼",IF(AND($E26&gt;=BI$3,$E26&lt;=BI$3+6),$A26,"")))</f>
        <v/>
      </c>
      <c r="BJ26" s="47" t="str">
        <f aca="false">IF($A26="","",IF(AND(INDEX(工程マスタ!$I$5:$I$154,$A26)="○",$E26&gt;=BJ$3,$E26&lt;=BJ$3+6),"▼",IF(AND($E26&gt;=BJ$3,$E26&lt;=BJ$3+6),$A26,"")))</f>
        <v/>
      </c>
    </row>
    <row r="27" customFormat="false" ht="15" hidden="false" customHeight="false" outlineLevel="0" collapsed="false">
      <c r="A27" s="28" t="n">
        <f aca="false">IF(工程マスタ!$C25="","",工程マスタ!$A25)</f>
        <v>21</v>
      </c>
      <c r="B27" s="46" t="str">
        <f aca="false">IF($A27="","",工程マスタ!$C25)</f>
        <v>屋根・屋上防水</v>
      </c>
      <c r="C27" s="28" t="n">
        <f aca="false">IF($A27="","",MAX(1,工程マスタ!$G25))</f>
        <v>25</v>
      </c>
      <c r="D27" s="28" t="str">
        <f aca="false">IF($A27="","",_xlfn.TEXTJOIN(",",TRUE(),工程マスタ!$N25:$P25))</f>
        <v>20</v>
      </c>
      <c r="E27" s="29" t="n">
        <f aca="false">IF($A27="","",IF(COUNT(工程マスタ!$N25:$P25)=0,設定!$B$8,MAX(IF(工程マスタ!$N25="",0,INDEX($F$7:$F$156,工程マスタ!$N25)),IF(工程マスタ!$O25="",0,INDEX($F$7:$F$156,工程マスタ!$O25)),IF(工程マスタ!$P25="",0,INDEX($F$7:$F$156,工程マスタ!$P25)))+1))</f>
        <v>46407</v>
      </c>
      <c r="F27" s="29" t="n">
        <f aca="false">IF($A27="","",$E27+$C27-1)</f>
        <v>46431</v>
      </c>
      <c r="G27" s="29" t="n">
        <f aca="false">IF($A27="","",$H27-$C27+1)</f>
        <v>46444</v>
      </c>
      <c r="H27" s="29" t="n">
        <f aca="false" t="array" ref="H27:H27">IF($A27="","",IF(SUMPRODUCT((工程マスタ!$N$26:$N$154=$A27)*1)+SUMPRODUCT((工程マスタ!$O$26:$O$154=$A27)*1)+SUMPRODUCT((工程マスタ!$P$26:$P$154=$A27)*1)=0,MAX($F$7:$F$156),MIN(IF((工程マスタ!$N$26:$N$154=$A27)+(工程マスタ!$O$26:$O$154=$A27)+(工程マスタ!$P$26:$P$154=$A27),$G28:$G$156))-1))</f>
        <v>46468</v>
      </c>
      <c r="I27" s="28" t="n">
        <f aca="false">IF($A27="","",$G27-$E27)</f>
        <v>37</v>
      </c>
      <c r="J27" s="28" t="str">
        <f aca="false">IF($A27="","",IF($I27&lt;=0,"●",""))</f>
        <v/>
      </c>
      <c r="K27" s="47" t="str">
        <f aca="false">IF($A27="","",IF(AND(INDEX(工程マスタ!$I$5:$I$154,$A27)="○",$E27&gt;=K$3,$E27&lt;=K$3+6),"▼",IF(AND($E27&gt;=K$3,$E27&lt;=K$3+6),$A27,"")))</f>
        <v/>
      </c>
      <c r="L27" s="47" t="str">
        <f aca="false">IF($A27="","",IF(AND(INDEX(工程マスタ!$I$5:$I$154,$A27)="○",$E27&gt;=L$3,$E27&lt;=L$3+6),"▼",IF(AND($E27&gt;=L$3,$E27&lt;=L$3+6),$A27,"")))</f>
        <v/>
      </c>
      <c r="M27" s="47" t="str">
        <f aca="false">IF($A27="","",IF(AND(INDEX(工程マスタ!$I$5:$I$154,$A27)="○",$E27&gt;=M$3,$E27&lt;=M$3+6),"▼",IF(AND($E27&gt;=M$3,$E27&lt;=M$3+6),$A27,"")))</f>
        <v/>
      </c>
      <c r="N27" s="47" t="str">
        <f aca="false">IF($A27="","",IF(AND(INDEX(工程マスタ!$I$5:$I$154,$A27)="○",$E27&gt;=N$3,$E27&lt;=N$3+6),"▼",IF(AND($E27&gt;=N$3,$E27&lt;=N$3+6),$A27,"")))</f>
        <v/>
      </c>
      <c r="O27" s="47" t="str">
        <f aca="false">IF($A27="","",IF(AND(INDEX(工程マスタ!$I$5:$I$154,$A27)="○",$E27&gt;=O$3,$E27&lt;=O$3+6),"▼",IF(AND($E27&gt;=O$3,$E27&lt;=O$3+6),$A27,"")))</f>
        <v/>
      </c>
      <c r="P27" s="47" t="str">
        <f aca="false">IF($A27="","",IF(AND(INDEX(工程マスタ!$I$5:$I$154,$A27)="○",$E27&gt;=P$3,$E27&lt;=P$3+6),"▼",IF(AND($E27&gt;=P$3,$E27&lt;=P$3+6),$A27,"")))</f>
        <v/>
      </c>
      <c r="Q27" s="47" t="str">
        <f aca="false">IF($A27="","",IF(AND(INDEX(工程マスタ!$I$5:$I$154,$A27)="○",$E27&gt;=Q$3,$E27&lt;=Q$3+6),"▼",IF(AND($E27&gt;=Q$3,$E27&lt;=Q$3+6),$A27,"")))</f>
        <v/>
      </c>
      <c r="R27" s="47" t="str">
        <f aca="false">IF($A27="","",IF(AND(INDEX(工程マスタ!$I$5:$I$154,$A27)="○",$E27&gt;=R$3,$E27&lt;=R$3+6),"▼",IF(AND($E27&gt;=R$3,$E27&lt;=R$3+6),$A27,"")))</f>
        <v/>
      </c>
      <c r="S27" s="47" t="str">
        <f aca="false">IF($A27="","",IF(AND(INDEX(工程マスタ!$I$5:$I$154,$A27)="○",$E27&gt;=S$3,$E27&lt;=S$3+6),"▼",IF(AND($E27&gt;=S$3,$E27&lt;=S$3+6),$A27,"")))</f>
        <v/>
      </c>
      <c r="T27" s="47" t="str">
        <f aca="false">IF($A27="","",IF(AND(INDEX(工程マスタ!$I$5:$I$154,$A27)="○",$E27&gt;=T$3,$E27&lt;=T$3+6),"▼",IF(AND($E27&gt;=T$3,$E27&lt;=T$3+6),$A27,"")))</f>
        <v/>
      </c>
      <c r="U27" s="47" t="str">
        <f aca="false">IF($A27="","",IF(AND(INDEX(工程マスタ!$I$5:$I$154,$A27)="○",$E27&gt;=U$3,$E27&lt;=U$3+6),"▼",IF(AND($E27&gt;=U$3,$E27&lt;=U$3+6),$A27,"")))</f>
        <v/>
      </c>
      <c r="V27" s="47" t="str">
        <f aca="false">IF($A27="","",IF(AND(INDEX(工程マスタ!$I$5:$I$154,$A27)="○",$E27&gt;=V$3,$E27&lt;=V$3+6),"▼",IF(AND($E27&gt;=V$3,$E27&lt;=V$3+6),$A27,"")))</f>
        <v/>
      </c>
      <c r="W27" s="47" t="str">
        <f aca="false">IF($A27="","",IF(AND(INDEX(工程マスタ!$I$5:$I$154,$A27)="○",$E27&gt;=W$3,$E27&lt;=W$3+6),"▼",IF(AND($E27&gt;=W$3,$E27&lt;=W$3+6),$A27,"")))</f>
        <v/>
      </c>
      <c r="X27" s="47" t="str">
        <f aca="false">IF($A27="","",IF(AND(INDEX(工程マスタ!$I$5:$I$154,$A27)="○",$E27&gt;=X$3,$E27&lt;=X$3+6),"▼",IF(AND($E27&gt;=X$3,$E27&lt;=X$3+6),$A27,"")))</f>
        <v/>
      </c>
      <c r="Y27" s="47" t="str">
        <f aca="false">IF($A27="","",IF(AND(INDEX(工程マスタ!$I$5:$I$154,$A27)="○",$E27&gt;=Y$3,$E27&lt;=Y$3+6),"▼",IF(AND($E27&gt;=Y$3,$E27&lt;=Y$3+6),$A27,"")))</f>
        <v/>
      </c>
      <c r="Z27" s="47" t="str">
        <f aca="false">IF($A27="","",IF(AND(INDEX(工程マスタ!$I$5:$I$154,$A27)="○",$E27&gt;=Z$3,$E27&lt;=Z$3+6),"▼",IF(AND($E27&gt;=Z$3,$E27&lt;=Z$3+6),$A27,"")))</f>
        <v/>
      </c>
      <c r="AA27" s="47" t="str">
        <f aca="false">IF($A27="","",IF(AND(INDEX(工程マスタ!$I$5:$I$154,$A27)="○",$E27&gt;=AA$3,$E27&lt;=AA$3+6),"▼",IF(AND($E27&gt;=AA$3,$E27&lt;=AA$3+6),$A27,"")))</f>
        <v/>
      </c>
      <c r="AB27" s="47" t="str">
        <f aca="false">IF($A27="","",IF(AND(INDEX(工程マスタ!$I$5:$I$154,$A27)="○",$E27&gt;=AB$3,$E27&lt;=AB$3+6),"▼",IF(AND($E27&gt;=AB$3,$E27&lt;=AB$3+6),$A27,"")))</f>
        <v/>
      </c>
      <c r="AC27" s="47" t="str">
        <f aca="false">IF($A27="","",IF(AND(INDEX(工程マスタ!$I$5:$I$154,$A27)="○",$E27&gt;=AC$3,$E27&lt;=AC$3+6),"▼",IF(AND($E27&gt;=AC$3,$E27&lt;=AC$3+6),$A27,"")))</f>
        <v/>
      </c>
      <c r="AD27" s="47" t="str">
        <f aca="false">IF($A27="","",IF(AND(INDEX(工程マスタ!$I$5:$I$154,$A27)="○",$E27&gt;=AD$3,$E27&lt;=AD$3+6),"▼",IF(AND($E27&gt;=AD$3,$E27&lt;=AD$3+6),$A27,"")))</f>
        <v/>
      </c>
      <c r="AE27" s="47" t="str">
        <f aca="false">IF($A27="","",IF(AND(INDEX(工程マスタ!$I$5:$I$154,$A27)="○",$E27&gt;=AE$3,$E27&lt;=AE$3+6),"▼",IF(AND($E27&gt;=AE$3,$E27&lt;=AE$3+6),$A27,"")))</f>
        <v/>
      </c>
      <c r="AF27" s="47" t="str">
        <f aca="false">IF($A27="","",IF(AND(INDEX(工程マスタ!$I$5:$I$154,$A27)="○",$E27&gt;=AF$3,$E27&lt;=AF$3+6),"▼",IF(AND($E27&gt;=AF$3,$E27&lt;=AF$3+6),$A27,"")))</f>
        <v/>
      </c>
      <c r="AG27" s="47" t="str">
        <f aca="false">IF($A27="","",IF(AND(INDEX(工程マスタ!$I$5:$I$154,$A27)="○",$E27&gt;=AG$3,$E27&lt;=AG$3+6),"▼",IF(AND($E27&gt;=AG$3,$E27&lt;=AG$3+6),$A27,"")))</f>
        <v/>
      </c>
      <c r="AH27" s="47" t="str">
        <f aca="false">IF($A27="","",IF(AND(INDEX(工程マスタ!$I$5:$I$154,$A27)="○",$E27&gt;=AH$3,$E27&lt;=AH$3+6),"▼",IF(AND($E27&gt;=AH$3,$E27&lt;=AH$3+6),$A27,"")))</f>
        <v/>
      </c>
      <c r="AI27" s="47" t="str">
        <f aca="false">IF($A27="","",IF(AND(INDEX(工程マスタ!$I$5:$I$154,$A27)="○",$E27&gt;=AI$3,$E27&lt;=AI$3+6),"▼",IF(AND($E27&gt;=AI$3,$E27&lt;=AI$3+6),$A27,"")))</f>
        <v/>
      </c>
      <c r="AJ27" s="47" t="str">
        <f aca="false">IF($A27="","",IF(AND(INDEX(工程マスタ!$I$5:$I$154,$A27)="○",$E27&gt;=AJ$3,$E27&lt;=AJ$3+6),"▼",IF(AND($E27&gt;=AJ$3,$E27&lt;=AJ$3+6),$A27,"")))</f>
        <v/>
      </c>
      <c r="AK27" s="47" t="str">
        <f aca="false">IF($A27="","",IF(AND(INDEX(工程マスタ!$I$5:$I$154,$A27)="○",$E27&gt;=AK$3,$E27&lt;=AK$3+6),"▼",IF(AND($E27&gt;=AK$3,$E27&lt;=AK$3+6),$A27,"")))</f>
        <v/>
      </c>
      <c r="AL27" s="47" t="str">
        <f aca="false">IF($A27="","",IF(AND(INDEX(工程マスタ!$I$5:$I$154,$A27)="○",$E27&gt;=AL$3,$E27&lt;=AL$3+6),"▼",IF(AND($E27&gt;=AL$3,$E27&lt;=AL$3+6),$A27,"")))</f>
        <v/>
      </c>
      <c r="AM27" s="47" t="str">
        <f aca="false">IF($A27="","",IF(AND(INDEX(工程マスタ!$I$5:$I$154,$A27)="○",$E27&gt;=AM$3,$E27&lt;=AM$3+6),"▼",IF(AND($E27&gt;=AM$3,$E27&lt;=AM$3+6),$A27,"")))</f>
        <v/>
      </c>
      <c r="AN27" s="47" t="n">
        <f aca="false">IF($A27="","",IF(AND(INDEX(工程マスタ!$I$5:$I$154,$A27)="○",$E27&gt;=AN$3,$E27&lt;=AN$3+6),"▼",IF(AND($E27&gt;=AN$3,$E27&lt;=AN$3+6),$A27,"")))</f>
        <v>21</v>
      </c>
      <c r="AO27" s="47" t="str">
        <f aca="false">IF($A27="","",IF(AND(INDEX(工程マスタ!$I$5:$I$154,$A27)="○",$E27&gt;=AO$3,$E27&lt;=AO$3+6),"▼",IF(AND($E27&gt;=AO$3,$E27&lt;=AO$3+6),$A27,"")))</f>
        <v/>
      </c>
      <c r="AP27" s="47" t="str">
        <f aca="false">IF($A27="","",IF(AND(INDEX(工程マスタ!$I$5:$I$154,$A27)="○",$E27&gt;=AP$3,$E27&lt;=AP$3+6),"▼",IF(AND($E27&gt;=AP$3,$E27&lt;=AP$3+6),$A27,"")))</f>
        <v/>
      </c>
      <c r="AQ27" s="47" t="str">
        <f aca="false">IF($A27="","",IF(AND(INDEX(工程マスタ!$I$5:$I$154,$A27)="○",$E27&gt;=AQ$3,$E27&lt;=AQ$3+6),"▼",IF(AND($E27&gt;=AQ$3,$E27&lt;=AQ$3+6),$A27,"")))</f>
        <v/>
      </c>
      <c r="AR27" s="47" t="str">
        <f aca="false">IF($A27="","",IF(AND(INDEX(工程マスタ!$I$5:$I$154,$A27)="○",$E27&gt;=AR$3,$E27&lt;=AR$3+6),"▼",IF(AND($E27&gt;=AR$3,$E27&lt;=AR$3+6),$A27,"")))</f>
        <v/>
      </c>
      <c r="AS27" s="47" t="str">
        <f aca="false">IF($A27="","",IF(AND(INDEX(工程マスタ!$I$5:$I$154,$A27)="○",$E27&gt;=AS$3,$E27&lt;=AS$3+6),"▼",IF(AND($E27&gt;=AS$3,$E27&lt;=AS$3+6),$A27,"")))</f>
        <v/>
      </c>
      <c r="AT27" s="47" t="str">
        <f aca="false">IF($A27="","",IF(AND(INDEX(工程マスタ!$I$5:$I$154,$A27)="○",$E27&gt;=AT$3,$E27&lt;=AT$3+6),"▼",IF(AND($E27&gt;=AT$3,$E27&lt;=AT$3+6),$A27,"")))</f>
        <v/>
      </c>
      <c r="AU27" s="47" t="str">
        <f aca="false">IF($A27="","",IF(AND(INDEX(工程マスタ!$I$5:$I$154,$A27)="○",$E27&gt;=AU$3,$E27&lt;=AU$3+6),"▼",IF(AND($E27&gt;=AU$3,$E27&lt;=AU$3+6),$A27,"")))</f>
        <v/>
      </c>
      <c r="AV27" s="47" t="str">
        <f aca="false">IF($A27="","",IF(AND(INDEX(工程マスタ!$I$5:$I$154,$A27)="○",$E27&gt;=AV$3,$E27&lt;=AV$3+6),"▼",IF(AND($E27&gt;=AV$3,$E27&lt;=AV$3+6),$A27,"")))</f>
        <v/>
      </c>
      <c r="AW27" s="47" t="str">
        <f aca="false">IF($A27="","",IF(AND(INDEX(工程マスタ!$I$5:$I$154,$A27)="○",$E27&gt;=AW$3,$E27&lt;=AW$3+6),"▼",IF(AND($E27&gt;=AW$3,$E27&lt;=AW$3+6),$A27,"")))</f>
        <v/>
      </c>
      <c r="AX27" s="47" t="str">
        <f aca="false">IF($A27="","",IF(AND(INDEX(工程マスタ!$I$5:$I$154,$A27)="○",$E27&gt;=AX$3,$E27&lt;=AX$3+6),"▼",IF(AND($E27&gt;=AX$3,$E27&lt;=AX$3+6),$A27,"")))</f>
        <v/>
      </c>
      <c r="AY27" s="47" t="str">
        <f aca="false">IF($A27="","",IF(AND(INDEX(工程マスタ!$I$5:$I$154,$A27)="○",$E27&gt;=AY$3,$E27&lt;=AY$3+6),"▼",IF(AND($E27&gt;=AY$3,$E27&lt;=AY$3+6),$A27,"")))</f>
        <v/>
      </c>
      <c r="AZ27" s="47" t="str">
        <f aca="false">IF($A27="","",IF(AND(INDEX(工程マスタ!$I$5:$I$154,$A27)="○",$E27&gt;=AZ$3,$E27&lt;=AZ$3+6),"▼",IF(AND($E27&gt;=AZ$3,$E27&lt;=AZ$3+6),$A27,"")))</f>
        <v/>
      </c>
      <c r="BA27" s="47" t="str">
        <f aca="false">IF($A27="","",IF(AND(INDEX(工程マスタ!$I$5:$I$154,$A27)="○",$E27&gt;=BA$3,$E27&lt;=BA$3+6),"▼",IF(AND($E27&gt;=BA$3,$E27&lt;=BA$3+6),$A27,"")))</f>
        <v/>
      </c>
      <c r="BB27" s="47" t="str">
        <f aca="false">IF($A27="","",IF(AND(INDEX(工程マスタ!$I$5:$I$154,$A27)="○",$E27&gt;=BB$3,$E27&lt;=BB$3+6),"▼",IF(AND($E27&gt;=BB$3,$E27&lt;=BB$3+6),$A27,"")))</f>
        <v/>
      </c>
      <c r="BC27" s="47" t="str">
        <f aca="false">IF($A27="","",IF(AND(INDEX(工程マスタ!$I$5:$I$154,$A27)="○",$E27&gt;=BC$3,$E27&lt;=BC$3+6),"▼",IF(AND($E27&gt;=BC$3,$E27&lt;=BC$3+6),$A27,"")))</f>
        <v/>
      </c>
      <c r="BD27" s="47" t="str">
        <f aca="false">IF($A27="","",IF(AND(INDEX(工程マスタ!$I$5:$I$154,$A27)="○",$E27&gt;=BD$3,$E27&lt;=BD$3+6),"▼",IF(AND($E27&gt;=BD$3,$E27&lt;=BD$3+6),$A27,"")))</f>
        <v/>
      </c>
      <c r="BE27" s="47" t="str">
        <f aca="false">IF($A27="","",IF(AND(INDEX(工程マスタ!$I$5:$I$154,$A27)="○",$E27&gt;=BE$3,$E27&lt;=BE$3+6),"▼",IF(AND($E27&gt;=BE$3,$E27&lt;=BE$3+6),$A27,"")))</f>
        <v/>
      </c>
      <c r="BF27" s="47" t="str">
        <f aca="false">IF($A27="","",IF(AND(INDEX(工程マスタ!$I$5:$I$154,$A27)="○",$E27&gt;=BF$3,$E27&lt;=BF$3+6),"▼",IF(AND($E27&gt;=BF$3,$E27&lt;=BF$3+6),$A27,"")))</f>
        <v/>
      </c>
      <c r="BG27" s="47" t="str">
        <f aca="false">IF($A27="","",IF(AND(INDEX(工程マスタ!$I$5:$I$154,$A27)="○",$E27&gt;=BG$3,$E27&lt;=BG$3+6),"▼",IF(AND($E27&gt;=BG$3,$E27&lt;=BG$3+6),$A27,"")))</f>
        <v/>
      </c>
      <c r="BH27" s="47" t="str">
        <f aca="false">IF($A27="","",IF(AND(INDEX(工程マスタ!$I$5:$I$154,$A27)="○",$E27&gt;=BH$3,$E27&lt;=BH$3+6),"▼",IF(AND($E27&gt;=BH$3,$E27&lt;=BH$3+6),$A27,"")))</f>
        <v/>
      </c>
      <c r="BI27" s="47" t="str">
        <f aca="false">IF($A27="","",IF(AND(INDEX(工程マスタ!$I$5:$I$154,$A27)="○",$E27&gt;=BI$3,$E27&lt;=BI$3+6),"▼",IF(AND($E27&gt;=BI$3,$E27&lt;=BI$3+6),$A27,"")))</f>
        <v/>
      </c>
      <c r="BJ27" s="47" t="str">
        <f aca="false">IF($A27="","",IF(AND(INDEX(工程マスタ!$I$5:$I$154,$A27)="○",$E27&gt;=BJ$3,$E27&lt;=BJ$3+6),"▼",IF(AND($E27&gt;=BJ$3,$E27&lt;=BJ$3+6),$A27,"")))</f>
        <v/>
      </c>
    </row>
    <row r="28" customFormat="false" ht="15" hidden="false" customHeight="false" outlineLevel="0" collapsed="false">
      <c r="A28" s="28" t="n">
        <f aca="false">IF(工程マスタ!$C26="","",工程マスタ!$A26)</f>
        <v>22</v>
      </c>
      <c r="B28" s="46" t="str">
        <f aca="false">IF($A28="","",工程マスタ!$C26)</f>
        <v>外壁下地・胴縁</v>
      </c>
      <c r="C28" s="28" t="n">
        <f aca="false">IF($A28="","",MAX(1,工程マスタ!$G26))</f>
        <v>19</v>
      </c>
      <c r="D28" s="28" t="str">
        <f aca="false">IF($A28="","",_xlfn.TEXTJOIN(",",TRUE(),工程マスタ!$N26:$P26))</f>
        <v>20</v>
      </c>
      <c r="E28" s="29" t="n">
        <f aca="false">IF($A28="","",IF(COUNT(工程マスタ!$N26:$P26)=0,設定!$B$8,MAX(IF(工程マスタ!$N26="",0,INDEX($F$7:$F$156,工程マスタ!$N26)),IF(工程マスタ!$O26="",0,INDEX($F$7:$F$156,工程マスタ!$O26)),IF(工程マスタ!$P26="",0,INDEX($F$7:$F$156,工程マスタ!$P26)))+1))</f>
        <v>46407</v>
      </c>
      <c r="F28" s="29" t="n">
        <f aca="false">IF($A28="","",$E28+$C28-1)</f>
        <v>46425</v>
      </c>
      <c r="G28" s="29" t="n">
        <f aca="false">IF($A28="","",$H28-$C28+1)</f>
        <v>46452</v>
      </c>
      <c r="H28" s="29" t="n">
        <f aca="false" t="array" ref="H28:H28">IF($A28="","",IF(SUMPRODUCT((工程マスタ!$N$27:$N$154=$A28)*1)+SUMPRODUCT((工程マスタ!$O$27:$O$154=$A28)*1)+SUMPRODUCT((工程マスタ!$P$27:$P$154=$A28)*1)=0,MAX($F$7:$F$156),MIN(IF((工程マスタ!$N$27:$N$154=$A28)+(工程マスタ!$O$27:$O$154=$A28)+(工程マスタ!$P$27:$P$154=$A28),$G29:$G$156))-1))</f>
        <v>46470</v>
      </c>
      <c r="I28" s="28" t="n">
        <f aca="false">IF($A28="","",$G28-$E28)</f>
        <v>45</v>
      </c>
      <c r="J28" s="28" t="str">
        <f aca="false">IF($A28="","",IF($I28&lt;=0,"●",""))</f>
        <v/>
      </c>
      <c r="K28" s="47" t="str">
        <f aca="false">IF($A28="","",IF(AND(INDEX(工程マスタ!$I$5:$I$154,$A28)="○",$E28&gt;=K$3,$E28&lt;=K$3+6),"▼",IF(AND($E28&gt;=K$3,$E28&lt;=K$3+6),$A28,"")))</f>
        <v/>
      </c>
      <c r="L28" s="47" t="str">
        <f aca="false">IF($A28="","",IF(AND(INDEX(工程マスタ!$I$5:$I$154,$A28)="○",$E28&gt;=L$3,$E28&lt;=L$3+6),"▼",IF(AND($E28&gt;=L$3,$E28&lt;=L$3+6),$A28,"")))</f>
        <v/>
      </c>
      <c r="M28" s="47" t="str">
        <f aca="false">IF($A28="","",IF(AND(INDEX(工程マスタ!$I$5:$I$154,$A28)="○",$E28&gt;=M$3,$E28&lt;=M$3+6),"▼",IF(AND($E28&gt;=M$3,$E28&lt;=M$3+6),$A28,"")))</f>
        <v/>
      </c>
      <c r="N28" s="47" t="str">
        <f aca="false">IF($A28="","",IF(AND(INDEX(工程マスタ!$I$5:$I$154,$A28)="○",$E28&gt;=N$3,$E28&lt;=N$3+6),"▼",IF(AND($E28&gt;=N$3,$E28&lt;=N$3+6),$A28,"")))</f>
        <v/>
      </c>
      <c r="O28" s="47" t="str">
        <f aca="false">IF($A28="","",IF(AND(INDEX(工程マスタ!$I$5:$I$154,$A28)="○",$E28&gt;=O$3,$E28&lt;=O$3+6),"▼",IF(AND($E28&gt;=O$3,$E28&lt;=O$3+6),$A28,"")))</f>
        <v/>
      </c>
      <c r="P28" s="47" t="str">
        <f aca="false">IF($A28="","",IF(AND(INDEX(工程マスタ!$I$5:$I$154,$A28)="○",$E28&gt;=P$3,$E28&lt;=P$3+6),"▼",IF(AND($E28&gt;=P$3,$E28&lt;=P$3+6),$A28,"")))</f>
        <v/>
      </c>
      <c r="Q28" s="47" t="str">
        <f aca="false">IF($A28="","",IF(AND(INDEX(工程マスタ!$I$5:$I$154,$A28)="○",$E28&gt;=Q$3,$E28&lt;=Q$3+6),"▼",IF(AND($E28&gt;=Q$3,$E28&lt;=Q$3+6),$A28,"")))</f>
        <v/>
      </c>
      <c r="R28" s="47" t="str">
        <f aca="false">IF($A28="","",IF(AND(INDEX(工程マスタ!$I$5:$I$154,$A28)="○",$E28&gt;=R$3,$E28&lt;=R$3+6),"▼",IF(AND($E28&gt;=R$3,$E28&lt;=R$3+6),$A28,"")))</f>
        <v/>
      </c>
      <c r="S28" s="47" t="str">
        <f aca="false">IF($A28="","",IF(AND(INDEX(工程マスタ!$I$5:$I$154,$A28)="○",$E28&gt;=S$3,$E28&lt;=S$3+6),"▼",IF(AND($E28&gt;=S$3,$E28&lt;=S$3+6),$A28,"")))</f>
        <v/>
      </c>
      <c r="T28" s="47" t="str">
        <f aca="false">IF($A28="","",IF(AND(INDEX(工程マスタ!$I$5:$I$154,$A28)="○",$E28&gt;=T$3,$E28&lt;=T$3+6),"▼",IF(AND($E28&gt;=T$3,$E28&lt;=T$3+6),$A28,"")))</f>
        <v/>
      </c>
      <c r="U28" s="47" t="str">
        <f aca="false">IF($A28="","",IF(AND(INDEX(工程マスタ!$I$5:$I$154,$A28)="○",$E28&gt;=U$3,$E28&lt;=U$3+6),"▼",IF(AND($E28&gt;=U$3,$E28&lt;=U$3+6),$A28,"")))</f>
        <v/>
      </c>
      <c r="V28" s="47" t="str">
        <f aca="false">IF($A28="","",IF(AND(INDEX(工程マスタ!$I$5:$I$154,$A28)="○",$E28&gt;=V$3,$E28&lt;=V$3+6),"▼",IF(AND($E28&gt;=V$3,$E28&lt;=V$3+6),$A28,"")))</f>
        <v/>
      </c>
      <c r="W28" s="47" t="str">
        <f aca="false">IF($A28="","",IF(AND(INDEX(工程マスタ!$I$5:$I$154,$A28)="○",$E28&gt;=W$3,$E28&lt;=W$3+6),"▼",IF(AND($E28&gt;=W$3,$E28&lt;=W$3+6),$A28,"")))</f>
        <v/>
      </c>
      <c r="X28" s="47" t="str">
        <f aca="false">IF($A28="","",IF(AND(INDEX(工程マスタ!$I$5:$I$154,$A28)="○",$E28&gt;=X$3,$E28&lt;=X$3+6),"▼",IF(AND($E28&gt;=X$3,$E28&lt;=X$3+6),$A28,"")))</f>
        <v/>
      </c>
      <c r="Y28" s="47" t="str">
        <f aca="false">IF($A28="","",IF(AND(INDEX(工程マスタ!$I$5:$I$154,$A28)="○",$E28&gt;=Y$3,$E28&lt;=Y$3+6),"▼",IF(AND($E28&gt;=Y$3,$E28&lt;=Y$3+6),$A28,"")))</f>
        <v/>
      </c>
      <c r="Z28" s="47" t="str">
        <f aca="false">IF($A28="","",IF(AND(INDEX(工程マスタ!$I$5:$I$154,$A28)="○",$E28&gt;=Z$3,$E28&lt;=Z$3+6),"▼",IF(AND($E28&gt;=Z$3,$E28&lt;=Z$3+6),$A28,"")))</f>
        <v/>
      </c>
      <c r="AA28" s="47" t="str">
        <f aca="false">IF($A28="","",IF(AND(INDEX(工程マスタ!$I$5:$I$154,$A28)="○",$E28&gt;=AA$3,$E28&lt;=AA$3+6),"▼",IF(AND($E28&gt;=AA$3,$E28&lt;=AA$3+6),$A28,"")))</f>
        <v/>
      </c>
      <c r="AB28" s="47" t="str">
        <f aca="false">IF($A28="","",IF(AND(INDEX(工程マスタ!$I$5:$I$154,$A28)="○",$E28&gt;=AB$3,$E28&lt;=AB$3+6),"▼",IF(AND($E28&gt;=AB$3,$E28&lt;=AB$3+6),$A28,"")))</f>
        <v/>
      </c>
      <c r="AC28" s="47" t="str">
        <f aca="false">IF($A28="","",IF(AND(INDEX(工程マスタ!$I$5:$I$154,$A28)="○",$E28&gt;=AC$3,$E28&lt;=AC$3+6),"▼",IF(AND($E28&gt;=AC$3,$E28&lt;=AC$3+6),$A28,"")))</f>
        <v/>
      </c>
      <c r="AD28" s="47" t="str">
        <f aca="false">IF($A28="","",IF(AND(INDEX(工程マスタ!$I$5:$I$154,$A28)="○",$E28&gt;=AD$3,$E28&lt;=AD$3+6),"▼",IF(AND($E28&gt;=AD$3,$E28&lt;=AD$3+6),$A28,"")))</f>
        <v/>
      </c>
      <c r="AE28" s="47" t="str">
        <f aca="false">IF($A28="","",IF(AND(INDEX(工程マスタ!$I$5:$I$154,$A28)="○",$E28&gt;=AE$3,$E28&lt;=AE$3+6),"▼",IF(AND($E28&gt;=AE$3,$E28&lt;=AE$3+6),$A28,"")))</f>
        <v/>
      </c>
      <c r="AF28" s="47" t="str">
        <f aca="false">IF($A28="","",IF(AND(INDEX(工程マスタ!$I$5:$I$154,$A28)="○",$E28&gt;=AF$3,$E28&lt;=AF$3+6),"▼",IF(AND($E28&gt;=AF$3,$E28&lt;=AF$3+6),$A28,"")))</f>
        <v/>
      </c>
      <c r="AG28" s="47" t="str">
        <f aca="false">IF($A28="","",IF(AND(INDEX(工程マスタ!$I$5:$I$154,$A28)="○",$E28&gt;=AG$3,$E28&lt;=AG$3+6),"▼",IF(AND($E28&gt;=AG$3,$E28&lt;=AG$3+6),$A28,"")))</f>
        <v/>
      </c>
      <c r="AH28" s="47" t="str">
        <f aca="false">IF($A28="","",IF(AND(INDEX(工程マスタ!$I$5:$I$154,$A28)="○",$E28&gt;=AH$3,$E28&lt;=AH$3+6),"▼",IF(AND($E28&gt;=AH$3,$E28&lt;=AH$3+6),$A28,"")))</f>
        <v/>
      </c>
      <c r="AI28" s="47" t="str">
        <f aca="false">IF($A28="","",IF(AND(INDEX(工程マスタ!$I$5:$I$154,$A28)="○",$E28&gt;=AI$3,$E28&lt;=AI$3+6),"▼",IF(AND($E28&gt;=AI$3,$E28&lt;=AI$3+6),$A28,"")))</f>
        <v/>
      </c>
      <c r="AJ28" s="47" t="str">
        <f aca="false">IF($A28="","",IF(AND(INDEX(工程マスタ!$I$5:$I$154,$A28)="○",$E28&gt;=AJ$3,$E28&lt;=AJ$3+6),"▼",IF(AND($E28&gt;=AJ$3,$E28&lt;=AJ$3+6),$A28,"")))</f>
        <v/>
      </c>
      <c r="AK28" s="47" t="str">
        <f aca="false">IF($A28="","",IF(AND(INDEX(工程マスタ!$I$5:$I$154,$A28)="○",$E28&gt;=AK$3,$E28&lt;=AK$3+6),"▼",IF(AND($E28&gt;=AK$3,$E28&lt;=AK$3+6),$A28,"")))</f>
        <v/>
      </c>
      <c r="AL28" s="47" t="str">
        <f aca="false">IF($A28="","",IF(AND(INDEX(工程マスタ!$I$5:$I$154,$A28)="○",$E28&gt;=AL$3,$E28&lt;=AL$3+6),"▼",IF(AND($E28&gt;=AL$3,$E28&lt;=AL$3+6),$A28,"")))</f>
        <v/>
      </c>
      <c r="AM28" s="47" t="str">
        <f aca="false">IF($A28="","",IF(AND(INDEX(工程マスタ!$I$5:$I$154,$A28)="○",$E28&gt;=AM$3,$E28&lt;=AM$3+6),"▼",IF(AND($E28&gt;=AM$3,$E28&lt;=AM$3+6),$A28,"")))</f>
        <v/>
      </c>
      <c r="AN28" s="47" t="n">
        <f aca="false">IF($A28="","",IF(AND(INDEX(工程マスタ!$I$5:$I$154,$A28)="○",$E28&gt;=AN$3,$E28&lt;=AN$3+6),"▼",IF(AND($E28&gt;=AN$3,$E28&lt;=AN$3+6),$A28,"")))</f>
        <v>22</v>
      </c>
      <c r="AO28" s="47" t="str">
        <f aca="false">IF($A28="","",IF(AND(INDEX(工程マスタ!$I$5:$I$154,$A28)="○",$E28&gt;=AO$3,$E28&lt;=AO$3+6),"▼",IF(AND($E28&gt;=AO$3,$E28&lt;=AO$3+6),$A28,"")))</f>
        <v/>
      </c>
      <c r="AP28" s="47" t="str">
        <f aca="false">IF($A28="","",IF(AND(INDEX(工程マスタ!$I$5:$I$154,$A28)="○",$E28&gt;=AP$3,$E28&lt;=AP$3+6),"▼",IF(AND($E28&gt;=AP$3,$E28&lt;=AP$3+6),$A28,"")))</f>
        <v/>
      </c>
      <c r="AQ28" s="47" t="str">
        <f aca="false">IF($A28="","",IF(AND(INDEX(工程マスタ!$I$5:$I$154,$A28)="○",$E28&gt;=AQ$3,$E28&lt;=AQ$3+6),"▼",IF(AND($E28&gt;=AQ$3,$E28&lt;=AQ$3+6),$A28,"")))</f>
        <v/>
      </c>
      <c r="AR28" s="47" t="str">
        <f aca="false">IF($A28="","",IF(AND(INDEX(工程マスタ!$I$5:$I$154,$A28)="○",$E28&gt;=AR$3,$E28&lt;=AR$3+6),"▼",IF(AND($E28&gt;=AR$3,$E28&lt;=AR$3+6),$A28,"")))</f>
        <v/>
      </c>
      <c r="AS28" s="47" t="str">
        <f aca="false">IF($A28="","",IF(AND(INDEX(工程マスタ!$I$5:$I$154,$A28)="○",$E28&gt;=AS$3,$E28&lt;=AS$3+6),"▼",IF(AND($E28&gt;=AS$3,$E28&lt;=AS$3+6),$A28,"")))</f>
        <v/>
      </c>
      <c r="AT28" s="47" t="str">
        <f aca="false">IF($A28="","",IF(AND(INDEX(工程マスタ!$I$5:$I$154,$A28)="○",$E28&gt;=AT$3,$E28&lt;=AT$3+6),"▼",IF(AND($E28&gt;=AT$3,$E28&lt;=AT$3+6),$A28,"")))</f>
        <v/>
      </c>
      <c r="AU28" s="47" t="str">
        <f aca="false">IF($A28="","",IF(AND(INDEX(工程マスタ!$I$5:$I$154,$A28)="○",$E28&gt;=AU$3,$E28&lt;=AU$3+6),"▼",IF(AND($E28&gt;=AU$3,$E28&lt;=AU$3+6),$A28,"")))</f>
        <v/>
      </c>
      <c r="AV28" s="47" t="str">
        <f aca="false">IF($A28="","",IF(AND(INDEX(工程マスタ!$I$5:$I$154,$A28)="○",$E28&gt;=AV$3,$E28&lt;=AV$3+6),"▼",IF(AND($E28&gt;=AV$3,$E28&lt;=AV$3+6),$A28,"")))</f>
        <v/>
      </c>
      <c r="AW28" s="47" t="str">
        <f aca="false">IF($A28="","",IF(AND(INDEX(工程マスタ!$I$5:$I$154,$A28)="○",$E28&gt;=AW$3,$E28&lt;=AW$3+6),"▼",IF(AND($E28&gt;=AW$3,$E28&lt;=AW$3+6),$A28,"")))</f>
        <v/>
      </c>
      <c r="AX28" s="47" t="str">
        <f aca="false">IF($A28="","",IF(AND(INDEX(工程マスタ!$I$5:$I$154,$A28)="○",$E28&gt;=AX$3,$E28&lt;=AX$3+6),"▼",IF(AND($E28&gt;=AX$3,$E28&lt;=AX$3+6),$A28,"")))</f>
        <v/>
      </c>
      <c r="AY28" s="47" t="str">
        <f aca="false">IF($A28="","",IF(AND(INDEX(工程マスタ!$I$5:$I$154,$A28)="○",$E28&gt;=AY$3,$E28&lt;=AY$3+6),"▼",IF(AND($E28&gt;=AY$3,$E28&lt;=AY$3+6),$A28,"")))</f>
        <v/>
      </c>
      <c r="AZ28" s="47" t="str">
        <f aca="false">IF($A28="","",IF(AND(INDEX(工程マスタ!$I$5:$I$154,$A28)="○",$E28&gt;=AZ$3,$E28&lt;=AZ$3+6),"▼",IF(AND($E28&gt;=AZ$3,$E28&lt;=AZ$3+6),$A28,"")))</f>
        <v/>
      </c>
      <c r="BA28" s="47" t="str">
        <f aca="false">IF($A28="","",IF(AND(INDEX(工程マスタ!$I$5:$I$154,$A28)="○",$E28&gt;=BA$3,$E28&lt;=BA$3+6),"▼",IF(AND($E28&gt;=BA$3,$E28&lt;=BA$3+6),$A28,"")))</f>
        <v/>
      </c>
      <c r="BB28" s="47" t="str">
        <f aca="false">IF($A28="","",IF(AND(INDEX(工程マスタ!$I$5:$I$154,$A28)="○",$E28&gt;=BB$3,$E28&lt;=BB$3+6),"▼",IF(AND($E28&gt;=BB$3,$E28&lt;=BB$3+6),$A28,"")))</f>
        <v/>
      </c>
      <c r="BC28" s="47" t="str">
        <f aca="false">IF($A28="","",IF(AND(INDEX(工程マスタ!$I$5:$I$154,$A28)="○",$E28&gt;=BC$3,$E28&lt;=BC$3+6),"▼",IF(AND($E28&gt;=BC$3,$E28&lt;=BC$3+6),$A28,"")))</f>
        <v/>
      </c>
      <c r="BD28" s="47" t="str">
        <f aca="false">IF($A28="","",IF(AND(INDEX(工程マスタ!$I$5:$I$154,$A28)="○",$E28&gt;=BD$3,$E28&lt;=BD$3+6),"▼",IF(AND($E28&gt;=BD$3,$E28&lt;=BD$3+6),$A28,"")))</f>
        <v/>
      </c>
      <c r="BE28" s="47" t="str">
        <f aca="false">IF($A28="","",IF(AND(INDEX(工程マスタ!$I$5:$I$154,$A28)="○",$E28&gt;=BE$3,$E28&lt;=BE$3+6),"▼",IF(AND($E28&gt;=BE$3,$E28&lt;=BE$3+6),$A28,"")))</f>
        <v/>
      </c>
      <c r="BF28" s="47" t="str">
        <f aca="false">IF($A28="","",IF(AND(INDEX(工程マスタ!$I$5:$I$154,$A28)="○",$E28&gt;=BF$3,$E28&lt;=BF$3+6),"▼",IF(AND($E28&gt;=BF$3,$E28&lt;=BF$3+6),$A28,"")))</f>
        <v/>
      </c>
      <c r="BG28" s="47" t="str">
        <f aca="false">IF($A28="","",IF(AND(INDEX(工程マスタ!$I$5:$I$154,$A28)="○",$E28&gt;=BG$3,$E28&lt;=BG$3+6),"▼",IF(AND($E28&gt;=BG$3,$E28&lt;=BG$3+6),$A28,"")))</f>
        <v/>
      </c>
      <c r="BH28" s="47" t="str">
        <f aca="false">IF($A28="","",IF(AND(INDEX(工程マスタ!$I$5:$I$154,$A28)="○",$E28&gt;=BH$3,$E28&lt;=BH$3+6),"▼",IF(AND($E28&gt;=BH$3,$E28&lt;=BH$3+6),$A28,"")))</f>
        <v/>
      </c>
      <c r="BI28" s="47" t="str">
        <f aca="false">IF($A28="","",IF(AND(INDEX(工程マスタ!$I$5:$I$154,$A28)="○",$E28&gt;=BI$3,$E28&lt;=BI$3+6),"▼",IF(AND($E28&gt;=BI$3,$E28&lt;=BI$3+6),$A28,"")))</f>
        <v/>
      </c>
      <c r="BJ28" s="47" t="str">
        <f aca="false">IF($A28="","",IF(AND(INDEX(工程マスタ!$I$5:$I$154,$A28)="○",$E28&gt;=BJ$3,$E28&lt;=BJ$3+6),"▼",IF(AND($E28&gt;=BJ$3,$E28&lt;=BJ$3+6),$A28,"")))</f>
        <v/>
      </c>
    </row>
    <row r="29" customFormat="false" ht="15" hidden="false" customHeight="false" outlineLevel="0" collapsed="false">
      <c r="A29" s="28" t="n">
        <f aca="false">IF(工程マスタ!$C27="","",工程マスタ!$A27)</f>
        <v>23</v>
      </c>
      <c r="B29" s="46" t="str">
        <f aca="false">IF($A29="","",工程マスタ!$C27)</f>
        <v>外壁パネル(ALC)取付</v>
      </c>
      <c r="C29" s="28" t="n">
        <f aca="false">IF($A29="","",MAX(1,工程マスタ!$G27))</f>
        <v>26</v>
      </c>
      <c r="D29" s="28" t="str">
        <f aca="false">IF($A29="","",_xlfn.TEXTJOIN(",",TRUE(),工程マスタ!$N27:$P27))</f>
        <v>22</v>
      </c>
      <c r="E29" s="29" t="n">
        <f aca="false">IF($A29="","",IF(COUNT(工程マスタ!$N27:$P27)=0,設定!$B$8,MAX(IF(工程マスタ!$N27="",0,INDEX($F$7:$F$156,工程マスタ!$N27)),IF(工程マスタ!$O27="",0,INDEX($F$7:$F$156,工程マスタ!$O27)),IF(工程マスタ!$P27="",0,INDEX($F$7:$F$156,工程マスタ!$P27)))+1))</f>
        <v>46426</v>
      </c>
      <c r="F29" s="29" t="n">
        <f aca="false">IF($A29="","",$E29+$C29-1)</f>
        <v>46451</v>
      </c>
      <c r="G29" s="29" t="n">
        <f aca="false">IF($A29="","",$H29-$C29+1)</f>
        <v>46471</v>
      </c>
      <c r="H29" s="29" t="n">
        <f aca="false" t="array" ref="H29:H29">IF($A29="","",IF(SUMPRODUCT((工程マスタ!$N$28:$N$154=$A29)*1)+SUMPRODUCT((工程マスタ!$O$28:$O$154=$A29)*1)+SUMPRODUCT((工程マスタ!$P$28:$P$154=$A29)*1)=0,MAX($F$7:$F$156),MIN(IF((工程マスタ!$N$28:$N$154=$A29)+(工程マスタ!$O$28:$O$154=$A29)+(工程マスタ!$P$28:$P$154=$A29),$G30:$G$156))-1))</f>
        <v>46496</v>
      </c>
      <c r="I29" s="28" t="n">
        <f aca="false">IF($A29="","",$G29-$E29)</f>
        <v>45</v>
      </c>
      <c r="J29" s="28" t="str">
        <f aca="false">IF($A29="","",IF($I29&lt;=0,"●",""))</f>
        <v/>
      </c>
      <c r="K29" s="47" t="str">
        <f aca="false">IF($A29="","",IF(AND(INDEX(工程マスタ!$I$5:$I$154,$A29)="○",$E29&gt;=K$3,$E29&lt;=K$3+6),"▼",IF(AND($E29&gt;=K$3,$E29&lt;=K$3+6),$A29,"")))</f>
        <v/>
      </c>
      <c r="L29" s="47" t="str">
        <f aca="false">IF($A29="","",IF(AND(INDEX(工程マスタ!$I$5:$I$154,$A29)="○",$E29&gt;=L$3,$E29&lt;=L$3+6),"▼",IF(AND($E29&gt;=L$3,$E29&lt;=L$3+6),$A29,"")))</f>
        <v/>
      </c>
      <c r="M29" s="47" t="str">
        <f aca="false">IF($A29="","",IF(AND(INDEX(工程マスタ!$I$5:$I$154,$A29)="○",$E29&gt;=M$3,$E29&lt;=M$3+6),"▼",IF(AND($E29&gt;=M$3,$E29&lt;=M$3+6),$A29,"")))</f>
        <v/>
      </c>
      <c r="N29" s="47" t="str">
        <f aca="false">IF($A29="","",IF(AND(INDEX(工程マスタ!$I$5:$I$154,$A29)="○",$E29&gt;=N$3,$E29&lt;=N$3+6),"▼",IF(AND($E29&gt;=N$3,$E29&lt;=N$3+6),$A29,"")))</f>
        <v/>
      </c>
      <c r="O29" s="47" t="str">
        <f aca="false">IF($A29="","",IF(AND(INDEX(工程マスタ!$I$5:$I$154,$A29)="○",$E29&gt;=O$3,$E29&lt;=O$3+6),"▼",IF(AND($E29&gt;=O$3,$E29&lt;=O$3+6),$A29,"")))</f>
        <v/>
      </c>
      <c r="P29" s="47" t="str">
        <f aca="false">IF($A29="","",IF(AND(INDEX(工程マスタ!$I$5:$I$154,$A29)="○",$E29&gt;=P$3,$E29&lt;=P$3+6),"▼",IF(AND($E29&gt;=P$3,$E29&lt;=P$3+6),$A29,"")))</f>
        <v/>
      </c>
      <c r="Q29" s="47" t="str">
        <f aca="false">IF($A29="","",IF(AND(INDEX(工程マスタ!$I$5:$I$154,$A29)="○",$E29&gt;=Q$3,$E29&lt;=Q$3+6),"▼",IF(AND($E29&gt;=Q$3,$E29&lt;=Q$3+6),$A29,"")))</f>
        <v/>
      </c>
      <c r="R29" s="47" t="str">
        <f aca="false">IF($A29="","",IF(AND(INDEX(工程マスタ!$I$5:$I$154,$A29)="○",$E29&gt;=R$3,$E29&lt;=R$3+6),"▼",IF(AND($E29&gt;=R$3,$E29&lt;=R$3+6),$A29,"")))</f>
        <v/>
      </c>
      <c r="S29" s="47" t="str">
        <f aca="false">IF($A29="","",IF(AND(INDEX(工程マスタ!$I$5:$I$154,$A29)="○",$E29&gt;=S$3,$E29&lt;=S$3+6),"▼",IF(AND($E29&gt;=S$3,$E29&lt;=S$3+6),$A29,"")))</f>
        <v/>
      </c>
      <c r="T29" s="47" t="str">
        <f aca="false">IF($A29="","",IF(AND(INDEX(工程マスタ!$I$5:$I$154,$A29)="○",$E29&gt;=T$3,$E29&lt;=T$3+6),"▼",IF(AND($E29&gt;=T$3,$E29&lt;=T$3+6),$A29,"")))</f>
        <v/>
      </c>
      <c r="U29" s="47" t="str">
        <f aca="false">IF($A29="","",IF(AND(INDEX(工程マスタ!$I$5:$I$154,$A29)="○",$E29&gt;=U$3,$E29&lt;=U$3+6),"▼",IF(AND($E29&gt;=U$3,$E29&lt;=U$3+6),$A29,"")))</f>
        <v/>
      </c>
      <c r="V29" s="47" t="str">
        <f aca="false">IF($A29="","",IF(AND(INDEX(工程マスタ!$I$5:$I$154,$A29)="○",$E29&gt;=V$3,$E29&lt;=V$3+6),"▼",IF(AND($E29&gt;=V$3,$E29&lt;=V$3+6),$A29,"")))</f>
        <v/>
      </c>
      <c r="W29" s="47" t="str">
        <f aca="false">IF($A29="","",IF(AND(INDEX(工程マスタ!$I$5:$I$154,$A29)="○",$E29&gt;=W$3,$E29&lt;=W$3+6),"▼",IF(AND($E29&gt;=W$3,$E29&lt;=W$3+6),$A29,"")))</f>
        <v/>
      </c>
      <c r="X29" s="47" t="str">
        <f aca="false">IF($A29="","",IF(AND(INDEX(工程マスタ!$I$5:$I$154,$A29)="○",$E29&gt;=X$3,$E29&lt;=X$3+6),"▼",IF(AND($E29&gt;=X$3,$E29&lt;=X$3+6),$A29,"")))</f>
        <v/>
      </c>
      <c r="Y29" s="47" t="str">
        <f aca="false">IF($A29="","",IF(AND(INDEX(工程マスタ!$I$5:$I$154,$A29)="○",$E29&gt;=Y$3,$E29&lt;=Y$3+6),"▼",IF(AND($E29&gt;=Y$3,$E29&lt;=Y$3+6),$A29,"")))</f>
        <v/>
      </c>
      <c r="Z29" s="47" t="str">
        <f aca="false">IF($A29="","",IF(AND(INDEX(工程マスタ!$I$5:$I$154,$A29)="○",$E29&gt;=Z$3,$E29&lt;=Z$3+6),"▼",IF(AND($E29&gt;=Z$3,$E29&lt;=Z$3+6),$A29,"")))</f>
        <v/>
      </c>
      <c r="AA29" s="47" t="str">
        <f aca="false">IF($A29="","",IF(AND(INDEX(工程マスタ!$I$5:$I$154,$A29)="○",$E29&gt;=AA$3,$E29&lt;=AA$3+6),"▼",IF(AND($E29&gt;=AA$3,$E29&lt;=AA$3+6),$A29,"")))</f>
        <v/>
      </c>
      <c r="AB29" s="47" t="str">
        <f aca="false">IF($A29="","",IF(AND(INDEX(工程マスタ!$I$5:$I$154,$A29)="○",$E29&gt;=AB$3,$E29&lt;=AB$3+6),"▼",IF(AND($E29&gt;=AB$3,$E29&lt;=AB$3+6),$A29,"")))</f>
        <v/>
      </c>
      <c r="AC29" s="47" t="str">
        <f aca="false">IF($A29="","",IF(AND(INDEX(工程マスタ!$I$5:$I$154,$A29)="○",$E29&gt;=AC$3,$E29&lt;=AC$3+6),"▼",IF(AND($E29&gt;=AC$3,$E29&lt;=AC$3+6),$A29,"")))</f>
        <v/>
      </c>
      <c r="AD29" s="47" t="str">
        <f aca="false">IF($A29="","",IF(AND(INDEX(工程マスタ!$I$5:$I$154,$A29)="○",$E29&gt;=AD$3,$E29&lt;=AD$3+6),"▼",IF(AND($E29&gt;=AD$3,$E29&lt;=AD$3+6),$A29,"")))</f>
        <v/>
      </c>
      <c r="AE29" s="47" t="str">
        <f aca="false">IF($A29="","",IF(AND(INDEX(工程マスタ!$I$5:$I$154,$A29)="○",$E29&gt;=AE$3,$E29&lt;=AE$3+6),"▼",IF(AND($E29&gt;=AE$3,$E29&lt;=AE$3+6),$A29,"")))</f>
        <v/>
      </c>
      <c r="AF29" s="47" t="str">
        <f aca="false">IF($A29="","",IF(AND(INDEX(工程マスタ!$I$5:$I$154,$A29)="○",$E29&gt;=AF$3,$E29&lt;=AF$3+6),"▼",IF(AND($E29&gt;=AF$3,$E29&lt;=AF$3+6),$A29,"")))</f>
        <v/>
      </c>
      <c r="AG29" s="47" t="str">
        <f aca="false">IF($A29="","",IF(AND(INDEX(工程マスタ!$I$5:$I$154,$A29)="○",$E29&gt;=AG$3,$E29&lt;=AG$3+6),"▼",IF(AND($E29&gt;=AG$3,$E29&lt;=AG$3+6),$A29,"")))</f>
        <v/>
      </c>
      <c r="AH29" s="47" t="str">
        <f aca="false">IF($A29="","",IF(AND(INDEX(工程マスタ!$I$5:$I$154,$A29)="○",$E29&gt;=AH$3,$E29&lt;=AH$3+6),"▼",IF(AND($E29&gt;=AH$3,$E29&lt;=AH$3+6),$A29,"")))</f>
        <v/>
      </c>
      <c r="AI29" s="47" t="str">
        <f aca="false">IF($A29="","",IF(AND(INDEX(工程マスタ!$I$5:$I$154,$A29)="○",$E29&gt;=AI$3,$E29&lt;=AI$3+6),"▼",IF(AND($E29&gt;=AI$3,$E29&lt;=AI$3+6),$A29,"")))</f>
        <v/>
      </c>
      <c r="AJ29" s="47" t="str">
        <f aca="false">IF($A29="","",IF(AND(INDEX(工程マスタ!$I$5:$I$154,$A29)="○",$E29&gt;=AJ$3,$E29&lt;=AJ$3+6),"▼",IF(AND($E29&gt;=AJ$3,$E29&lt;=AJ$3+6),$A29,"")))</f>
        <v/>
      </c>
      <c r="AK29" s="47" t="str">
        <f aca="false">IF($A29="","",IF(AND(INDEX(工程マスタ!$I$5:$I$154,$A29)="○",$E29&gt;=AK$3,$E29&lt;=AK$3+6),"▼",IF(AND($E29&gt;=AK$3,$E29&lt;=AK$3+6),$A29,"")))</f>
        <v/>
      </c>
      <c r="AL29" s="47" t="str">
        <f aca="false">IF($A29="","",IF(AND(INDEX(工程マスタ!$I$5:$I$154,$A29)="○",$E29&gt;=AL$3,$E29&lt;=AL$3+6),"▼",IF(AND($E29&gt;=AL$3,$E29&lt;=AL$3+6),$A29,"")))</f>
        <v/>
      </c>
      <c r="AM29" s="47" t="str">
        <f aca="false">IF($A29="","",IF(AND(INDEX(工程マスタ!$I$5:$I$154,$A29)="○",$E29&gt;=AM$3,$E29&lt;=AM$3+6),"▼",IF(AND($E29&gt;=AM$3,$E29&lt;=AM$3+6),$A29,"")))</f>
        <v/>
      </c>
      <c r="AN29" s="47" t="str">
        <f aca="false">IF($A29="","",IF(AND(INDEX(工程マスタ!$I$5:$I$154,$A29)="○",$E29&gt;=AN$3,$E29&lt;=AN$3+6),"▼",IF(AND($E29&gt;=AN$3,$E29&lt;=AN$3+6),$A29,"")))</f>
        <v/>
      </c>
      <c r="AO29" s="47" t="str">
        <f aca="false">IF($A29="","",IF(AND(INDEX(工程マスタ!$I$5:$I$154,$A29)="○",$E29&gt;=AO$3,$E29&lt;=AO$3+6),"▼",IF(AND($E29&gt;=AO$3,$E29&lt;=AO$3+6),$A29,"")))</f>
        <v/>
      </c>
      <c r="AP29" s="47" t="n">
        <f aca="false">IF($A29="","",IF(AND(INDEX(工程マスタ!$I$5:$I$154,$A29)="○",$E29&gt;=AP$3,$E29&lt;=AP$3+6),"▼",IF(AND($E29&gt;=AP$3,$E29&lt;=AP$3+6),$A29,"")))</f>
        <v>23</v>
      </c>
      <c r="AQ29" s="47" t="str">
        <f aca="false">IF($A29="","",IF(AND(INDEX(工程マスタ!$I$5:$I$154,$A29)="○",$E29&gt;=AQ$3,$E29&lt;=AQ$3+6),"▼",IF(AND($E29&gt;=AQ$3,$E29&lt;=AQ$3+6),$A29,"")))</f>
        <v/>
      </c>
      <c r="AR29" s="47" t="str">
        <f aca="false">IF($A29="","",IF(AND(INDEX(工程マスタ!$I$5:$I$154,$A29)="○",$E29&gt;=AR$3,$E29&lt;=AR$3+6),"▼",IF(AND($E29&gt;=AR$3,$E29&lt;=AR$3+6),$A29,"")))</f>
        <v/>
      </c>
      <c r="AS29" s="47" t="str">
        <f aca="false">IF($A29="","",IF(AND(INDEX(工程マスタ!$I$5:$I$154,$A29)="○",$E29&gt;=AS$3,$E29&lt;=AS$3+6),"▼",IF(AND($E29&gt;=AS$3,$E29&lt;=AS$3+6),$A29,"")))</f>
        <v/>
      </c>
      <c r="AT29" s="47" t="str">
        <f aca="false">IF($A29="","",IF(AND(INDEX(工程マスタ!$I$5:$I$154,$A29)="○",$E29&gt;=AT$3,$E29&lt;=AT$3+6),"▼",IF(AND($E29&gt;=AT$3,$E29&lt;=AT$3+6),$A29,"")))</f>
        <v/>
      </c>
      <c r="AU29" s="47" t="str">
        <f aca="false">IF($A29="","",IF(AND(INDEX(工程マスタ!$I$5:$I$154,$A29)="○",$E29&gt;=AU$3,$E29&lt;=AU$3+6),"▼",IF(AND($E29&gt;=AU$3,$E29&lt;=AU$3+6),$A29,"")))</f>
        <v/>
      </c>
      <c r="AV29" s="47" t="str">
        <f aca="false">IF($A29="","",IF(AND(INDEX(工程マスタ!$I$5:$I$154,$A29)="○",$E29&gt;=AV$3,$E29&lt;=AV$3+6),"▼",IF(AND($E29&gt;=AV$3,$E29&lt;=AV$3+6),$A29,"")))</f>
        <v/>
      </c>
      <c r="AW29" s="47" t="str">
        <f aca="false">IF($A29="","",IF(AND(INDEX(工程マスタ!$I$5:$I$154,$A29)="○",$E29&gt;=AW$3,$E29&lt;=AW$3+6),"▼",IF(AND($E29&gt;=AW$3,$E29&lt;=AW$3+6),$A29,"")))</f>
        <v/>
      </c>
      <c r="AX29" s="47" t="str">
        <f aca="false">IF($A29="","",IF(AND(INDEX(工程マスタ!$I$5:$I$154,$A29)="○",$E29&gt;=AX$3,$E29&lt;=AX$3+6),"▼",IF(AND($E29&gt;=AX$3,$E29&lt;=AX$3+6),$A29,"")))</f>
        <v/>
      </c>
      <c r="AY29" s="47" t="str">
        <f aca="false">IF($A29="","",IF(AND(INDEX(工程マスタ!$I$5:$I$154,$A29)="○",$E29&gt;=AY$3,$E29&lt;=AY$3+6),"▼",IF(AND($E29&gt;=AY$3,$E29&lt;=AY$3+6),$A29,"")))</f>
        <v/>
      </c>
      <c r="AZ29" s="47" t="str">
        <f aca="false">IF($A29="","",IF(AND(INDEX(工程マスタ!$I$5:$I$154,$A29)="○",$E29&gt;=AZ$3,$E29&lt;=AZ$3+6),"▼",IF(AND($E29&gt;=AZ$3,$E29&lt;=AZ$3+6),$A29,"")))</f>
        <v/>
      </c>
      <c r="BA29" s="47" t="str">
        <f aca="false">IF($A29="","",IF(AND(INDEX(工程マスタ!$I$5:$I$154,$A29)="○",$E29&gt;=BA$3,$E29&lt;=BA$3+6),"▼",IF(AND($E29&gt;=BA$3,$E29&lt;=BA$3+6),$A29,"")))</f>
        <v/>
      </c>
      <c r="BB29" s="47" t="str">
        <f aca="false">IF($A29="","",IF(AND(INDEX(工程マスタ!$I$5:$I$154,$A29)="○",$E29&gt;=BB$3,$E29&lt;=BB$3+6),"▼",IF(AND($E29&gt;=BB$3,$E29&lt;=BB$3+6),$A29,"")))</f>
        <v/>
      </c>
      <c r="BC29" s="47" t="str">
        <f aca="false">IF($A29="","",IF(AND(INDEX(工程マスタ!$I$5:$I$154,$A29)="○",$E29&gt;=BC$3,$E29&lt;=BC$3+6),"▼",IF(AND($E29&gt;=BC$3,$E29&lt;=BC$3+6),$A29,"")))</f>
        <v/>
      </c>
      <c r="BD29" s="47" t="str">
        <f aca="false">IF($A29="","",IF(AND(INDEX(工程マスタ!$I$5:$I$154,$A29)="○",$E29&gt;=BD$3,$E29&lt;=BD$3+6),"▼",IF(AND($E29&gt;=BD$3,$E29&lt;=BD$3+6),$A29,"")))</f>
        <v/>
      </c>
      <c r="BE29" s="47" t="str">
        <f aca="false">IF($A29="","",IF(AND(INDEX(工程マスタ!$I$5:$I$154,$A29)="○",$E29&gt;=BE$3,$E29&lt;=BE$3+6),"▼",IF(AND($E29&gt;=BE$3,$E29&lt;=BE$3+6),$A29,"")))</f>
        <v/>
      </c>
      <c r="BF29" s="47" t="str">
        <f aca="false">IF($A29="","",IF(AND(INDEX(工程マスタ!$I$5:$I$154,$A29)="○",$E29&gt;=BF$3,$E29&lt;=BF$3+6),"▼",IF(AND($E29&gt;=BF$3,$E29&lt;=BF$3+6),$A29,"")))</f>
        <v/>
      </c>
      <c r="BG29" s="47" t="str">
        <f aca="false">IF($A29="","",IF(AND(INDEX(工程マスタ!$I$5:$I$154,$A29)="○",$E29&gt;=BG$3,$E29&lt;=BG$3+6),"▼",IF(AND($E29&gt;=BG$3,$E29&lt;=BG$3+6),$A29,"")))</f>
        <v/>
      </c>
      <c r="BH29" s="47" t="str">
        <f aca="false">IF($A29="","",IF(AND(INDEX(工程マスタ!$I$5:$I$154,$A29)="○",$E29&gt;=BH$3,$E29&lt;=BH$3+6),"▼",IF(AND($E29&gt;=BH$3,$E29&lt;=BH$3+6),$A29,"")))</f>
        <v/>
      </c>
      <c r="BI29" s="47" t="str">
        <f aca="false">IF($A29="","",IF(AND(INDEX(工程マスタ!$I$5:$I$154,$A29)="○",$E29&gt;=BI$3,$E29&lt;=BI$3+6),"▼",IF(AND($E29&gt;=BI$3,$E29&lt;=BI$3+6),$A29,"")))</f>
        <v/>
      </c>
      <c r="BJ29" s="47" t="str">
        <f aca="false">IF($A29="","",IF(AND(INDEX(工程マスタ!$I$5:$I$154,$A29)="○",$E29&gt;=BJ$3,$E29&lt;=BJ$3+6),"▼",IF(AND($E29&gt;=BJ$3,$E29&lt;=BJ$3+6),$A29,"")))</f>
        <v/>
      </c>
    </row>
    <row r="30" customFormat="false" ht="15" hidden="false" customHeight="false" outlineLevel="0" collapsed="false">
      <c r="A30" s="28" t="n">
        <f aca="false">IF(工程マスタ!$C28="","",工程マスタ!$A28)</f>
        <v>24</v>
      </c>
      <c r="B30" s="46" t="str">
        <f aca="false">IF($A30="","",工程マスタ!$C28)</f>
        <v>サッシ・外部建具取付</v>
      </c>
      <c r="C30" s="28" t="n">
        <f aca="false">IF($A30="","",MAX(1,工程マスタ!$G28))</f>
        <v>26</v>
      </c>
      <c r="D30" s="28" t="str">
        <f aca="false">IF($A30="","",_xlfn.TEXTJOIN(",",TRUE(),工程マスタ!$N28:$P28))</f>
        <v>23</v>
      </c>
      <c r="E30" s="29" t="n">
        <f aca="false">IF($A30="","",IF(COUNT(工程マスタ!$N28:$P28)=0,設定!$B$8,MAX(IF(工程マスタ!$N28="",0,INDEX($F$7:$F$156,工程マスタ!$N28)),IF(工程マスタ!$O28="",0,INDEX($F$7:$F$156,工程マスタ!$O28)),IF(工程マスタ!$P28="",0,INDEX($F$7:$F$156,工程マスタ!$P28)))+1))</f>
        <v>46452</v>
      </c>
      <c r="F30" s="29" t="n">
        <f aca="false">IF($A30="","",$E30+$C30-1)</f>
        <v>46477</v>
      </c>
      <c r="G30" s="29" t="n">
        <f aca="false">IF($A30="","",$H30-$C30+1)</f>
        <v>46497</v>
      </c>
      <c r="H30" s="29" t="n">
        <f aca="false" t="array" ref="H30:H30">IF($A30="","",IF(SUMPRODUCT((工程マスタ!$N$29:$N$154=$A30)*1)+SUMPRODUCT((工程マスタ!$O$29:$O$154=$A30)*1)+SUMPRODUCT((工程マスタ!$P$29:$P$154=$A30)*1)=0,MAX($F$7:$F$156),MIN(IF((工程マスタ!$N$29:$N$154=$A30)+(工程マスタ!$O$29:$O$154=$A30)+(工程マスタ!$P$29:$P$154=$A30),$G31:$G$156))-1))</f>
        <v>46522</v>
      </c>
      <c r="I30" s="28" t="n">
        <f aca="false">IF($A30="","",$G30-$E30)</f>
        <v>45</v>
      </c>
      <c r="J30" s="28" t="str">
        <f aca="false">IF($A30="","",IF($I30&lt;=0,"●",""))</f>
        <v/>
      </c>
      <c r="K30" s="47" t="str">
        <f aca="false">IF($A30="","",IF(AND(INDEX(工程マスタ!$I$5:$I$154,$A30)="○",$E30&gt;=K$3,$E30&lt;=K$3+6),"▼",IF(AND($E30&gt;=K$3,$E30&lt;=K$3+6),$A30,"")))</f>
        <v/>
      </c>
      <c r="L30" s="47" t="str">
        <f aca="false">IF($A30="","",IF(AND(INDEX(工程マスタ!$I$5:$I$154,$A30)="○",$E30&gt;=L$3,$E30&lt;=L$3+6),"▼",IF(AND($E30&gt;=L$3,$E30&lt;=L$3+6),$A30,"")))</f>
        <v/>
      </c>
      <c r="M30" s="47" t="str">
        <f aca="false">IF($A30="","",IF(AND(INDEX(工程マスタ!$I$5:$I$154,$A30)="○",$E30&gt;=M$3,$E30&lt;=M$3+6),"▼",IF(AND($E30&gt;=M$3,$E30&lt;=M$3+6),$A30,"")))</f>
        <v/>
      </c>
      <c r="N30" s="47" t="str">
        <f aca="false">IF($A30="","",IF(AND(INDEX(工程マスタ!$I$5:$I$154,$A30)="○",$E30&gt;=N$3,$E30&lt;=N$3+6),"▼",IF(AND($E30&gt;=N$3,$E30&lt;=N$3+6),$A30,"")))</f>
        <v/>
      </c>
      <c r="O30" s="47" t="str">
        <f aca="false">IF($A30="","",IF(AND(INDEX(工程マスタ!$I$5:$I$154,$A30)="○",$E30&gt;=O$3,$E30&lt;=O$3+6),"▼",IF(AND($E30&gt;=O$3,$E30&lt;=O$3+6),$A30,"")))</f>
        <v/>
      </c>
      <c r="P30" s="47" t="str">
        <f aca="false">IF($A30="","",IF(AND(INDEX(工程マスタ!$I$5:$I$154,$A30)="○",$E30&gt;=P$3,$E30&lt;=P$3+6),"▼",IF(AND($E30&gt;=P$3,$E30&lt;=P$3+6),$A30,"")))</f>
        <v/>
      </c>
      <c r="Q30" s="47" t="str">
        <f aca="false">IF($A30="","",IF(AND(INDEX(工程マスタ!$I$5:$I$154,$A30)="○",$E30&gt;=Q$3,$E30&lt;=Q$3+6),"▼",IF(AND($E30&gt;=Q$3,$E30&lt;=Q$3+6),$A30,"")))</f>
        <v/>
      </c>
      <c r="R30" s="47" t="str">
        <f aca="false">IF($A30="","",IF(AND(INDEX(工程マスタ!$I$5:$I$154,$A30)="○",$E30&gt;=R$3,$E30&lt;=R$3+6),"▼",IF(AND($E30&gt;=R$3,$E30&lt;=R$3+6),$A30,"")))</f>
        <v/>
      </c>
      <c r="S30" s="47" t="str">
        <f aca="false">IF($A30="","",IF(AND(INDEX(工程マスタ!$I$5:$I$154,$A30)="○",$E30&gt;=S$3,$E30&lt;=S$3+6),"▼",IF(AND($E30&gt;=S$3,$E30&lt;=S$3+6),$A30,"")))</f>
        <v/>
      </c>
      <c r="T30" s="47" t="str">
        <f aca="false">IF($A30="","",IF(AND(INDEX(工程マスタ!$I$5:$I$154,$A30)="○",$E30&gt;=T$3,$E30&lt;=T$3+6),"▼",IF(AND($E30&gt;=T$3,$E30&lt;=T$3+6),$A30,"")))</f>
        <v/>
      </c>
      <c r="U30" s="47" t="str">
        <f aca="false">IF($A30="","",IF(AND(INDEX(工程マスタ!$I$5:$I$154,$A30)="○",$E30&gt;=U$3,$E30&lt;=U$3+6),"▼",IF(AND($E30&gt;=U$3,$E30&lt;=U$3+6),$A30,"")))</f>
        <v/>
      </c>
      <c r="V30" s="47" t="str">
        <f aca="false">IF($A30="","",IF(AND(INDEX(工程マスタ!$I$5:$I$154,$A30)="○",$E30&gt;=V$3,$E30&lt;=V$3+6),"▼",IF(AND($E30&gt;=V$3,$E30&lt;=V$3+6),$A30,"")))</f>
        <v/>
      </c>
      <c r="W30" s="47" t="str">
        <f aca="false">IF($A30="","",IF(AND(INDEX(工程マスタ!$I$5:$I$154,$A30)="○",$E30&gt;=W$3,$E30&lt;=W$3+6),"▼",IF(AND($E30&gt;=W$3,$E30&lt;=W$3+6),$A30,"")))</f>
        <v/>
      </c>
      <c r="X30" s="47" t="str">
        <f aca="false">IF($A30="","",IF(AND(INDEX(工程マスタ!$I$5:$I$154,$A30)="○",$E30&gt;=X$3,$E30&lt;=X$3+6),"▼",IF(AND($E30&gt;=X$3,$E30&lt;=X$3+6),$A30,"")))</f>
        <v/>
      </c>
      <c r="Y30" s="47" t="str">
        <f aca="false">IF($A30="","",IF(AND(INDEX(工程マスタ!$I$5:$I$154,$A30)="○",$E30&gt;=Y$3,$E30&lt;=Y$3+6),"▼",IF(AND($E30&gt;=Y$3,$E30&lt;=Y$3+6),$A30,"")))</f>
        <v/>
      </c>
      <c r="Z30" s="47" t="str">
        <f aca="false">IF($A30="","",IF(AND(INDEX(工程マスタ!$I$5:$I$154,$A30)="○",$E30&gt;=Z$3,$E30&lt;=Z$3+6),"▼",IF(AND($E30&gt;=Z$3,$E30&lt;=Z$3+6),$A30,"")))</f>
        <v/>
      </c>
      <c r="AA30" s="47" t="str">
        <f aca="false">IF($A30="","",IF(AND(INDEX(工程マスタ!$I$5:$I$154,$A30)="○",$E30&gt;=AA$3,$E30&lt;=AA$3+6),"▼",IF(AND($E30&gt;=AA$3,$E30&lt;=AA$3+6),$A30,"")))</f>
        <v/>
      </c>
      <c r="AB30" s="47" t="str">
        <f aca="false">IF($A30="","",IF(AND(INDEX(工程マスタ!$I$5:$I$154,$A30)="○",$E30&gt;=AB$3,$E30&lt;=AB$3+6),"▼",IF(AND($E30&gt;=AB$3,$E30&lt;=AB$3+6),$A30,"")))</f>
        <v/>
      </c>
      <c r="AC30" s="47" t="str">
        <f aca="false">IF($A30="","",IF(AND(INDEX(工程マスタ!$I$5:$I$154,$A30)="○",$E30&gt;=AC$3,$E30&lt;=AC$3+6),"▼",IF(AND($E30&gt;=AC$3,$E30&lt;=AC$3+6),$A30,"")))</f>
        <v/>
      </c>
      <c r="AD30" s="47" t="str">
        <f aca="false">IF($A30="","",IF(AND(INDEX(工程マスタ!$I$5:$I$154,$A30)="○",$E30&gt;=AD$3,$E30&lt;=AD$3+6),"▼",IF(AND($E30&gt;=AD$3,$E30&lt;=AD$3+6),$A30,"")))</f>
        <v/>
      </c>
      <c r="AE30" s="47" t="str">
        <f aca="false">IF($A30="","",IF(AND(INDEX(工程マスタ!$I$5:$I$154,$A30)="○",$E30&gt;=AE$3,$E30&lt;=AE$3+6),"▼",IF(AND($E30&gt;=AE$3,$E30&lt;=AE$3+6),$A30,"")))</f>
        <v/>
      </c>
      <c r="AF30" s="47" t="str">
        <f aca="false">IF($A30="","",IF(AND(INDEX(工程マスタ!$I$5:$I$154,$A30)="○",$E30&gt;=AF$3,$E30&lt;=AF$3+6),"▼",IF(AND($E30&gt;=AF$3,$E30&lt;=AF$3+6),$A30,"")))</f>
        <v/>
      </c>
      <c r="AG30" s="47" t="str">
        <f aca="false">IF($A30="","",IF(AND(INDEX(工程マスタ!$I$5:$I$154,$A30)="○",$E30&gt;=AG$3,$E30&lt;=AG$3+6),"▼",IF(AND($E30&gt;=AG$3,$E30&lt;=AG$3+6),$A30,"")))</f>
        <v/>
      </c>
      <c r="AH30" s="47" t="str">
        <f aca="false">IF($A30="","",IF(AND(INDEX(工程マスタ!$I$5:$I$154,$A30)="○",$E30&gt;=AH$3,$E30&lt;=AH$3+6),"▼",IF(AND($E30&gt;=AH$3,$E30&lt;=AH$3+6),$A30,"")))</f>
        <v/>
      </c>
      <c r="AI30" s="47" t="str">
        <f aca="false">IF($A30="","",IF(AND(INDEX(工程マスタ!$I$5:$I$154,$A30)="○",$E30&gt;=AI$3,$E30&lt;=AI$3+6),"▼",IF(AND($E30&gt;=AI$3,$E30&lt;=AI$3+6),$A30,"")))</f>
        <v/>
      </c>
      <c r="AJ30" s="47" t="str">
        <f aca="false">IF($A30="","",IF(AND(INDEX(工程マスタ!$I$5:$I$154,$A30)="○",$E30&gt;=AJ$3,$E30&lt;=AJ$3+6),"▼",IF(AND($E30&gt;=AJ$3,$E30&lt;=AJ$3+6),$A30,"")))</f>
        <v/>
      </c>
      <c r="AK30" s="47" t="str">
        <f aca="false">IF($A30="","",IF(AND(INDEX(工程マスタ!$I$5:$I$154,$A30)="○",$E30&gt;=AK$3,$E30&lt;=AK$3+6),"▼",IF(AND($E30&gt;=AK$3,$E30&lt;=AK$3+6),$A30,"")))</f>
        <v/>
      </c>
      <c r="AL30" s="47" t="str">
        <f aca="false">IF($A30="","",IF(AND(INDEX(工程マスタ!$I$5:$I$154,$A30)="○",$E30&gt;=AL$3,$E30&lt;=AL$3+6),"▼",IF(AND($E30&gt;=AL$3,$E30&lt;=AL$3+6),$A30,"")))</f>
        <v/>
      </c>
      <c r="AM30" s="47" t="str">
        <f aca="false">IF($A30="","",IF(AND(INDEX(工程マスタ!$I$5:$I$154,$A30)="○",$E30&gt;=AM$3,$E30&lt;=AM$3+6),"▼",IF(AND($E30&gt;=AM$3,$E30&lt;=AM$3+6),$A30,"")))</f>
        <v/>
      </c>
      <c r="AN30" s="47" t="str">
        <f aca="false">IF($A30="","",IF(AND(INDEX(工程マスタ!$I$5:$I$154,$A30)="○",$E30&gt;=AN$3,$E30&lt;=AN$3+6),"▼",IF(AND($E30&gt;=AN$3,$E30&lt;=AN$3+6),$A30,"")))</f>
        <v/>
      </c>
      <c r="AO30" s="47" t="str">
        <f aca="false">IF($A30="","",IF(AND(INDEX(工程マスタ!$I$5:$I$154,$A30)="○",$E30&gt;=AO$3,$E30&lt;=AO$3+6),"▼",IF(AND($E30&gt;=AO$3,$E30&lt;=AO$3+6),$A30,"")))</f>
        <v/>
      </c>
      <c r="AP30" s="47" t="str">
        <f aca="false">IF($A30="","",IF(AND(INDEX(工程マスタ!$I$5:$I$154,$A30)="○",$E30&gt;=AP$3,$E30&lt;=AP$3+6),"▼",IF(AND($E30&gt;=AP$3,$E30&lt;=AP$3+6),$A30,"")))</f>
        <v/>
      </c>
      <c r="AQ30" s="47" t="str">
        <f aca="false">IF($A30="","",IF(AND(INDEX(工程マスタ!$I$5:$I$154,$A30)="○",$E30&gt;=AQ$3,$E30&lt;=AQ$3+6),"▼",IF(AND($E30&gt;=AQ$3,$E30&lt;=AQ$3+6),$A30,"")))</f>
        <v/>
      </c>
      <c r="AR30" s="47" t="str">
        <f aca="false">IF($A30="","",IF(AND(INDEX(工程マスタ!$I$5:$I$154,$A30)="○",$E30&gt;=AR$3,$E30&lt;=AR$3+6),"▼",IF(AND($E30&gt;=AR$3,$E30&lt;=AR$3+6),$A30,"")))</f>
        <v/>
      </c>
      <c r="AS30" s="47" t="str">
        <f aca="false">IF($A30="","",IF(AND(INDEX(工程マスタ!$I$5:$I$154,$A30)="○",$E30&gt;=AS$3,$E30&lt;=AS$3+6),"▼",IF(AND($E30&gt;=AS$3,$E30&lt;=AS$3+6),$A30,"")))</f>
        <v/>
      </c>
      <c r="AT30" s="47" t="n">
        <f aca="false">IF($A30="","",IF(AND(INDEX(工程マスタ!$I$5:$I$154,$A30)="○",$E30&gt;=AT$3,$E30&lt;=AT$3+6),"▼",IF(AND($E30&gt;=AT$3,$E30&lt;=AT$3+6),$A30,"")))</f>
        <v>24</v>
      </c>
      <c r="AU30" s="47" t="str">
        <f aca="false">IF($A30="","",IF(AND(INDEX(工程マスタ!$I$5:$I$154,$A30)="○",$E30&gt;=AU$3,$E30&lt;=AU$3+6),"▼",IF(AND($E30&gt;=AU$3,$E30&lt;=AU$3+6),$A30,"")))</f>
        <v/>
      </c>
      <c r="AV30" s="47" t="str">
        <f aca="false">IF($A30="","",IF(AND(INDEX(工程マスタ!$I$5:$I$154,$A30)="○",$E30&gt;=AV$3,$E30&lt;=AV$3+6),"▼",IF(AND($E30&gt;=AV$3,$E30&lt;=AV$3+6),$A30,"")))</f>
        <v/>
      </c>
      <c r="AW30" s="47" t="str">
        <f aca="false">IF($A30="","",IF(AND(INDEX(工程マスタ!$I$5:$I$154,$A30)="○",$E30&gt;=AW$3,$E30&lt;=AW$3+6),"▼",IF(AND($E30&gt;=AW$3,$E30&lt;=AW$3+6),$A30,"")))</f>
        <v/>
      </c>
      <c r="AX30" s="47" t="str">
        <f aca="false">IF($A30="","",IF(AND(INDEX(工程マスタ!$I$5:$I$154,$A30)="○",$E30&gt;=AX$3,$E30&lt;=AX$3+6),"▼",IF(AND($E30&gt;=AX$3,$E30&lt;=AX$3+6),$A30,"")))</f>
        <v/>
      </c>
      <c r="AY30" s="47" t="str">
        <f aca="false">IF($A30="","",IF(AND(INDEX(工程マスタ!$I$5:$I$154,$A30)="○",$E30&gt;=AY$3,$E30&lt;=AY$3+6),"▼",IF(AND($E30&gt;=AY$3,$E30&lt;=AY$3+6),$A30,"")))</f>
        <v/>
      </c>
      <c r="AZ30" s="47" t="str">
        <f aca="false">IF($A30="","",IF(AND(INDEX(工程マスタ!$I$5:$I$154,$A30)="○",$E30&gt;=AZ$3,$E30&lt;=AZ$3+6),"▼",IF(AND($E30&gt;=AZ$3,$E30&lt;=AZ$3+6),$A30,"")))</f>
        <v/>
      </c>
      <c r="BA30" s="47" t="str">
        <f aca="false">IF($A30="","",IF(AND(INDEX(工程マスタ!$I$5:$I$154,$A30)="○",$E30&gt;=BA$3,$E30&lt;=BA$3+6),"▼",IF(AND($E30&gt;=BA$3,$E30&lt;=BA$3+6),$A30,"")))</f>
        <v/>
      </c>
      <c r="BB30" s="47" t="str">
        <f aca="false">IF($A30="","",IF(AND(INDEX(工程マスタ!$I$5:$I$154,$A30)="○",$E30&gt;=BB$3,$E30&lt;=BB$3+6),"▼",IF(AND($E30&gt;=BB$3,$E30&lt;=BB$3+6),$A30,"")))</f>
        <v/>
      </c>
      <c r="BC30" s="47" t="str">
        <f aca="false">IF($A30="","",IF(AND(INDEX(工程マスタ!$I$5:$I$154,$A30)="○",$E30&gt;=BC$3,$E30&lt;=BC$3+6),"▼",IF(AND($E30&gt;=BC$3,$E30&lt;=BC$3+6),$A30,"")))</f>
        <v/>
      </c>
      <c r="BD30" s="47" t="str">
        <f aca="false">IF($A30="","",IF(AND(INDEX(工程マスタ!$I$5:$I$154,$A30)="○",$E30&gt;=BD$3,$E30&lt;=BD$3+6),"▼",IF(AND($E30&gt;=BD$3,$E30&lt;=BD$3+6),$A30,"")))</f>
        <v/>
      </c>
      <c r="BE30" s="47" t="str">
        <f aca="false">IF($A30="","",IF(AND(INDEX(工程マスタ!$I$5:$I$154,$A30)="○",$E30&gt;=BE$3,$E30&lt;=BE$3+6),"▼",IF(AND($E30&gt;=BE$3,$E30&lt;=BE$3+6),$A30,"")))</f>
        <v/>
      </c>
      <c r="BF30" s="47" t="str">
        <f aca="false">IF($A30="","",IF(AND(INDEX(工程マスタ!$I$5:$I$154,$A30)="○",$E30&gt;=BF$3,$E30&lt;=BF$3+6),"▼",IF(AND($E30&gt;=BF$3,$E30&lt;=BF$3+6),$A30,"")))</f>
        <v/>
      </c>
      <c r="BG30" s="47" t="str">
        <f aca="false">IF($A30="","",IF(AND(INDEX(工程マスタ!$I$5:$I$154,$A30)="○",$E30&gt;=BG$3,$E30&lt;=BG$3+6),"▼",IF(AND($E30&gt;=BG$3,$E30&lt;=BG$3+6),$A30,"")))</f>
        <v/>
      </c>
      <c r="BH30" s="47" t="str">
        <f aca="false">IF($A30="","",IF(AND(INDEX(工程マスタ!$I$5:$I$154,$A30)="○",$E30&gt;=BH$3,$E30&lt;=BH$3+6),"▼",IF(AND($E30&gt;=BH$3,$E30&lt;=BH$3+6),$A30,"")))</f>
        <v/>
      </c>
      <c r="BI30" s="47" t="str">
        <f aca="false">IF($A30="","",IF(AND(INDEX(工程マスタ!$I$5:$I$154,$A30)="○",$E30&gt;=BI$3,$E30&lt;=BI$3+6),"▼",IF(AND($E30&gt;=BI$3,$E30&lt;=BI$3+6),$A30,"")))</f>
        <v/>
      </c>
      <c r="BJ30" s="47" t="str">
        <f aca="false">IF($A30="","",IF(AND(INDEX(工程マスタ!$I$5:$I$154,$A30)="○",$E30&gt;=BJ$3,$E30&lt;=BJ$3+6),"▼",IF(AND($E30&gt;=BJ$3,$E30&lt;=BJ$3+6),$A30,"")))</f>
        <v/>
      </c>
    </row>
    <row r="31" customFormat="false" ht="15" hidden="false" customHeight="false" outlineLevel="0" collapsed="false">
      <c r="A31" s="28" t="n">
        <f aca="false">IF(工程マスタ!$C29="","",工程マスタ!$A29)</f>
        <v>25</v>
      </c>
      <c r="B31" s="46" t="str">
        <f aca="false">IF($A31="","",工程マスタ!$C29)</f>
        <v>シール・外部防水</v>
      </c>
      <c r="C31" s="28" t="n">
        <f aca="false">IF($A31="","",MAX(1,工程マスタ!$G29))</f>
        <v>18</v>
      </c>
      <c r="D31" s="28" t="str">
        <f aca="false">IF($A31="","",_xlfn.TEXTJOIN(",",TRUE(),工程マスタ!$N29:$P29))</f>
        <v>24</v>
      </c>
      <c r="E31" s="29" t="n">
        <f aca="false">IF($A31="","",IF(COUNT(工程マスタ!$N29:$P29)=0,設定!$B$8,MAX(IF(工程マスタ!$N29="",0,INDEX($F$7:$F$156,工程マスタ!$N29)),IF(工程マスタ!$O29="",0,INDEX($F$7:$F$156,工程マスタ!$O29)),IF(工程マスタ!$P29="",0,INDEX($F$7:$F$156,工程マスタ!$P29)))+1))</f>
        <v>46478</v>
      </c>
      <c r="F31" s="29" t="n">
        <f aca="false">IF($A31="","",$E31+$C31-1)</f>
        <v>46495</v>
      </c>
      <c r="G31" s="29" t="n">
        <f aca="false">IF($A31="","",$H31-$C31+1)</f>
        <v>46523</v>
      </c>
      <c r="H31" s="29" t="n">
        <f aca="false" t="array" ref="H31:H31">IF($A31="","",IF(SUMPRODUCT((工程マスタ!$N$30:$N$154=$A31)*1)+SUMPRODUCT((工程マスタ!$O$30:$O$154=$A31)*1)+SUMPRODUCT((工程マスタ!$P$30:$P$154=$A31)*1)=0,MAX($F$7:$F$156),MIN(IF((工程マスタ!$N$30:$N$154=$A31)+(工程マスタ!$O$30:$O$154=$A31)+(工程マスタ!$P$30:$P$154=$A31),$G32:$G$156))-1))</f>
        <v>46540</v>
      </c>
      <c r="I31" s="28" t="n">
        <f aca="false">IF($A31="","",$G31-$E31)</f>
        <v>45</v>
      </c>
      <c r="J31" s="28" t="str">
        <f aca="false">IF($A31="","",IF($I31&lt;=0,"●",""))</f>
        <v/>
      </c>
      <c r="K31" s="47" t="str">
        <f aca="false">IF($A31="","",IF(AND(INDEX(工程マスタ!$I$5:$I$154,$A31)="○",$E31&gt;=K$3,$E31&lt;=K$3+6),"▼",IF(AND($E31&gt;=K$3,$E31&lt;=K$3+6),$A31,"")))</f>
        <v/>
      </c>
      <c r="L31" s="47" t="str">
        <f aca="false">IF($A31="","",IF(AND(INDEX(工程マスタ!$I$5:$I$154,$A31)="○",$E31&gt;=L$3,$E31&lt;=L$3+6),"▼",IF(AND($E31&gt;=L$3,$E31&lt;=L$3+6),$A31,"")))</f>
        <v/>
      </c>
      <c r="M31" s="47" t="str">
        <f aca="false">IF($A31="","",IF(AND(INDEX(工程マスタ!$I$5:$I$154,$A31)="○",$E31&gt;=M$3,$E31&lt;=M$3+6),"▼",IF(AND($E31&gt;=M$3,$E31&lt;=M$3+6),$A31,"")))</f>
        <v/>
      </c>
      <c r="N31" s="47" t="str">
        <f aca="false">IF($A31="","",IF(AND(INDEX(工程マスタ!$I$5:$I$154,$A31)="○",$E31&gt;=N$3,$E31&lt;=N$3+6),"▼",IF(AND($E31&gt;=N$3,$E31&lt;=N$3+6),$A31,"")))</f>
        <v/>
      </c>
      <c r="O31" s="47" t="str">
        <f aca="false">IF($A31="","",IF(AND(INDEX(工程マスタ!$I$5:$I$154,$A31)="○",$E31&gt;=O$3,$E31&lt;=O$3+6),"▼",IF(AND($E31&gt;=O$3,$E31&lt;=O$3+6),$A31,"")))</f>
        <v/>
      </c>
      <c r="P31" s="47" t="str">
        <f aca="false">IF($A31="","",IF(AND(INDEX(工程マスタ!$I$5:$I$154,$A31)="○",$E31&gt;=P$3,$E31&lt;=P$3+6),"▼",IF(AND($E31&gt;=P$3,$E31&lt;=P$3+6),$A31,"")))</f>
        <v/>
      </c>
      <c r="Q31" s="47" t="str">
        <f aca="false">IF($A31="","",IF(AND(INDEX(工程マスタ!$I$5:$I$154,$A31)="○",$E31&gt;=Q$3,$E31&lt;=Q$3+6),"▼",IF(AND($E31&gt;=Q$3,$E31&lt;=Q$3+6),$A31,"")))</f>
        <v/>
      </c>
      <c r="R31" s="47" t="str">
        <f aca="false">IF($A31="","",IF(AND(INDEX(工程マスタ!$I$5:$I$154,$A31)="○",$E31&gt;=R$3,$E31&lt;=R$3+6),"▼",IF(AND($E31&gt;=R$3,$E31&lt;=R$3+6),$A31,"")))</f>
        <v/>
      </c>
      <c r="S31" s="47" t="str">
        <f aca="false">IF($A31="","",IF(AND(INDEX(工程マスタ!$I$5:$I$154,$A31)="○",$E31&gt;=S$3,$E31&lt;=S$3+6),"▼",IF(AND($E31&gt;=S$3,$E31&lt;=S$3+6),$A31,"")))</f>
        <v/>
      </c>
      <c r="T31" s="47" t="str">
        <f aca="false">IF($A31="","",IF(AND(INDEX(工程マスタ!$I$5:$I$154,$A31)="○",$E31&gt;=T$3,$E31&lt;=T$3+6),"▼",IF(AND($E31&gt;=T$3,$E31&lt;=T$3+6),$A31,"")))</f>
        <v/>
      </c>
      <c r="U31" s="47" t="str">
        <f aca="false">IF($A31="","",IF(AND(INDEX(工程マスタ!$I$5:$I$154,$A31)="○",$E31&gt;=U$3,$E31&lt;=U$3+6),"▼",IF(AND($E31&gt;=U$3,$E31&lt;=U$3+6),$A31,"")))</f>
        <v/>
      </c>
      <c r="V31" s="47" t="str">
        <f aca="false">IF($A31="","",IF(AND(INDEX(工程マスタ!$I$5:$I$154,$A31)="○",$E31&gt;=V$3,$E31&lt;=V$3+6),"▼",IF(AND($E31&gt;=V$3,$E31&lt;=V$3+6),$A31,"")))</f>
        <v/>
      </c>
      <c r="W31" s="47" t="str">
        <f aca="false">IF($A31="","",IF(AND(INDEX(工程マスタ!$I$5:$I$154,$A31)="○",$E31&gt;=W$3,$E31&lt;=W$3+6),"▼",IF(AND($E31&gt;=W$3,$E31&lt;=W$3+6),$A31,"")))</f>
        <v/>
      </c>
      <c r="X31" s="47" t="str">
        <f aca="false">IF($A31="","",IF(AND(INDEX(工程マスタ!$I$5:$I$154,$A31)="○",$E31&gt;=X$3,$E31&lt;=X$3+6),"▼",IF(AND($E31&gt;=X$3,$E31&lt;=X$3+6),$A31,"")))</f>
        <v/>
      </c>
      <c r="Y31" s="47" t="str">
        <f aca="false">IF($A31="","",IF(AND(INDEX(工程マスタ!$I$5:$I$154,$A31)="○",$E31&gt;=Y$3,$E31&lt;=Y$3+6),"▼",IF(AND($E31&gt;=Y$3,$E31&lt;=Y$3+6),$A31,"")))</f>
        <v/>
      </c>
      <c r="Z31" s="47" t="str">
        <f aca="false">IF($A31="","",IF(AND(INDEX(工程マスタ!$I$5:$I$154,$A31)="○",$E31&gt;=Z$3,$E31&lt;=Z$3+6),"▼",IF(AND($E31&gt;=Z$3,$E31&lt;=Z$3+6),$A31,"")))</f>
        <v/>
      </c>
      <c r="AA31" s="47" t="str">
        <f aca="false">IF($A31="","",IF(AND(INDEX(工程マスタ!$I$5:$I$154,$A31)="○",$E31&gt;=AA$3,$E31&lt;=AA$3+6),"▼",IF(AND($E31&gt;=AA$3,$E31&lt;=AA$3+6),$A31,"")))</f>
        <v/>
      </c>
      <c r="AB31" s="47" t="str">
        <f aca="false">IF($A31="","",IF(AND(INDEX(工程マスタ!$I$5:$I$154,$A31)="○",$E31&gt;=AB$3,$E31&lt;=AB$3+6),"▼",IF(AND($E31&gt;=AB$3,$E31&lt;=AB$3+6),$A31,"")))</f>
        <v/>
      </c>
      <c r="AC31" s="47" t="str">
        <f aca="false">IF($A31="","",IF(AND(INDEX(工程マスタ!$I$5:$I$154,$A31)="○",$E31&gt;=AC$3,$E31&lt;=AC$3+6),"▼",IF(AND($E31&gt;=AC$3,$E31&lt;=AC$3+6),$A31,"")))</f>
        <v/>
      </c>
      <c r="AD31" s="47" t="str">
        <f aca="false">IF($A31="","",IF(AND(INDEX(工程マスタ!$I$5:$I$154,$A31)="○",$E31&gt;=AD$3,$E31&lt;=AD$3+6),"▼",IF(AND($E31&gt;=AD$3,$E31&lt;=AD$3+6),$A31,"")))</f>
        <v/>
      </c>
      <c r="AE31" s="47" t="str">
        <f aca="false">IF($A31="","",IF(AND(INDEX(工程マスタ!$I$5:$I$154,$A31)="○",$E31&gt;=AE$3,$E31&lt;=AE$3+6),"▼",IF(AND($E31&gt;=AE$3,$E31&lt;=AE$3+6),$A31,"")))</f>
        <v/>
      </c>
      <c r="AF31" s="47" t="str">
        <f aca="false">IF($A31="","",IF(AND(INDEX(工程マスタ!$I$5:$I$154,$A31)="○",$E31&gt;=AF$3,$E31&lt;=AF$3+6),"▼",IF(AND($E31&gt;=AF$3,$E31&lt;=AF$3+6),$A31,"")))</f>
        <v/>
      </c>
      <c r="AG31" s="47" t="str">
        <f aca="false">IF($A31="","",IF(AND(INDEX(工程マスタ!$I$5:$I$154,$A31)="○",$E31&gt;=AG$3,$E31&lt;=AG$3+6),"▼",IF(AND($E31&gt;=AG$3,$E31&lt;=AG$3+6),$A31,"")))</f>
        <v/>
      </c>
      <c r="AH31" s="47" t="str">
        <f aca="false">IF($A31="","",IF(AND(INDEX(工程マスタ!$I$5:$I$154,$A31)="○",$E31&gt;=AH$3,$E31&lt;=AH$3+6),"▼",IF(AND($E31&gt;=AH$3,$E31&lt;=AH$3+6),$A31,"")))</f>
        <v/>
      </c>
      <c r="AI31" s="47" t="str">
        <f aca="false">IF($A31="","",IF(AND(INDEX(工程マスタ!$I$5:$I$154,$A31)="○",$E31&gt;=AI$3,$E31&lt;=AI$3+6),"▼",IF(AND($E31&gt;=AI$3,$E31&lt;=AI$3+6),$A31,"")))</f>
        <v/>
      </c>
      <c r="AJ31" s="47" t="str">
        <f aca="false">IF($A31="","",IF(AND(INDEX(工程マスタ!$I$5:$I$154,$A31)="○",$E31&gt;=AJ$3,$E31&lt;=AJ$3+6),"▼",IF(AND($E31&gt;=AJ$3,$E31&lt;=AJ$3+6),$A31,"")))</f>
        <v/>
      </c>
      <c r="AK31" s="47" t="str">
        <f aca="false">IF($A31="","",IF(AND(INDEX(工程マスタ!$I$5:$I$154,$A31)="○",$E31&gt;=AK$3,$E31&lt;=AK$3+6),"▼",IF(AND($E31&gt;=AK$3,$E31&lt;=AK$3+6),$A31,"")))</f>
        <v/>
      </c>
      <c r="AL31" s="47" t="str">
        <f aca="false">IF($A31="","",IF(AND(INDEX(工程マスタ!$I$5:$I$154,$A31)="○",$E31&gt;=AL$3,$E31&lt;=AL$3+6),"▼",IF(AND($E31&gt;=AL$3,$E31&lt;=AL$3+6),$A31,"")))</f>
        <v/>
      </c>
      <c r="AM31" s="47" t="str">
        <f aca="false">IF($A31="","",IF(AND(INDEX(工程マスタ!$I$5:$I$154,$A31)="○",$E31&gt;=AM$3,$E31&lt;=AM$3+6),"▼",IF(AND($E31&gt;=AM$3,$E31&lt;=AM$3+6),$A31,"")))</f>
        <v/>
      </c>
      <c r="AN31" s="47" t="str">
        <f aca="false">IF($A31="","",IF(AND(INDEX(工程マスタ!$I$5:$I$154,$A31)="○",$E31&gt;=AN$3,$E31&lt;=AN$3+6),"▼",IF(AND($E31&gt;=AN$3,$E31&lt;=AN$3+6),$A31,"")))</f>
        <v/>
      </c>
      <c r="AO31" s="47" t="str">
        <f aca="false">IF($A31="","",IF(AND(INDEX(工程マスタ!$I$5:$I$154,$A31)="○",$E31&gt;=AO$3,$E31&lt;=AO$3+6),"▼",IF(AND($E31&gt;=AO$3,$E31&lt;=AO$3+6),$A31,"")))</f>
        <v/>
      </c>
      <c r="AP31" s="47" t="str">
        <f aca="false">IF($A31="","",IF(AND(INDEX(工程マスタ!$I$5:$I$154,$A31)="○",$E31&gt;=AP$3,$E31&lt;=AP$3+6),"▼",IF(AND($E31&gt;=AP$3,$E31&lt;=AP$3+6),$A31,"")))</f>
        <v/>
      </c>
      <c r="AQ31" s="47" t="str">
        <f aca="false">IF($A31="","",IF(AND(INDEX(工程マスタ!$I$5:$I$154,$A31)="○",$E31&gt;=AQ$3,$E31&lt;=AQ$3+6),"▼",IF(AND($E31&gt;=AQ$3,$E31&lt;=AQ$3+6),$A31,"")))</f>
        <v/>
      </c>
      <c r="AR31" s="47" t="str">
        <f aca="false">IF($A31="","",IF(AND(INDEX(工程マスタ!$I$5:$I$154,$A31)="○",$E31&gt;=AR$3,$E31&lt;=AR$3+6),"▼",IF(AND($E31&gt;=AR$3,$E31&lt;=AR$3+6),$A31,"")))</f>
        <v/>
      </c>
      <c r="AS31" s="47" t="str">
        <f aca="false">IF($A31="","",IF(AND(INDEX(工程マスタ!$I$5:$I$154,$A31)="○",$E31&gt;=AS$3,$E31&lt;=AS$3+6),"▼",IF(AND($E31&gt;=AS$3,$E31&lt;=AS$3+6),$A31,"")))</f>
        <v/>
      </c>
      <c r="AT31" s="47" t="str">
        <f aca="false">IF($A31="","",IF(AND(INDEX(工程マスタ!$I$5:$I$154,$A31)="○",$E31&gt;=AT$3,$E31&lt;=AT$3+6),"▼",IF(AND($E31&gt;=AT$3,$E31&lt;=AT$3+6),$A31,"")))</f>
        <v/>
      </c>
      <c r="AU31" s="47" t="str">
        <f aca="false">IF($A31="","",IF(AND(INDEX(工程マスタ!$I$5:$I$154,$A31)="○",$E31&gt;=AU$3,$E31&lt;=AU$3+6),"▼",IF(AND($E31&gt;=AU$3,$E31&lt;=AU$3+6),$A31,"")))</f>
        <v/>
      </c>
      <c r="AV31" s="47" t="str">
        <f aca="false">IF($A31="","",IF(AND(INDEX(工程マスタ!$I$5:$I$154,$A31)="○",$E31&gt;=AV$3,$E31&lt;=AV$3+6),"▼",IF(AND($E31&gt;=AV$3,$E31&lt;=AV$3+6),$A31,"")))</f>
        <v/>
      </c>
      <c r="AW31" s="47" t="str">
        <f aca="false">IF($A31="","",IF(AND(INDEX(工程マスタ!$I$5:$I$154,$A31)="○",$E31&gt;=AW$3,$E31&lt;=AW$3+6),"▼",IF(AND($E31&gt;=AW$3,$E31&lt;=AW$3+6),$A31,"")))</f>
        <v/>
      </c>
      <c r="AX31" s="47" t="n">
        <f aca="false">IF($A31="","",IF(AND(INDEX(工程マスタ!$I$5:$I$154,$A31)="○",$E31&gt;=AX$3,$E31&lt;=AX$3+6),"▼",IF(AND($E31&gt;=AX$3,$E31&lt;=AX$3+6),$A31,"")))</f>
        <v>25</v>
      </c>
      <c r="AY31" s="47" t="str">
        <f aca="false">IF($A31="","",IF(AND(INDEX(工程マスタ!$I$5:$I$154,$A31)="○",$E31&gt;=AY$3,$E31&lt;=AY$3+6),"▼",IF(AND($E31&gt;=AY$3,$E31&lt;=AY$3+6),$A31,"")))</f>
        <v/>
      </c>
      <c r="AZ31" s="47" t="str">
        <f aca="false">IF($A31="","",IF(AND(INDEX(工程マスタ!$I$5:$I$154,$A31)="○",$E31&gt;=AZ$3,$E31&lt;=AZ$3+6),"▼",IF(AND($E31&gt;=AZ$3,$E31&lt;=AZ$3+6),$A31,"")))</f>
        <v/>
      </c>
      <c r="BA31" s="47" t="str">
        <f aca="false">IF($A31="","",IF(AND(INDEX(工程マスタ!$I$5:$I$154,$A31)="○",$E31&gt;=BA$3,$E31&lt;=BA$3+6),"▼",IF(AND($E31&gt;=BA$3,$E31&lt;=BA$3+6),$A31,"")))</f>
        <v/>
      </c>
      <c r="BB31" s="47" t="str">
        <f aca="false">IF($A31="","",IF(AND(INDEX(工程マスタ!$I$5:$I$154,$A31)="○",$E31&gt;=BB$3,$E31&lt;=BB$3+6),"▼",IF(AND($E31&gt;=BB$3,$E31&lt;=BB$3+6),$A31,"")))</f>
        <v/>
      </c>
      <c r="BC31" s="47" t="str">
        <f aca="false">IF($A31="","",IF(AND(INDEX(工程マスタ!$I$5:$I$154,$A31)="○",$E31&gt;=BC$3,$E31&lt;=BC$3+6),"▼",IF(AND($E31&gt;=BC$3,$E31&lt;=BC$3+6),$A31,"")))</f>
        <v/>
      </c>
      <c r="BD31" s="47" t="str">
        <f aca="false">IF($A31="","",IF(AND(INDEX(工程マスタ!$I$5:$I$154,$A31)="○",$E31&gt;=BD$3,$E31&lt;=BD$3+6),"▼",IF(AND($E31&gt;=BD$3,$E31&lt;=BD$3+6),$A31,"")))</f>
        <v/>
      </c>
      <c r="BE31" s="47" t="str">
        <f aca="false">IF($A31="","",IF(AND(INDEX(工程マスタ!$I$5:$I$154,$A31)="○",$E31&gt;=BE$3,$E31&lt;=BE$3+6),"▼",IF(AND($E31&gt;=BE$3,$E31&lt;=BE$3+6),$A31,"")))</f>
        <v/>
      </c>
      <c r="BF31" s="47" t="str">
        <f aca="false">IF($A31="","",IF(AND(INDEX(工程マスタ!$I$5:$I$154,$A31)="○",$E31&gt;=BF$3,$E31&lt;=BF$3+6),"▼",IF(AND($E31&gt;=BF$3,$E31&lt;=BF$3+6),$A31,"")))</f>
        <v/>
      </c>
      <c r="BG31" s="47" t="str">
        <f aca="false">IF($A31="","",IF(AND(INDEX(工程マスタ!$I$5:$I$154,$A31)="○",$E31&gt;=BG$3,$E31&lt;=BG$3+6),"▼",IF(AND($E31&gt;=BG$3,$E31&lt;=BG$3+6),$A31,"")))</f>
        <v/>
      </c>
      <c r="BH31" s="47" t="str">
        <f aca="false">IF($A31="","",IF(AND(INDEX(工程マスタ!$I$5:$I$154,$A31)="○",$E31&gt;=BH$3,$E31&lt;=BH$3+6),"▼",IF(AND($E31&gt;=BH$3,$E31&lt;=BH$3+6),$A31,"")))</f>
        <v/>
      </c>
      <c r="BI31" s="47" t="str">
        <f aca="false">IF($A31="","",IF(AND(INDEX(工程マスタ!$I$5:$I$154,$A31)="○",$E31&gt;=BI$3,$E31&lt;=BI$3+6),"▼",IF(AND($E31&gt;=BI$3,$E31&lt;=BI$3+6),$A31,"")))</f>
        <v/>
      </c>
      <c r="BJ31" s="47" t="str">
        <f aca="false">IF($A31="","",IF(AND(INDEX(工程マスタ!$I$5:$I$154,$A31)="○",$E31&gt;=BJ$3,$E31&lt;=BJ$3+6),"▼",IF(AND($E31&gt;=BJ$3,$E31&lt;=BJ$3+6),$A31,"")))</f>
        <v/>
      </c>
    </row>
    <row r="32" customFormat="false" ht="15" hidden="false" customHeight="false" outlineLevel="0" collapsed="false">
      <c r="A32" s="28" t="n">
        <f aca="false">IF(工程マスタ!$C30="","",工程マスタ!$A30)</f>
        <v>26</v>
      </c>
      <c r="B32" s="46" t="str">
        <f aca="false">IF($A32="","",工程マスタ!$C30)</f>
        <v>外壁塗装・仕上</v>
      </c>
      <c r="C32" s="28" t="n">
        <f aca="false">IF($A32="","",MAX(1,工程マスタ!$G30))</f>
        <v>19</v>
      </c>
      <c r="D32" s="28" t="str">
        <f aca="false">IF($A32="","",_xlfn.TEXTJOIN(",",TRUE(),工程マスタ!$N30:$P30))</f>
        <v>25</v>
      </c>
      <c r="E32" s="29" t="n">
        <f aca="false">IF($A32="","",IF(COUNT(工程マスタ!$N30:$P30)=0,設定!$B$8,MAX(IF(工程マスタ!$N30="",0,INDEX($F$7:$F$156,工程マスタ!$N30)),IF(工程マスタ!$O30="",0,INDEX($F$7:$F$156,工程マスタ!$O30)),IF(工程マスタ!$P30="",0,INDEX($F$7:$F$156,工程マスタ!$P30)))+1))</f>
        <v>46496</v>
      </c>
      <c r="F32" s="29" t="n">
        <f aca="false">IF($A32="","",$E32+$C32-1)</f>
        <v>46514</v>
      </c>
      <c r="G32" s="29" t="n">
        <f aca="false">IF($A32="","",$H32-$C32+1)</f>
        <v>46554</v>
      </c>
      <c r="H32" s="29" t="n">
        <f aca="false" t="array" ref="H32:H32">IF($A32="","",IF(SUMPRODUCT((工程マスタ!$N$31:$N$154=$A32)*1)+SUMPRODUCT((工程マスタ!$O$31:$O$154=$A32)*1)+SUMPRODUCT((工程マスタ!$P$31:$P$154=$A32)*1)=0,MAX($F$7:$F$156),MIN(IF((工程マスタ!$N$31:$N$154=$A32)+(工程マスタ!$O$31:$O$154=$A32)+(工程マスタ!$P$31:$P$154=$A32),$G33:$G$156))-1))</f>
        <v>46572</v>
      </c>
      <c r="I32" s="28" t="n">
        <f aca="false">IF($A32="","",$G32-$E32)</f>
        <v>58</v>
      </c>
      <c r="J32" s="28" t="str">
        <f aca="false">IF($A32="","",IF($I32&lt;=0,"●",""))</f>
        <v/>
      </c>
      <c r="K32" s="47" t="str">
        <f aca="false">IF($A32="","",IF(AND(INDEX(工程マスタ!$I$5:$I$154,$A32)="○",$E32&gt;=K$3,$E32&lt;=K$3+6),"▼",IF(AND($E32&gt;=K$3,$E32&lt;=K$3+6),$A32,"")))</f>
        <v/>
      </c>
      <c r="L32" s="47" t="str">
        <f aca="false">IF($A32="","",IF(AND(INDEX(工程マスタ!$I$5:$I$154,$A32)="○",$E32&gt;=L$3,$E32&lt;=L$3+6),"▼",IF(AND($E32&gt;=L$3,$E32&lt;=L$3+6),$A32,"")))</f>
        <v/>
      </c>
      <c r="M32" s="47" t="str">
        <f aca="false">IF($A32="","",IF(AND(INDEX(工程マスタ!$I$5:$I$154,$A32)="○",$E32&gt;=M$3,$E32&lt;=M$3+6),"▼",IF(AND($E32&gt;=M$3,$E32&lt;=M$3+6),$A32,"")))</f>
        <v/>
      </c>
      <c r="N32" s="47" t="str">
        <f aca="false">IF($A32="","",IF(AND(INDEX(工程マスタ!$I$5:$I$154,$A32)="○",$E32&gt;=N$3,$E32&lt;=N$3+6),"▼",IF(AND($E32&gt;=N$3,$E32&lt;=N$3+6),$A32,"")))</f>
        <v/>
      </c>
      <c r="O32" s="47" t="str">
        <f aca="false">IF($A32="","",IF(AND(INDEX(工程マスタ!$I$5:$I$154,$A32)="○",$E32&gt;=O$3,$E32&lt;=O$3+6),"▼",IF(AND($E32&gt;=O$3,$E32&lt;=O$3+6),$A32,"")))</f>
        <v/>
      </c>
      <c r="P32" s="47" t="str">
        <f aca="false">IF($A32="","",IF(AND(INDEX(工程マスタ!$I$5:$I$154,$A32)="○",$E32&gt;=P$3,$E32&lt;=P$3+6),"▼",IF(AND($E32&gt;=P$3,$E32&lt;=P$3+6),$A32,"")))</f>
        <v/>
      </c>
      <c r="Q32" s="47" t="str">
        <f aca="false">IF($A32="","",IF(AND(INDEX(工程マスタ!$I$5:$I$154,$A32)="○",$E32&gt;=Q$3,$E32&lt;=Q$3+6),"▼",IF(AND($E32&gt;=Q$3,$E32&lt;=Q$3+6),$A32,"")))</f>
        <v/>
      </c>
      <c r="R32" s="47" t="str">
        <f aca="false">IF($A32="","",IF(AND(INDEX(工程マスタ!$I$5:$I$154,$A32)="○",$E32&gt;=R$3,$E32&lt;=R$3+6),"▼",IF(AND($E32&gt;=R$3,$E32&lt;=R$3+6),$A32,"")))</f>
        <v/>
      </c>
      <c r="S32" s="47" t="str">
        <f aca="false">IF($A32="","",IF(AND(INDEX(工程マスタ!$I$5:$I$154,$A32)="○",$E32&gt;=S$3,$E32&lt;=S$3+6),"▼",IF(AND($E32&gt;=S$3,$E32&lt;=S$3+6),$A32,"")))</f>
        <v/>
      </c>
      <c r="T32" s="47" t="str">
        <f aca="false">IF($A32="","",IF(AND(INDEX(工程マスタ!$I$5:$I$154,$A32)="○",$E32&gt;=T$3,$E32&lt;=T$3+6),"▼",IF(AND($E32&gt;=T$3,$E32&lt;=T$3+6),$A32,"")))</f>
        <v/>
      </c>
      <c r="U32" s="47" t="str">
        <f aca="false">IF($A32="","",IF(AND(INDEX(工程マスタ!$I$5:$I$154,$A32)="○",$E32&gt;=U$3,$E32&lt;=U$3+6),"▼",IF(AND($E32&gt;=U$3,$E32&lt;=U$3+6),$A32,"")))</f>
        <v/>
      </c>
      <c r="V32" s="47" t="str">
        <f aca="false">IF($A32="","",IF(AND(INDEX(工程マスタ!$I$5:$I$154,$A32)="○",$E32&gt;=V$3,$E32&lt;=V$3+6),"▼",IF(AND($E32&gt;=V$3,$E32&lt;=V$3+6),$A32,"")))</f>
        <v/>
      </c>
      <c r="W32" s="47" t="str">
        <f aca="false">IF($A32="","",IF(AND(INDEX(工程マスタ!$I$5:$I$154,$A32)="○",$E32&gt;=W$3,$E32&lt;=W$3+6),"▼",IF(AND($E32&gt;=W$3,$E32&lt;=W$3+6),$A32,"")))</f>
        <v/>
      </c>
      <c r="X32" s="47" t="str">
        <f aca="false">IF($A32="","",IF(AND(INDEX(工程マスタ!$I$5:$I$154,$A32)="○",$E32&gt;=X$3,$E32&lt;=X$3+6),"▼",IF(AND($E32&gt;=X$3,$E32&lt;=X$3+6),$A32,"")))</f>
        <v/>
      </c>
      <c r="Y32" s="47" t="str">
        <f aca="false">IF($A32="","",IF(AND(INDEX(工程マスタ!$I$5:$I$154,$A32)="○",$E32&gt;=Y$3,$E32&lt;=Y$3+6),"▼",IF(AND($E32&gt;=Y$3,$E32&lt;=Y$3+6),$A32,"")))</f>
        <v/>
      </c>
      <c r="Z32" s="47" t="str">
        <f aca="false">IF($A32="","",IF(AND(INDEX(工程マスタ!$I$5:$I$154,$A32)="○",$E32&gt;=Z$3,$E32&lt;=Z$3+6),"▼",IF(AND($E32&gt;=Z$3,$E32&lt;=Z$3+6),$A32,"")))</f>
        <v/>
      </c>
      <c r="AA32" s="47" t="str">
        <f aca="false">IF($A32="","",IF(AND(INDEX(工程マスタ!$I$5:$I$154,$A32)="○",$E32&gt;=AA$3,$E32&lt;=AA$3+6),"▼",IF(AND($E32&gt;=AA$3,$E32&lt;=AA$3+6),$A32,"")))</f>
        <v/>
      </c>
      <c r="AB32" s="47" t="str">
        <f aca="false">IF($A32="","",IF(AND(INDEX(工程マスタ!$I$5:$I$154,$A32)="○",$E32&gt;=AB$3,$E32&lt;=AB$3+6),"▼",IF(AND($E32&gt;=AB$3,$E32&lt;=AB$3+6),$A32,"")))</f>
        <v/>
      </c>
      <c r="AC32" s="47" t="str">
        <f aca="false">IF($A32="","",IF(AND(INDEX(工程マスタ!$I$5:$I$154,$A32)="○",$E32&gt;=AC$3,$E32&lt;=AC$3+6),"▼",IF(AND($E32&gt;=AC$3,$E32&lt;=AC$3+6),$A32,"")))</f>
        <v/>
      </c>
      <c r="AD32" s="47" t="str">
        <f aca="false">IF($A32="","",IF(AND(INDEX(工程マスタ!$I$5:$I$154,$A32)="○",$E32&gt;=AD$3,$E32&lt;=AD$3+6),"▼",IF(AND($E32&gt;=AD$3,$E32&lt;=AD$3+6),$A32,"")))</f>
        <v/>
      </c>
      <c r="AE32" s="47" t="str">
        <f aca="false">IF($A32="","",IF(AND(INDEX(工程マスタ!$I$5:$I$154,$A32)="○",$E32&gt;=AE$3,$E32&lt;=AE$3+6),"▼",IF(AND($E32&gt;=AE$3,$E32&lt;=AE$3+6),$A32,"")))</f>
        <v/>
      </c>
      <c r="AF32" s="47" t="str">
        <f aca="false">IF($A32="","",IF(AND(INDEX(工程マスタ!$I$5:$I$154,$A32)="○",$E32&gt;=AF$3,$E32&lt;=AF$3+6),"▼",IF(AND($E32&gt;=AF$3,$E32&lt;=AF$3+6),$A32,"")))</f>
        <v/>
      </c>
      <c r="AG32" s="47" t="str">
        <f aca="false">IF($A32="","",IF(AND(INDEX(工程マスタ!$I$5:$I$154,$A32)="○",$E32&gt;=AG$3,$E32&lt;=AG$3+6),"▼",IF(AND($E32&gt;=AG$3,$E32&lt;=AG$3+6),$A32,"")))</f>
        <v/>
      </c>
      <c r="AH32" s="47" t="str">
        <f aca="false">IF($A32="","",IF(AND(INDEX(工程マスタ!$I$5:$I$154,$A32)="○",$E32&gt;=AH$3,$E32&lt;=AH$3+6),"▼",IF(AND($E32&gt;=AH$3,$E32&lt;=AH$3+6),$A32,"")))</f>
        <v/>
      </c>
      <c r="AI32" s="47" t="str">
        <f aca="false">IF($A32="","",IF(AND(INDEX(工程マスタ!$I$5:$I$154,$A32)="○",$E32&gt;=AI$3,$E32&lt;=AI$3+6),"▼",IF(AND($E32&gt;=AI$3,$E32&lt;=AI$3+6),$A32,"")))</f>
        <v/>
      </c>
      <c r="AJ32" s="47" t="str">
        <f aca="false">IF($A32="","",IF(AND(INDEX(工程マスタ!$I$5:$I$154,$A32)="○",$E32&gt;=AJ$3,$E32&lt;=AJ$3+6),"▼",IF(AND($E32&gt;=AJ$3,$E32&lt;=AJ$3+6),$A32,"")))</f>
        <v/>
      </c>
      <c r="AK32" s="47" t="str">
        <f aca="false">IF($A32="","",IF(AND(INDEX(工程マスタ!$I$5:$I$154,$A32)="○",$E32&gt;=AK$3,$E32&lt;=AK$3+6),"▼",IF(AND($E32&gt;=AK$3,$E32&lt;=AK$3+6),$A32,"")))</f>
        <v/>
      </c>
      <c r="AL32" s="47" t="str">
        <f aca="false">IF($A32="","",IF(AND(INDEX(工程マスタ!$I$5:$I$154,$A32)="○",$E32&gt;=AL$3,$E32&lt;=AL$3+6),"▼",IF(AND($E32&gt;=AL$3,$E32&lt;=AL$3+6),$A32,"")))</f>
        <v/>
      </c>
      <c r="AM32" s="47" t="str">
        <f aca="false">IF($A32="","",IF(AND(INDEX(工程マスタ!$I$5:$I$154,$A32)="○",$E32&gt;=AM$3,$E32&lt;=AM$3+6),"▼",IF(AND($E32&gt;=AM$3,$E32&lt;=AM$3+6),$A32,"")))</f>
        <v/>
      </c>
      <c r="AN32" s="47" t="str">
        <f aca="false">IF($A32="","",IF(AND(INDEX(工程マスタ!$I$5:$I$154,$A32)="○",$E32&gt;=AN$3,$E32&lt;=AN$3+6),"▼",IF(AND($E32&gt;=AN$3,$E32&lt;=AN$3+6),$A32,"")))</f>
        <v/>
      </c>
      <c r="AO32" s="47" t="str">
        <f aca="false">IF($A32="","",IF(AND(INDEX(工程マスタ!$I$5:$I$154,$A32)="○",$E32&gt;=AO$3,$E32&lt;=AO$3+6),"▼",IF(AND($E32&gt;=AO$3,$E32&lt;=AO$3+6),$A32,"")))</f>
        <v/>
      </c>
      <c r="AP32" s="47" t="str">
        <f aca="false">IF($A32="","",IF(AND(INDEX(工程マスタ!$I$5:$I$154,$A32)="○",$E32&gt;=AP$3,$E32&lt;=AP$3+6),"▼",IF(AND($E32&gt;=AP$3,$E32&lt;=AP$3+6),$A32,"")))</f>
        <v/>
      </c>
      <c r="AQ32" s="47" t="str">
        <f aca="false">IF($A32="","",IF(AND(INDEX(工程マスタ!$I$5:$I$154,$A32)="○",$E32&gt;=AQ$3,$E32&lt;=AQ$3+6),"▼",IF(AND($E32&gt;=AQ$3,$E32&lt;=AQ$3+6),$A32,"")))</f>
        <v/>
      </c>
      <c r="AR32" s="47" t="str">
        <f aca="false">IF($A32="","",IF(AND(INDEX(工程マスタ!$I$5:$I$154,$A32)="○",$E32&gt;=AR$3,$E32&lt;=AR$3+6),"▼",IF(AND($E32&gt;=AR$3,$E32&lt;=AR$3+6),$A32,"")))</f>
        <v/>
      </c>
      <c r="AS32" s="47" t="str">
        <f aca="false">IF($A32="","",IF(AND(INDEX(工程マスタ!$I$5:$I$154,$A32)="○",$E32&gt;=AS$3,$E32&lt;=AS$3+6),"▼",IF(AND($E32&gt;=AS$3,$E32&lt;=AS$3+6),$A32,"")))</f>
        <v/>
      </c>
      <c r="AT32" s="47" t="str">
        <f aca="false">IF($A32="","",IF(AND(INDEX(工程マスタ!$I$5:$I$154,$A32)="○",$E32&gt;=AT$3,$E32&lt;=AT$3+6),"▼",IF(AND($E32&gt;=AT$3,$E32&lt;=AT$3+6),$A32,"")))</f>
        <v/>
      </c>
      <c r="AU32" s="47" t="str">
        <f aca="false">IF($A32="","",IF(AND(INDEX(工程マスタ!$I$5:$I$154,$A32)="○",$E32&gt;=AU$3,$E32&lt;=AU$3+6),"▼",IF(AND($E32&gt;=AU$3,$E32&lt;=AU$3+6),$A32,"")))</f>
        <v/>
      </c>
      <c r="AV32" s="47" t="str">
        <f aca="false">IF($A32="","",IF(AND(INDEX(工程マスタ!$I$5:$I$154,$A32)="○",$E32&gt;=AV$3,$E32&lt;=AV$3+6),"▼",IF(AND($E32&gt;=AV$3,$E32&lt;=AV$3+6),$A32,"")))</f>
        <v/>
      </c>
      <c r="AW32" s="47" t="str">
        <f aca="false">IF($A32="","",IF(AND(INDEX(工程マスタ!$I$5:$I$154,$A32)="○",$E32&gt;=AW$3,$E32&lt;=AW$3+6),"▼",IF(AND($E32&gt;=AW$3,$E32&lt;=AW$3+6),$A32,"")))</f>
        <v/>
      </c>
      <c r="AX32" s="47" t="str">
        <f aca="false">IF($A32="","",IF(AND(INDEX(工程マスタ!$I$5:$I$154,$A32)="○",$E32&gt;=AX$3,$E32&lt;=AX$3+6),"▼",IF(AND($E32&gt;=AX$3,$E32&lt;=AX$3+6),$A32,"")))</f>
        <v/>
      </c>
      <c r="AY32" s="47" t="str">
        <f aca="false">IF($A32="","",IF(AND(INDEX(工程マスタ!$I$5:$I$154,$A32)="○",$E32&gt;=AY$3,$E32&lt;=AY$3+6),"▼",IF(AND($E32&gt;=AY$3,$E32&lt;=AY$3+6),$A32,"")))</f>
        <v/>
      </c>
      <c r="AZ32" s="47" t="n">
        <f aca="false">IF($A32="","",IF(AND(INDEX(工程マスタ!$I$5:$I$154,$A32)="○",$E32&gt;=AZ$3,$E32&lt;=AZ$3+6),"▼",IF(AND($E32&gt;=AZ$3,$E32&lt;=AZ$3+6),$A32,"")))</f>
        <v>26</v>
      </c>
      <c r="BA32" s="47" t="str">
        <f aca="false">IF($A32="","",IF(AND(INDEX(工程マスタ!$I$5:$I$154,$A32)="○",$E32&gt;=BA$3,$E32&lt;=BA$3+6),"▼",IF(AND($E32&gt;=BA$3,$E32&lt;=BA$3+6),$A32,"")))</f>
        <v/>
      </c>
      <c r="BB32" s="47" t="str">
        <f aca="false">IF($A32="","",IF(AND(INDEX(工程マスタ!$I$5:$I$154,$A32)="○",$E32&gt;=BB$3,$E32&lt;=BB$3+6),"▼",IF(AND($E32&gt;=BB$3,$E32&lt;=BB$3+6),$A32,"")))</f>
        <v/>
      </c>
      <c r="BC32" s="47" t="str">
        <f aca="false">IF($A32="","",IF(AND(INDEX(工程マスタ!$I$5:$I$154,$A32)="○",$E32&gt;=BC$3,$E32&lt;=BC$3+6),"▼",IF(AND($E32&gt;=BC$3,$E32&lt;=BC$3+6),$A32,"")))</f>
        <v/>
      </c>
      <c r="BD32" s="47" t="str">
        <f aca="false">IF($A32="","",IF(AND(INDEX(工程マスタ!$I$5:$I$154,$A32)="○",$E32&gt;=BD$3,$E32&lt;=BD$3+6),"▼",IF(AND($E32&gt;=BD$3,$E32&lt;=BD$3+6),$A32,"")))</f>
        <v/>
      </c>
      <c r="BE32" s="47" t="str">
        <f aca="false">IF($A32="","",IF(AND(INDEX(工程マスタ!$I$5:$I$154,$A32)="○",$E32&gt;=BE$3,$E32&lt;=BE$3+6),"▼",IF(AND($E32&gt;=BE$3,$E32&lt;=BE$3+6),$A32,"")))</f>
        <v/>
      </c>
      <c r="BF32" s="47" t="str">
        <f aca="false">IF($A32="","",IF(AND(INDEX(工程マスタ!$I$5:$I$154,$A32)="○",$E32&gt;=BF$3,$E32&lt;=BF$3+6),"▼",IF(AND($E32&gt;=BF$3,$E32&lt;=BF$3+6),$A32,"")))</f>
        <v/>
      </c>
      <c r="BG32" s="47" t="str">
        <f aca="false">IF($A32="","",IF(AND(INDEX(工程マスタ!$I$5:$I$154,$A32)="○",$E32&gt;=BG$3,$E32&lt;=BG$3+6),"▼",IF(AND($E32&gt;=BG$3,$E32&lt;=BG$3+6),$A32,"")))</f>
        <v/>
      </c>
      <c r="BH32" s="47" t="str">
        <f aca="false">IF($A32="","",IF(AND(INDEX(工程マスタ!$I$5:$I$154,$A32)="○",$E32&gt;=BH$3,$E32&lt;=BH$3+6),"▼",IF(AND($E32&gt;=BH$3,$E32&lt;=BH$3+6),$A32,"")))</f>
        <v/>
      </c>
      <c r="BI32" s="47" t="str">
        <f aca="false">IF($A32="","",IF(AND(INDEX(工程マスタ!$I$5:$I$154,$A32)="○",$E32&gt;=BI$3,$E32&lt;=BI$3+6),"▼",IF(AND($E32&gt;=BI$3,$E32&lt;=BI$3+6),$A32,"")))</f>
        <v/>
      </c>
      <c r="BJ32" s="47" t="str">
        <f aca="false">IF($A32="","",IF(AND(INDEX(工程マスタ!$I$5:$I$154,$A32)="○",$E32&gt;=BJ$3,$E32&lt;=BJ$3+6),"▼",IF(AND($E32&gt;=BJ$3,$E32&lt;=BJ$3+6),$A32,"")))</f>
        <v/>
      </c>
    </row>
    <row r="33" customFormat="false" ht="15" hidden="false" customHeight="false" outlineLevel="0" collapsed="false">
      <c r="A33" s="28" t="n">
        <f aca="false">IF(工程マスタ!$C31="","",工程マスタ!$A31)</f>
        <v>27</v>
      </c>
      <c r="B33" s="46" t="str">
        <f aca="false">IF($A33="","",工程マスタ!$C31)</f>
        <v>外部足場解体</v>
      </c>
      <c r="C33" s="28" t="n">
        <f aca="false">IF($A33="","",MAX(1,工程マスタ!$G31))</f>
        <v>1</v>
      </c>
      <c r="D33" s="28" t="str">
        <f aca="false">IF($A33="","",_xlfn.TEXTJOIN(",",TRUE(),工程マスタ!$N31:$P31))</f>
        <v>26</v>
      </c>
      <c r="E33" s="29" t="n">
        <f aca="false">IF($A33="","",IF(COUNT(工程マスタ!$N31:$P31)=0,設定!$B$8,MAX(IF(工程マスタ!$N31="",0,INDEX($F$7:$F$156,工程マスタ!$N31)),IF(工程マスタ!$O31="",0,INDEX($F$7:$F$156,工程マスタ!$O31)),IF(工程マスタ!$P31="",0,INDEX($F$7:$F$156,工程マスタ!$P31)))+1))</f>
        <v>46515</v>
      </c>
      <c r="F33" s="29" t="n">
        <f aca="false">IF($A33="","",$E33+$C33-1)</f>
        <v>46515</v>
      </c>
      <c r="G33" s="29" t="n">
        <f aca="false">IF($A33="","",$H33-$C33+1)</f>
        <v>46573</v>
      </c>
      <c r="H33" s="29" t="n">
        <f aca="false" t="array" ref="H33:H33">IF($A33="","",IF(SUMPRODUCT((工程マスタ!$N$32:$N$154=$A33)*1)+SUMPRODUCT((工程マスタ!$O$32:$O$154=$A33)*1)+SUMPRODUCT((工程マスタ!$P$32:$P$154=$A33)*1)=0,MAX($F$7:$F$156),MIN(IF((工程マスタ!$N$32:$N$154=$A33)+(工程マスタ!$O$32:$O$154=$A33)+(工程マスタ!$P$32:$P$154=$A33),$G34:$G$156))-1))</f>
        <v>46573</v>
      </c>
      <c r="I33" s="28" t="n">
        <f aca="false">IF($A33="","",$G33-$E33)</f>
        <v>58</v>
      </c>
      <c r="J33" s="28" t="str">
        <f aca="false">IF($A33="","",IF($I33&lt;=0,"●",""))</f>
        <v/>
      </c>
      <c r="K33" s="47" t="str">
        <f aca="false">IF($A33="","",IF(AND(INDEX(工程マスタ!$I$5:$I$154,$A33)="○",$E33&gt;=K$3,$E33&lt;=K$3+6),"▼",IF(AND($E33&gt;=K$3,$E33&lt;=K$3+6),$A33,"")))</f>
        <v/>
      </c>
      <c r="L33" s="47" t="str">
        <f aca="false">IF($A33="","",IF(AND(INDEX(工程マスタ!$I$5:$I$154,$A33)="○",$E33&gt;=L$3,$E33&lt;=L$3+6),"▼",IF(AND($E33&gt;=L$3,$E33&lt;=L$3+6),$A33,"")))</f>
        <v/>
      </c>
      <c r="M33" s="47" t="str">
        <f aca="false">IF($A33="","",IF(AND(INDEX(工程マスタ!$I$5:$I$154,$A33)="○",$E33&gt;=M$3,$E33&lt;=M$3+6),"▼",IF(AND($E33&gt;=M$3,$E33&lt;=M$3+6),$A33,"")))</f>
        <v/>
      </c>
      <c r="N33" s="47" t="str">
        <f aca="false">IF($A33="","",IF(AND(INDEX(工程マスタ!$I$5:$I$154,$A33)="○",$E33&gt;=N$3,$E33&lt;=N$3+6),"▼",IF(AND($E33&gt;=N$3,$E33&lt;=N$3+6),$A33,"")))</f>
        <v/>
      </c>
      <c r="O33" s="47" t="str">
        <f aca="false">IF($A33="","",IF(AND(INDEX(工程マスタ!$I$5:$I$154,$A33)="○",$E33&gt;=O$3,$E33&lt;=O$3+6),"▼",IF(AND($E33&gt;=O$3,$E33&lt;=O$3+6),$A33,"")))</f>
        <v/>
      </c>
      <c r="P33" s="47" t="str">
        <f aca="false">IF($A33="","",IF(AND(INDEX(工程マスタ!$I$5:$I$154,$A33)="○",$E33&gt;=P$3,$E33&lt;=P$3+6),"▼",IF(AND($E33&gt;=P$3,$E33&lt;=P$3+6),$A33,"")))</f>
        <v/>
      </c>
      <c r="Q33" s="47" t="str">
        <f aca="false">IF($A33="","",IF(AND(INDEX(工程マスタ!$I$5:$I$154,$A33)="○",$E33&gt;=Q$3,$E33&lt;=Q$3+6),"▼",IF(AND($E33&gt;=Q$3,$E33&lt;=Q$3+6),$A33,"")))</f>
        <v/>
      </c>
      <c r="R33" s="47" t="str">
        <f aca="false">IF($A33="","",IF(AND(INDEX(工程マスタ!$I$5:$I$154,$A33)="○",$E33&gt;=R$3,$E33&lt;=R$3+6),"▼",IF(AND($E33&gt;=R$3,$E33&lt;=R$3+6),$A33,"")))</f>
        <v/>
      </c>
      <c r="S33" s="47" t="str">
        <f aca="false">IF($A33="","",IF(AND(INDEX(工程マスタ!$I$5:$I$154,$A33)="○",$E33&gt;=S$3,$E33&lt;=S$3+6),"▼",IF(AND($E33&gt;=S$3,$E33&lt;=S$3+6),$A33,"")))</f>
        <v/>
      </c>
      <c r="T33" s="47" t="str">
        <f aca="false">IF($A33="","",IF(AND(INDEX(工程マスタ!$I$5:$I$154,$A33)="○",$E33&gt;=T$3,$E33&lt;=T$3+6),"▼",IF(AND($E33&gt;=T$3,$E33&lt;=T$3+6),$A33,"")))</f>
        <v/>
      </c>
      <c r="U33" s="47" t="str">
        <f aca="false">IF($A33="","",IF(AND(INDEX(工程マスタ!$I$5:$I$154,$A33)="○",$E33&gt;=U$3,$E33&lt;=U$3+6),"▼",IF(AND($E33&gt;=U$3,$E33&lt;=U$3+6),$A33,"")))</f>
        <v/>
      </c>
      <c r="V33" s="47" t="str">
        <f aca="false">IF($A33="","",IF(AND(INDEX(工程マスタ!$I$5:$I$154,$A33)="○",$E33&gt;=V$3,$E33&lt;=V$3+6),"▼",IF(AND($E33&gt;=V$3,$E33&lt;=V$3+6),$A33,"")))</f>
        <v/>
      </c>
      <c r="W33" s="47" t="str">
        <f aca="false">IF($A33="","",IF(AND(INDEX(工程マスタ!$I$5:$I$154,$A33)="○",$E33&gt;=W$3,$E33&lt;=W$3+6),"▼",IF(AND($E33&gt;=W$3,$E33&lt;=W$3+6),$A33,"")))</f>
        <v/>
      </c>
      <c r="X33" s="47" t="str">
        <f aca="false">IF($A33="","",IF(AND(INDEX(工程マスタ!$I$5:$I$154,$A33)="○",$E33&gt;=X$3,$E33&lt;=X$3+6),"▼",IF(AND($E33&gt;=X$3,$E33&lt;=X$3+6),$A33,"")))</f>
        <v/>
      </c>
      <c r="Y33" s="47" t="str">
        <f aca="false">IF($A33="","",IF(AND(INDEX(工程マスタ!$I$5:$I$154,$A33)="○",$E33&gt;=Y$3,$E33&lt;=Y$3+6),"▼",IF(AND($E33&gt;=Y$3,$E33&lt;=Y$3+6),$A33,"")))</f>
        <v/>
      </c>
      <c r="Z33" s="47" t="str">
        <f aca="false">IF($A33="","",IF(AND(INDEX(工程マスタ!$I$5:$I$154,$A33)="○",$E33&gt;=Z$3,$E33&lt;=Z$3+6),"▼",IF(AND($E33&gt;=Z$3,$E33&lt;=Z$3+6),$A33,"")))</f>
        <v/>
      </c>
      <c r="AA33" s="47" t="str">
        <f aca="false">IF($A33="","",IF(AND(INDEX(工程マスタ!$I$5:$I$154,$A33)="○",$E33&gt;=AA$3,$E33&lt;=AA$3+6),"▼",IF(AND($E33&gt;=AA$3,$E33&lt;=AA$3+6),$A33,"")))</f>
        <v/>
      </c>
      <c r="AB33" s="47" t="str">
        <f aca="false">IF($A33="","",IF(AND(INDEX(工程マスタ!$I$5:$I$154,$A33)="○",$E33&gt;=AB$3,$E33&lt;=AB$3+6),"▼",IF(AND($E33&gt;=AB$3,$E33&lt;=AB$3+6),$A33,"")))</f>
        <v/>
      </c>
      <c r="AC33" s="47" t="str">
        <f aca="false">IF($A33="","",IF(AND(INDEX(工程マスタ!$I$5:$I$154,$A33)="○",$E33&gt;=AC$3,$E33&lt;=AC$3+6),"▼",IF(AND($E33&gt;=AC$3,$E33&lt;=AC$3+6),$A33,"")))</f>
        <v/>
      </c>
      <c r="AD33" s="47" t="str">
        <f aca="false">IF($A33="","",IF(AND(INDEX(工程マスタ!$I$5:$I$154,$A33)="○",$E33&gt;=AD$3,$E33&lt;=AD$3+6),"▼",IF(AND($E33&gt;=AD$3,$E33&lt;=AD$3+6),$A33,"")))</f>
        <v/>
      </c>
      <c r="AE33" s="47" t="str">
        <f aca="false">IF($A33="","",IF(AND(INDEX(工程マスタ!$I$5:$I$154,$A33)="○",$E33&gt;=AE$3,$E33&lt;=AE$3+6),"▼",IF(AND($E33&gt;=AE$3,$E33&lt;=AE$3+6),$A33,"")))</f>
        <v/>
      </c>
      <c r="AF33" s="47" t="str">
        <f aca="false">IF($A33="","",IF(AND(INDEX(工程マスタ!$I$5:$I$154,$A33)="○",$E33&gt;=AF$3,$E33&lt;=AF$3+6),"▼",IF(AND($E33&gt;=AF$3,$E33&lt;=AF$3+6),$A33,"")))</f>
        <v/>
      </c>
      <c r="AG33" s="47" t="str">
        <f aca="false">IF($A33="","",IF(AND(INDEX(工程マスタ!$I$5:$I$154,$A33)="○",$E33&gt;=AG$3,$E33&lt;=AG$3+6),"▼",IF(AND($E33&gt;=AG$3,$E33&lt;=AG$3+6),$A33,"")))</f>
        <v/>
      </c>
      <c r="AH33" s="47" t="str">
        <f aca="false">IF($A33="","",IF(AND(INDEX(工程マスタ!$I$5:$I$154,$A33)="○",$E33&gt;=AH$3,$E33&lt;=AH$3+6),"▼",IF(AND($E33&gt;=AH$3,$E33&lt;=AH$3+6),$A33,"")))</f>
        <v/>
      </c>
      <c r="AI33" s="47" t="str">
        <f aca="false">IF($A33="","",IF(AND(INDEX(工程マスタ!$I$5:$I$154,$A33)="○",$E33&gt;=AI$3,$E33&lt;=AI$3+6),"▼",IF(AND($E33&gt;=AI$3,$E33&lt;=AI$3+6),$A33,"")))</f>
        <v/>
      </c>
      <c r="AJ33" s="47" t="str">
        <f aca="false">IF($A33="","",IF(AND(INDEX(工程マスタ!$I$5:$I$154,$A33)="○",$E33&gt;=AJ$3,$E33&lt;=AJ$3+6),"▼",IF(AND($E33&gt;=AJ$3,$E33&lt;=AJ$3+6),$A33,"")))</f>
        <v/>
      </c>
      <c r="AK33" s="47" t="str">
        <f aca="false">IF($A33="","",IF(AND(INDEX(工程マスタ!$I$5:$I$154,$A33)="○",$E33&gt;=AK$3,$E33&lt;=AK$3+6),"▼",IF(AND($E33&gt;=AK$3,$E33&lt;=AK$3+6),$A33,"")))</f>
        <v/>
      </c>
      <c r="AL33" s="47" t="str">
        <f aca="false">IF($A33="","",IF(AND(INDEX(工程マスタ!$I$5:$I$154,$A33)="○",$E33&gt;=AL$3,$E33&lt;=AL$3+6),"▼",IF(AND($E33&gt;=AL$3,$E33&lt;=AL$3+6),$A33,"")))</f>
        <v/>
      </c>
      <c r="AM33" s="47" t="str">
        <f aca="false">IF($A33="","",IF(AND(INDEX(工程マスタ!$I$5:$I$154,$A33)="○",$E33&gt;=AM$3,$E33&lt;=AM$3+6),"▼",IF(AND($E33&gt;=AM$3,$E33&lt;=AM$3+6),$A33,"")))</f>
        <v/>
      </c>
      <c r="AN33" s="47" t="str">
        <f aca="false">IF($A33="","",IF(AND(INDEX(工程マスタ!$I$5:$I$154,$A33)="○",$E33&gt;=AN$3,$E33&lt;=AN$3+6),"▼",IF(AND($E33&gt;=AN$3,$E33&lt;=AN$3+6),$A33,"")))</f>
        <v/>
      </c>
      <c r="AO33" s="47" t="str">
        <f aca="false">IF($A33="","",IF(AND(INDEX(工程マスタ!$I$5:$I$154,$A33)="○",$E33&gt;=AO$3,$E33&lt;=AO$3+6),"▼",IF(AND($E33&gt;=AO$3,$E33&lt;=AO$3+6),$A33,"")))</f>
        <v/>
      </c>
      <c r="AP33" s="47" t="str">
        <f aca="false">IF($A33="","",IF(AND(INDEX(工程マスタ!$I$5:$I$154,$A33)="○",$E33&gt;=AP$3,$E33&lt;=AP$3+6),"▼",IF(AND($E33&gt;=AP$3,$E33&lt;=AP$3+6),$A33,"")))</f>
        <v/>
      </c>
      <c r="AQ33" s="47" t="str">
        <f aca="false">IF($A33="","",IF(AND(INDEX(工程マスタ!$I$5:$I$154,$A33)="○",$E33&gt;=AQ$3,$E33&lt;=AQ$3+6),"▼",IF(AND($E33&gt;=AQ$3,$E33&lt;=AQ$3+6),$A33,"")))</f>
        <v/>
      </c>
      <c r="AR33" s="47" t="str">
        <f aca="false">IF($A33="","",IF(AND(INDEX(工程マスタ!$I$5:$I$154,$A33)="○",$E33&gt;=AR$3,$E33&lt;=AR$3+6),"▼",IF(AND($E33&gt;=AR$3,$E33&lt;=AR$3+6),$A33,"")))</f>
        <v/>
      </c>
      <c r="AS33" s="47" t="str">
        <f aca="false">IF($A33="","",IF(AND(INDEX(工程マスタ!$I$5:$I$154,$A33)="○",$E33&gt;=AS$3,$E33&lt;=AS$3+6),"▼",IF(AND($E33&gt;=AS$3,$E33&lt;=AS$3+6),$A33,"")))</f>
        <v/>
      </c>
      <c r="AT33" s="47" t="str">
        <f aca="false">IF($A33="","",IF(AND(INDEX(工程マスタ!$I$5:$I$154,$A33)="○",$E33&gt;=AT$3,$E33&lt;=AT$3+6),"▼",IF(AND($E33&gt;=AT$3,$E33&lt;=AT$3+6),$A33,"")))</f>
        <v/>
      </c>
      <c r="AU33" s="47" t="str">
        <f aca="false">IF($A33="","",IF(AND(INDEX(工程マスタ!$I$5:$I$154,$A33)="○",$E33&gt;=AU$3,$E33&lt;=AU$3+6),"▼",IF(AND($E33&gt;=AU$3,$E33&lt;=AU$3+6),$A33,"")))</f>
        <v/>
      </c>
      <c r="AV33" s="47" t="str">
        <f aca="false">IF($A33="","",IF(AND(INDEX(工程マスタ!$I$5:$I$154,$A33)="○",$E33&gt;=AV$3,$E33&lt;=AV$3+6),"▼",IF(AND($E33&gt;=AV$3,$E33&lt;=AV$3+6),$A33,"")))</f>
        <v/>
      </c>
      <c r="AW33" s="47" t="str">
        <f aca="false">IF($A33="","",IF(AND(INDEX(工程マスタ!$I$5:$I$154,$A33)="○",$E33&gt;=AW$3,$E33&lt;=AW$3+6),"▼",IF(AND($E33&gt;=AW$3,$E33&lt;=AW$3+6),$A33,"")))</f>
        <v/>
      </c>
      <c r="AX33" s="47" t="str">
        <f aca="false">IF($A33="","",IF(AND(INDEX(工程マスタ!$I$5:$I$154,$A33)="○",$E33&gt;=AX$3,$E33&lt;=AX$3+6),"▼",IF(AND($E33&gt;=AX$3,$E33&lt;=AX$3+6),$A33,"")))</f>
        <v/>
      </c>
      <c r="AY33" s="47" t="str">
        <f aca="false">IF($A33="","",IF(AND(INDEX(工程マスタ!$I$5:$I$154,$A33)="○",$E33&gt;=AY$3,$E33&lt;=AY$3+6),"▼",IF(AND($E33&gt;=AY$3,$E33&lt;=AY$3+6),$A33,"")))</f>
        <v/>
      </c>
      <c r="AZ33" s="47" t="str">
        <f aca="false">IF($A33="","",IF(AND(INDEX(工程マスタ!$I$5:$I$154,$A33)="○",$E33&gt;=AZ$3,$E33&lt;=AZ$3+6),"▼",IF(AND($E33&gt;=AZ$3,$E33&lt;=AZ$3+6),$A33,"")))</f>
        <v/>
      </c>
      <c r="BA33" s="47" t="str">
        <f aca="false">IF($A33="","",IF(AND(INDEX(工程マスタ!$I$5:$I$154,$A33)="○",$E33&gt;=BA$3,$E33&lt;=BA$3+6),"▼",IF(AND($E33&gt;=BA$3,$E33&lt;=BA$3+6),$A33,"")))</f>
        <v/>
      </c>
      <c r="BB33" s="47" t="str">
        <f aca="false">IF($A33="","",IF(AND(INDEX(工程マスタ!$I$5:$I$154,$A33)="○",$E33&gt;=BB$3,$E33&lt;=BB$3+6),"▼",IF(AND($E33&gt;=BB$3,$E33&lt;=BB$3+6),$A33,"")))</f>
        <v/>
      </c>
      <c r="BC33" s="47" t="str">
        <f aca="false">IF($A33="","",IF(AND(INDEX(工程マスタ!$I$5:$I$154,$A33)="○",$E33&gt;=BC$3,$E33&lt;=BC$3+6),"▼",IF(AND($E33&gt;=BC$3,$E33&lt;=BC$3+6),$A33,"")))</f>
        <v>▼</v>
      </c>
      <c r="BD33" s="47" t="str">
        <f aca="false">IF($A33="","",IF(AND(INDEX(工程マスタ!$I$5:$I$154,$A33)="○",$E33&gt;=BD$3,$E33&lt;=BD$3+6),"▼",IF(AND($E33&gt;=BD$3,$E33&lt;=BD$3+6),$A33,"")))</f>
        <v/>
      </c>
      <c r="BE33" s="47" t="str">
        <f aca="false">IF($A33="","",IF(AND(INDEX(工程マスタ!$I$5:$I$154,$A33)="○",$E33&gt;=BE$3,$E33&lt;=BE$3+6),"▼",IF(AND($E33&gt;=BE$3,$E33&lt;=BE$3+6),$A33,"")))</f>
        <v/>
      </c>
      <c r="BF33" s="47" t="str">
        <f aca="false">IF($A33="","",IF(AND(INDEX(工程マスタ!$I$5:$I$154,$A33)="○",$E33&gt;=BF$3,$E33&lt;=BF$3+6),"▼",IF(AND($E33&gt;=BF$3,$E33&lt;=BF$3+6),$A33,"")))</f>
        <v/>
      </c>
      <c r="BG33" s="47" t="str">
        <f aca="false">IF($A33="","",IF(AND(INDEX(工程マスタ!$I$5:$I$154,$A33)="○",$E33&gt;=BG$3,$E33&lt;=BG$3+6),"▼",IF(AND($E33&gt;=BG$3,$E33&lt;=BG$3+6),$A33,"")))</f>
        <v/>
      </c>
      <c r="BH33" s="47" t="str">
        <f aca="false">IF($A33="","",IF(AND(INDEX(工程マスタ!$I$5:$I$154,$A33)="○",$E33&gt;=BH$3,$E33&lt;=BH$3+6),"▼",IF(AND($E33&gt;=BH$3,$E33&lt;=BH$3+6),$A33,"")))</f>
        <v/>
      </c>
      <c r="BI33" s="47" t="str">
        <f aca="false">IF($A33="","",IF(AND(INDEX(工程マスタ!$I$5:$I$154,$A33)="○",$E33&gt;=BI$3,$E33&lt;=BI$3+6),"▼",IF(AND($E33&gt;=BI$3,$E33&lt;=BI$3+6),$A33,"")))</f>
        <v/>
      </c>
      <c r="BJ33" s="47" t="str">
        <f aca="false">IF($A33="","",IF(AND(INDEX(工程マスタ!$I$5:$I$154,$A33)="○",$E33&gt;=BJ$3,$E33&lt;=BJ$3+6),"▼",IF(AND($E33&gt;=BJ$3,$E33&lt;=BJ$3+6),$A33,"")))</f>
        <v/>
      </c>
    </row>
    <row r="34" customFormat="false" ht="15" hidden="false" customHeight="false" outlineLevel="0" collapsed="false">
      <c r="A34" s="28" t="n">
        <f aca="false">IF(工程マスタ!$C32="","",工程マスタ!$A32)</f>
        <v>28</v>
      </c>
      <c r="B34" s="46" t="str">
        <f aca="false">IF($A34="","",工程マスタ!$C32)</f>
        <v>外部足場解体</v>
      </c>
      <c r="C34" s="28" t="n">
        <f aca="false">IF($A34="","",MAX(1,工程マスタ!$G32))</f>
        <v>6</v>
      </c>
      <c r="D34" s="28" t="str">
        <f aca="false">IF($A34="","",_xlfn.TEXTJOIN(",",TRUE(),工程マスタ!$N32:$P32))</f>
        <v>27</v>
      </c>
      <c r="E34" s="29" t="n">
        <f aca="false">IF($A34="","",IF(COUNT(工程マスタ!$N32:$P32)=0,設定!$B$8,MAX(IF(工程マスタ!$N32="",0,INDEX($F$7:$F$156,工程マスタ!$N32)),IF(工程マスタ!$O32="",0,INDEX($F$7:$F$156,工程マスタ!$O32)),IF(工程マスタ!$P32="",0,INDEX($F$7:$F$156,工程マスタ!$P32)))+1))</f>
        <v>46516</v>
      </c>
      <c r="F34" s="29" t="n">
        <f aca="false">IF($A34="","",$E34+$C34-1)</f>
        <v>46521</v>
      </c>
      <c r="G34" s="29" t="n">
        <f aca="false">IF($A34="","",$H34-$C34+1)</f>
        <v>46574</v>
      </c>
      <c r="H34" s="29" t="n">
        <f aca="false" t="array" ref="H34:H34">IF($A34="","",IF(SUMPRODUCT((工程マスタ!$N$33:$N$154=$A34)*1)+SUMPRODUCT((工程マスタ!$O$33:$O$154=$A34)*1)+SUMPRODUCT((工程マスタ!$P$33:$P$154=$A34)*1)=0,MAX($F$7:$F$156),MIN(IF((工程マスタ!$N$33:$N$154=$A34)+(工程マスタ!$O$33:$O$154=$A34)+(工程マスタ!$P$33:$P$154=$A34),$G35:$G$156))-1))</f>
        <v>46579</v>
      </c>
      <c r="I34" s="28" t="n">
        <f aca="false">IF($A34="","",$G34-$E34)</f>
        <v>58</v>
      </c>
      <c r="J34" s="28" t="str">
        <f aca="false">IF($A34="","",IF($I34&lt;=0,"●",""))</f>
        <v/>
      </c>
      <c r="K34" s="47" t="str">
        <f aca="false">IF($A34="","",IF(AND(INDEX(工程マスタ!$I$5:$I$154,$A34)="○",$E34&gt;=K$3,$E34&lt;=K$3+6),"▼",IF(AND($E34&gt;=K$3,$E34&lt;=K$3+6),$A34,"")))</f>
        <v/>
      </c>
      <c r="L34" s="47" t="str">
        <f aca="false">IF($A34="","",IF(AND(INDEX(工程マスタ!$I$5:$I$154,$A34)="○",$E34&gt;=L$3,$E34&lt;=L$3+6),"▼",IF(AND($E34&gt;=L$3,$E34&lt;=L$3+6),$A34,"")))</f>
        <v/>
      </c>
      <c r="M34" s="47" t="str">
        <f aca="false">IF($A34="","",IF(AND(INDEX(工程マスタ!$I$5:$I$154,$A34)="○",$E34&gt;=M$3,$E34&lt;=M$3+6),"▼",IF(AND($E34&gt;=M$3,$E34&lt;=M$3+6),$A34,"")))</f>
        <v/>
      </c>
      <c r="N34" s="47" t="str">
        <f aca="false">IF($A34="","",IF(AND(INDEX(工程マスタ!$I$5:$I$154,$A34)="○",$E34&gt;=N$3,$E34&lt;=N$3+6),"▼",IF(AND($E34&gt;=N$3,$E34&lt;=N$3+6),$A34,"")))</f>
        <v/>
      </c>
      <c r="O34" s="47" t="str">
        <f aca="false">IF($A34="","",IF(AND(INDEX(工程マスタ!$I$5:$I$154,$A34)="○",$E34&gt;=O$3,$E34&lt;=O$3+6),"▼",IF(AND($E34&gt;=O$3,$E34&lt;=O$3+6),$A34,"")))</f>
        <v/>
      </c>
      <c r="P34" s="47" t="str">
        <f aca="false">IF($A34="","",IF(AND(INDEX(工程マスタ!$I$5:$I$154,$A34)="○",$E34&gt;=P$3,$E34&lt;=P$3+6),"▼",IF(AND($E34&gt;=P$3,$E34&lt;=P$3+6),$A34,"")))</f>
        <v/>
      </c>
      <c r="Q34" s="47" t="str">
        <f aca="false">IF($A34="","",IF(AND(INDEX(工程マスタ!$I$5:$I$154,$A34)="○",$E34&gt;=Q$3,$E34&lt;=Q$3+6),"▼",IF(AND($E34&gt;=Q$3,$E34&lt;=Q$3+6),$A34,"")))</f>
        <v/>
      </c>
      <c r="R34" s="47" t="str">
        <f aca="false">IF($A34="","",IF(AND(INDEX(工程マスタ!$I$5:$I$154,$A34)="○",$E34&gt;=R$3,$E34&lt;=R$3+6),"▼",IF(AND($E34&gt;=R$3,$E34&lt;=R$3+6),$A34,"")))</f>
        <v/>
      </c>
      <c r="S34" s="47" t="str">
        <f aca="false">IF($A34="","",IF(AND(INDEX(工程マスタ!$I$5:$I$154,$A34)="○",$E34&gt;=S$3,$E34&lt;=S$3+6),"▼",IF(AND($E34&gt;=S$3,$E34&lt;=S$3+6),$A34,"")))</f>
        <v/>
      </c>
      <c r="T34" s="47" t="str">
        <f aca="false">IF($A34="","",IF(AND(INDEX(工程マスタ!$I$5:$I$154,$A34)="○",$E34&gt;=T$3,$E34&lt;=T$3+6),"▼",IF(AND($E34&gt;=T$3,$E34&lt;=T$3+6),$A34,"")))</f>
        <v/>
      </c>
      <c r="U34" s="47" t="str">
        <f aca="false">IF($A34="","",IF(AND(INDEX(工程マスタ!$I$5:$I$154,$A34)="○",$E34&gt;=U$3,$E34&lt;=U$3+6),"▼",IF(AND($E34&gt;=U$3,$E34&lt;=U$3+6),$A34,"")))</f>
        <v/>
      </c>
      <c r="V34" s="47" t="str">
        <f aca="false">IF($A34="","",IF(AND(INDEX(工程マスタ!$I$5:$I$154,$A34)="○",$E34&gt;=V$3,$E34&lt;=V$3+6),"▼",IF(AND($E34&gt;=V$3,$E34&lt;=V$3+6),$A34,"")))</f>
        <v/>
      </c>
      <c r="W34" s="47" t="str">
        <f aca="false">IF($A34="","",IF(AND(INDEX(工程マスタ!$I$5:$I$154,$A34)="○",$E34&gt;=W$3,$E34&lt;=W$3+6),"▼",IF(AND($E34&gt;=W$3,$E34&lt;=W$3+6),$A34,"")))</f>
        <v/>
      </c>
      <c r="X34" s="47" t="str">
        <f aca="false">IF($A34="","",IF(AND(INDEX(工程マスタ!$I$5:$I$154,$A34)="○",$E34&gt;=X$3,$E34&lt;=X$3+6),"▼",IF(AND($E34&gt;=X$3,$E34&lt;=X$3+6),$A34,"")))</f>
        <v/>
      </c>
      <c r="Y34" s="47" t="str">
        <f aca="false">IF($A34="","",IF(AND(INDEX(工程マスタ!$I$5:$I$154,$A34)="○",$E34&gt;=Y$3,$E34&lt;=Y$3+6),"▼",IF(AND($E34&gt;=Y$3,$E34&lt;=Y$3+6),$A34,"")))</f>
        <v/>
      </c>
      <c r="Z34" s="47" t="str">
        <f aca="false">IF($A34="","",IF(AND(INDEX(工程マスタ!$I$5:$I$154,$A34)="○",$E34&gt;=Z$3,$E34&lt;=Z$3+6),"▼",IF(AND($E34&gt;=Z$3,$E34&lt;=Z$3+6),$A34,"")))</f>
        <v/>
      </c>
      <c r="AA34" s="47" t="str">
        <f aca="false">IF($A34="","",IF(AND(INDEX(工程マスタ!$I$5:$I$154,$A34)="○",$E34&gt;=AA$3,$E34&lt;=AA$3+6),"▼",IF(AND($E34&gt;=AA$3,$E34&lt;=AA$3+6),$A34,"")))</f>
        <v/>
      </c>
      <c r="AB34" s="47" t="str">
        <f aca="false">IF($A34="","",IF(AND(INDEX(工程マスタ!$I$5:$I$154,$A34)="○",$E34&gt;=AB$3,$E34&lt;=AB$3+6),"▼",IF(AND($E34&gt;=AB$3,$E34&lt;=AB$3+6),$A34,"")))</f>
        <v/>
      </c>
      <c r="AC34" s="47" t="str">
        <f aca="false">IF($A34="","",IF(AND(INDEX(工程マスタ!$I$5:$I$154,$A34)="○",$E34&gt;=AC$3,$E34&lt;=AC$3+6),"▼",IF(AND($E34&gt;=AC$3,$E34&lt;=AC$3+6),$A34,"")))</f>
        <v/>
      </c>
      <c r="AD34" s="47" t="str">
        <f aca="false">IF($A34="","",IF(AND(INDEX(工程マスタ!$I$5:$I$154,$A34)="○",$E34&gt;=AD$3,$E34&lt;=AD$3+6),"▼",IF(AND($E34&gt;=AD$3,$E34&lt;=AD$3+6),$A34,"")))</f>
        <v/>
      </c>
      <c r="AE34" s="47" t="str">
        <f aca="false">IF($A34="","",IF(AND(INDEX(工程マスタ!$I$5:$I$154,$A34)="○",$E34&gt;=AE$3,$E34&lt;=AE$3+6),"▼",IF(AND($E34&gt;=AE$3,$E34&lt;=AE$3+6),$A34,"")))</f>
        <v/>
      </c>
      <c r="AF34" s="47" t="str">
        <f aca="false">IF($A34="","",IF(AND(INDEX(工程マスタ!$I$5:$I$154,$A34)="○",$E34&gt;=AF$3,$E34&lt;=AF$3+6),"▼",IF(AND($E34&gt;=AF$3,$E34&lt;=AF$3+6),$A34,"")))</f>
        <v/>
      </c>
      <c r="AG34" s="47" t="str">
        <f aca="false">IF($A34="","",IF(AND(INDEX(工程マスタ!$I$5:$I$154,$A34)="○",$E34&gt;=AG$3,$E34&lt;=AG$3+6),"▼",IF(AND($E34&gt;=AG$3,$E34&lt;=AG$3+6),$A34,"")))</f>
        <v/>
      </c>
      <c r="AH34" s="47" t="str">
        <f aca="false">IF($A34="","",IF(AND(INDEX(工程マスタ!$I$5:$I$154,$A34)="○",$E34&gt;=AH$3,$E34&lt;=AH$3+6),"▼",IF(AND($E34&gt;=AH$3,$E34&lt;=AH$3+6),$A34,"")))</f>
        <v/>
      </c>
      <c r="AI34" s="47" t="str">
        <f aca="false">IF($A34="","",IF(AND(INDEX(工程マスタ!$I$5:$I$154,$A34)="○",$E34&gt;=AI$3,$E34&lt;=AI$3+6),"▼",IF(AND($E34&gt;=AI$3,$E34&lt;=AI$3+6),$A34,"")))</f>
        <v/>
      </c>
      <c r="AJ34" s="47" t="str">
        <f aca="false">IF($A34="","",IF(AND(INDEX(工程マスタ!$I$5:$I$154,$A34)="○",$E34&gt;=AJ$3,$E34&lt;=AJ$3+6),"▼",IF(AND($E34&gt;=AJ$3,$E34&lt;=AJ$3+6),$A34,"")))</f>
        <v/>
      </c>
      <c r="AK34" s="47" t="str">
        <f aca="false">IF($A34="","",IF(AND(INDEX(工程マスタ!$I$5:$I$154,$A34)="○",$E34&gt;=AK$3,$E34&lt;=AK$3+6),"▼",IF(AND($E34&gt;=AK$3,$E34&lt;=AK$3+6),$A34,"")))</f>
        <v/>
      </c>
      <c r="AL34" s="47" t="str">
        <f aca="false">IF($A34="","",IF(AND(INDEX(工程マスタ!$I$5:$I$154,$A34)="○",$E34&gt;=AL$3,$E34&lt;=AL$3+6),"▼",IF(AND($E34&gt;=AL$3,$E34&lt;=AL$3+6),$A34,"")))</f>
        <v/>
      </c>
      <c r="AM34" s="47" t="str">
        <f aca="false">IF($A34="","",IF(AND(INDEX(工程マスタ!$I$5:$I$154,$A34)="○",$E34&gt;=AM$3,$E34&lt;=AM$3+6),"▼",IF(AND($E34&gt;=AM$3,$E34&lt;=AM$3+6),$A34,"")))</f>
        <v/>
      </c>
      <c r="AN34" s="47" t="str">
        <f aca="false">IF($A34="","",IF(AND(INDEX(工程マスタ!$I$5:$I$154,$A34)="○",$E34&gt;=AN$3,$E34&lt;=AN$3+6),"▼",IF(AND($E34&gt;=AN$3,$E34&lt;=AN$3+6),$A34,"")))</f>
        <v/>
      </c>
      <c r="AO34" s="47" t="str">
        <f aca="false">IF($A34="","",IF(AND(INDEX(工程マスタ!$I$5:$I$154,$A34)="○",$E34&gt;=AO$3,$E34&lt;=AO$3+6),"▼",IF(AND($E34&gt;=AO$3,$E34&lt;=AO$3+6),$A34,"")))</f>
        <v/>
      </c>
      <c r="AP34" s="47" t="str">
        <f aca="false">IF($A34="","",IF(AND(INDEX(工程マスタ!$I$5:$I$154,$A34)="○",$E34&gt;=AP$3,$E34&lt;=AP$3+6),"▼",IF(AND($E34&gt;=AP$3,$E34&lt;=AP$3+6),$A34,"")))</f>
        <v/>
      </c>
      <c r="AQ34" s="47" t="str">
        <f aca="false">IF($A34="","",IF(AND(INDEX(工程マスタ!$I$5:$I$154,$A34)="○",$E34&gt;=AQ$3,$E34&lt;=AQ$3+6),"▼",IF(AND($E34&gt;=AQ$3,$E34&lt;=AQ$3+6),$A34,"")))</f>
        <v/>
      </c>
      <c r="AR34" s="47" t="str">
        <f aca="false">IF($A34="","",IF(AND(INDEX(工程マスタ!$I$5:$I$154,$A34)="○",$E34&gt;=AR$3,$E34&lt;=AR$3+6),"▼",IF(AND($E34&gt;=AR$3,$E34&lt;=AR$3+6),$A34,"")))</f>
        <v/>
      </c>
      <c r="AS34" s="47" t="str">
        <f aca="false">IF($A34="","",IF(AND(INDEX(工程マスタ!$I$5:$I$154,$A34)="○",$E34&gt;=AS$3,$E34&lt;=AS$3+6),"▼",IF(AND($E34&gt;=AS$3,$E34&lt;=AS$3+6),$A34,"")))</f>
        <v/>
      </c>
      <c r="AT34" s="47" t="str">
        <f aca="false">IF($A34="","",IF(AND(INDEX(工程マスタ!$I$5:$I$154,$A34)="○",$E34&gt;=AT$3,$E34&lt;=AT$3+6),"▼",IF(AND($E34&gt;=AT$3,$E34&lt;=AT$3+6),$A34,"")))</f>
        <v/>
      </c>
      <c r="AU34" s="47" t="str">
        <f aca="false">IF($A34="","",IF(AND(INDEX(工程マスタ!$I$5:$I$154,$A34)="○",$E34&gt;=AU$3,$E34&lt;=AU$3+6),"▼",IF(AND($E34&gt;=AU$3,$E34&lt;=AU$3+6),$A34,"")))</f>
        <v/>
      </c>
      <c r="AV34" s="47" t="str">
        <f aca="false">IF($A34="","",IF(AND(INDEX(工程マスタ!$I$5:$I$154,$A34)="○",$E34&gt;=AV$3,$E34&lt;=AV$3+6),"▼",IF(AND($E34&gt;=AV$3,$E34&lt;=AV$3+6),$A34,"")))</f>
        <v/>
      </c>
      <c r="AW34" s="47" t="str">
        <f aca="false">IF($A34="","",IF(AND(INDEX(工程マスタ!$I$5:$I$154,$A34)="○",$E34&gt;=AW$3,$E34&lt;=AW$3+6),"▼",IF(AND($E34&gt;=AW$3,$E34&lt;=AW$3+6),$A34,"")))</f>
        <v/>
      </c>
      <c r="AX34" s="47" t="str">
        <f aca="false">IF($A34="","",IF(AND(INDEX(工程マスタ!$I$5:$I$154,$A34)="○",$E34&gt;=AX$3,$E34&lt;=AX$3+6),"▼",IF(AND($E34&gt;=AX$3,$E34&lt;=AX$3+6),$A34,"")))</f>
        <v/>
      </c>
      <c r="AY34" s="47" t="str">
        <f aca="false">IF($A34="","",IF(AND(INDEX(工程マスタ!$I$5:$I$154,$A34)="○",$E34&gt;=AY$3,$E34&lt;=AY$3+6),"▼",IF(AND($E34&gt;=AY$3,$E34&lt;=AY$3+6),$A34,"")))</f>
        <v/>
      </c>
      <c r="AZ34" s="47" t="str">
        <f aca="false">IF($A34="","",IF(AND(INDEX(工程マスタ!$I$5:$I$154,$A34)="○",$E34&gt;=AZ$3,$E34&lt;=AZ$3+6),"▼",IF(AND($E34&gt;=AZ$3,$E34&lt;=AZ$3+6),$A34,"")))</f>
        <v/>
      </c>
      <c r="BA34" s="47" t="str">
        <f aca="false">IF($A34="","",IF(AND(INDEX(工程マスタ!$I$5:$I$154,$A34)="○",$E34&gt;=BA$3,$E34&lt;=BA$3+6),"▼",IF(AND($E34&gt;=BA$3,$E34&lt;=BA$3+6),$A34,"")))</f>
        <v/>
      </c>
      <c r="BB34" s="47" t="str">
        <f aca="false">IF($A34="","",IF(AND(INDEX(工程マスタ!$I$5:$I$154,$A34)="○",$E34&gt;=BB$3,$E34&lt;=BB$3+6),"▼",IF(AND($E34&gt;=BB$3,$E34&lt;=BB$3+6),$A34,"")))</f>
        <v/>
      </c>
      <c r="BC34" s="47" t="n">
        <f aca="false">IF($A34="","",IF(AND(INDEX(工程マスタ!$I$5:$I$154,$A34)="○",$E34&gt;=BC$3,$E34&lt;=BC$3+6),"▼",IF(AND($E34&gt;=BC$3,$E34&lt;=BC$3+6),$A34,"")))</f>
        <v>28</v>
      </c>
      <c r="BD34" s="47" t="str">
        <f aca="false">IF($A34="","",IF(AND(INDEX(工程マスタ!$I$5:$I$154,$A34)="○",$E34&gt;=BD$3,$E34&lt;=BD$3+6),"▼",IF(AND($E34&gt;=BD$3,$E34&lt;=BD$3+6),$A34,"")))</f>
        <v/>
      </c>
      <c r="BE34" s="47" t="str">
        <f aca="false">IF($A34="","",IF(AND(INDEX(工程マスタ!$I$5:$I$154,$A34)="○",$E34&gt;=BE$3,$E34&lt;=BE$3+6),"▼",IF(AND($E34&gt;=BE$3,$E34&lt;=BE$3+6),$A34,"")))</f>
        <v/>
      </c>
      <c r="BF34" s="47" t="str">
        <f aca="false">IF($A34="","",IF(AND(INDEX(工程マスタ!$I$5:$I$154,$A34)="○",$E34&gt;=BF$3,$E34&lt;=BF$3+6),"▼",IF(AND($E34&gt;=BF$3,$E34&lt;=BF$3+6),$A34,"")))</f>
        <v/>
      </c>
      <c r="BG34" s="47" t="str">
        <f aca="false">IF($A34="","",IF(AND(INDEX(工程マスタ!$I$5:$I$154,$A34)="○",$E34&gt;=BG$3,$E34&lt;=BG$3+6),"▼",IF(AND($E34&gt;=BG$3,$E34&lt;=BG$3+6),$A34,"")))</f>
        <v/>
      </c>
      <c r="BH34" s="47" t="str">
        <f aca="false">IF($A34="","",IF(AND(INDEX(工程マスタ!$I$5:$I$154,$A34)="○",$E34&gt;=BH$3,$E34&lt;=BH$3+6),"▼",IF(AND($E34&gt;=BH$3,$E34&lt;=BH$3+6),$A34,"")))</f>
        <v/>
      </c>
      <c r="BI34" s="47" t="str">
        <f aca="false">IF($A34="","",IF(AND(INDEX(工程マスタ!$I$5:$I$154,$A34)="○",$E34&gt;=BI$3,$E34&lt;=BI$3+6),"▼",IF(AND($E34&gt;=BI$3,$E34&lt;=BI$3+6),$A34,"")))</f>
        <v/>
      </c>
      <c r="BJ34" s="47" t="str">
        <f aca="false">IF($A34="","",IF(AND(INDEX(工程マスタ!$I$5:$I$154,$A34)="○",$E34&gt;=BJ$3,$E34&lt;=BJ$3+6),"▼",IF(AND($E34&gt;=BJ$3,$E34&lt;=BJ$3+6),$A34,"")))</f>
        <v/>
      </c>
    </row>
    <row r="35" customFormat="false" ht="15" hidden="false" customHeight="false" outlineLevel="0" collapsed="false">
      <c r="A35" s="28" t="n">
        <f aca="false">IF(工程マスタ!$C33="","",工程マスタ!$A33)</f>
        <v>29</v>
      </c>
      <c r="B35" s="46" t="str">
        <f aca="false">IF($A35="","",工程マスタ!$C33)</f>
        <v>設備配管・配線(隠蔽部)</v>
      </c>
      <c r="C35" s="28" t="n">
        <f aca="false">IF($A35="","",MAX(1,工程マスタ!$G33))</f>
        <v>62</v>
      </c>
      <c r="D35" s="28" t="str">
        <f aca="false">IF($A35="","",_xlfn.TEXTJOIN(",",TRUE(),工程マスタ!$N33:$P33))</f>
        <v>20</v>
      </c>
      <c r="E35" s="29" t="n">
        <f aca="false">IF($A35="","",IF(COUNT(工程マスタ!$N33:$P33)=0,設定!$B$8,MAX(IF(工程マスタ!$N33="",0,INDEX($F$7:$F$156,工程マスタ!$N33)),IF(工程マスタ!$O33="",0,INDEX($F$7:$F$156,工程マスタ!$O33)),IF(工程マスタ!$P33="",0,INDEX($F$7:$F$156,工程マスタ!$P33)))+1))</f>
        <v>46407</v>
      </c>
      <c r="F35" s="29" t="n">
        <f aca="false">IF($A35="","",$E35+$C35-1)</f>
        <v>46468</v>
      </c>
      <c r="G35" s="29" t="n">
        <f aca="false">IF($A35="","",$H35-$C35+1)</f>
        <v>46407</v>
      </c>
      <c r="H35" s="29" t="n">
        <f aca="false" t="array" ref="H35:H35">IF($A35="","",IF(SUMPRODUCT((工程マスタ!$N$34:$N$154=$A35)*1)+SUMPRODUCT((工程マスタ!$O$34:$O$154=$A35)*1)+SUMPRODUCT((工程マスタ!$P$34:$P$154=$A35)*1)=0,MAX($F$7:$F$156),MIN(IF((工程マスタ!$N$34:$N$154=$A35)+(工程マスタ!$O$34:$O$154=$A35)+(工程マスタ!$P$34:$P$154=$A35),$G36:$G$156))-1))</f>
        <v>46468</v>
      </c>
      <c r="I35" s="28" t="n">
        <f aca="false">IF($A35="","",$G35-$E35)</f>
        <v>0</v>
      </c>
      <c r="J35" s="28" t="str">
        <f aca="false">IF($A35="","",IF($I35&lt;=0,"●",""))</f>
        <v>●</v>
      </c>
      <c r="K35" s="47" t="str">
        <f aca="false">IF($A35="","",IF(AND(INDEX(工程マスタ!$I$5:$I$154,$A35)="○",$E35&gt;=K$3,$E35&lt;=K$3+6),"▼",IF(AND($E35&gt;=K$3,$E35&lt;=K$3+6),$A35,"")))</f>
        <v/>
      </c>
      <c r="L35" s="47" t="str">
        <f aca="false">IF($A35="","",IF(AND(INDEX(工程マスタ!$I$5:$I$154,$A35)="○",$E35&gt;=L$3,$E35&lt;=L$3+6),"▼",IF(AND($E35&gt;=L$3,$E35&lt;=L$3+6),$A35,"")))</f>
        <v/>
      </c>
      <c r="M35" s="47" t="str">
        <f aca="false">IF($A35="","",IF(AND(INDEX(工程マスタ!$I$5:$I$154,$A35)="○",$E35&gt;=M$3,$E35&lt;=M$3+6),"▼",IF(AND($E35&gt;=M$3,$E35&lt;=M$3+6),$A35,"")))</f>
        <v/>
      </c>
      <c r="N35" s="47" t="str">
        <f aca="false">IF($A35="","",IF(AND(INDEX(工程マスタ!$I$5:$I$154,$A35)="○",$E35&gt;=N$3,$E35&lt;=N$3+6),"▼",IF(AND($E35&gt;=N$3,$E35&lt;=N$3+6),$A35,"")))</f>
        <v/>
      </c>
      <c r="O35" s="47" t="str">
        <f aca="false">IF($A35="","",IF(AND(INDEX(工程マスタ!$I$5:$I$154,$A35)="○",$E35&gt;=O$3,$E35&lt;=O$3+6),"▼",IF(AND($E35&gt;=O$3,$E35&lt;=O$3+6),$A35,"")))</f>
        <v/>
      </c>
      <c r="P35" s="47" t="str">
        <f aca="false">IF($A35="","",IF(AND(INDEX(工程マスタ!$I$5:$I$154,$A35)="○",$E35&gt;=P$3,$E35&lt;=P$3+6),"▼",IF(AND($E35&gt;=P$3,$E35&lt;=P$3+6),$A35,"")))</f>
        <v/>
      </c>
      <c r="Q35" s="47" t="str">
        <f aca="false">IF($A35="","",IF(AND(INDEX(工程マスタ!$I$5:$I$154,$A35)="○",$E35&gt;=Q$3,$E35&lt;=Q$3+6),"▼",IF(AND($E35&gt;=Q$3,$E35&lt;=Q$3+6),$A35,"")))</f>
        <v/>
      </c>
      <c r="R35" s="47" t="str">
        <f aca="false">IF($A35="","",IF(AND(INDEX(工程マスタ!$I$5:$I$154,$A35)="○",$E35&gt;=R$3,$E35&lt;=R$3+6),"▼",IF(AND($E35&gt;=R$3,$E35&lt;=R$3+6),$A35,"")))</f>
        <v/>
      </c>
      <c r="S35" s="47" t="str">
        <f aca="false">IF($A35="","",IF(AND(INDEX(工程マスタ!$I$5:$I$154,$A35)="○",$E35&gt;=S$3,$E35&lt;=S$3+6),"▼",IF(AND($E35&gt;=S$3,$E35&lt;=S$3+6),$A35,"")))</f>
        <v/>
      </c>
      <c r="T35" s="47" t="str">
        <f aca="false">IF($A35="","",IF(AND(INDEX(工程マスタ!$I$5:$I$154,$A35)="○",$E35&gt;=T$3,$E35&lt;=T$3+6),"▼",IF(AND($E35&gt;=T$3,$E35&lt;=T$3+6),$A35,"")))</f>
        <v/>
      </c>
      <c r="U35" s="47" t="str">
        <f aca="false">IF($A35="","",IF(AND(INDEX(工程マスタ!$I$5:$I$154,$A35)="○",$E35&gt;=U$3,$E35&lt;=U$3+6),"▼",IF(AND($E35&gt;=U$3,$E35&lt;=U$3+6),$A35,"")))</f>
        <v/>
      </c>
      <c r="V35" s="47" t="str">
        <f aca="false">IF($A35="","",IF(AND(INDEX(工程マスタ!$I$5:$I$154,$A35)="○",$E35&gt;=V$3,$E35&lt;=V$3+6),"▼",IF(AND($E35&gt;=V$3,$E35&lt;=V$3+6),$A35,"")))</f>
        <v/>
      </c>
      <c r="W35" s="47" t="str">
        <f aca="false">IF($A35="","",IF(AND(INDEX(工程マスタ!$I$5:$I$154,$A35)="○",$E35&gt;=W$3,$E35&lt;=W$3+6),"▼",IF(AND($E35&gt;=W$3,$E35&lt;=W$3+6),$A35,"")))</f>
        <v/>
      </c>
      <c r="X35" s="47" t="str">
        <f aca="false">IF($A35="","",IF(AND(INDEX(工程マスタ!$I$5:$I$154,$A35)="○",$E35&gt;=X$3,$E35&lt;=X$3+6),"▼",IF(AND($E35&gt;=X$3,$E35&lt;=X$3+6),$A35,"")))</f>
        <v/>
      </c>
      <c r="Y35" s="47" t="str">
        <f aca="false">IF($A35="","",IF(AND(INDEX(工程マスタ!$I$5:$I$154,$A35)="○",$E35&gt;=Y$3,$E35&lt;=Y$3+6),"▼",IF(AND($E35&gt;=Y$3,$E35&lt;=Y$3+6),$A35,"")))</f>
        <v/>
      </c>
      <c r="Z35" s="47" t="str">
        <f aca="false">IF($A35="","",IF(AND(INDEX(工程マスタ!$I$5:$I$154,$A35)="○",$E35&gt;=Z$3,$E35&lt;=Z$3+6),"▼",IF(AND($E35&gt;=Z$3,$E35&lt;=Z$3+6),$A35,"")))</f>
        <v/>
      </c>
      <c r="AA35" s="47" t="str">
        <f aca="false">IF($A35="","",IF(AND(INDEX(工程マスタ!$I$5:$I$154,$A35)="○",$E35&gt;=AA$3,$E35&lt;=AA$3+6),"▼",IF(AND($E35&gt;=AA$3,$E35&lt;=AA$3+6),$A35,"")))</f>
        <v/>
      </c>
      <c r="AB35" s="47" t="str">
        <f aca="false">IF($A35="","",IF(AND(INDEX(工程マスタ!$I$5:$I$154,$A35)="○",$E35&gt;=AB$3,$E35&lt;=AB$3+6),"▼",IF(AND($E35&gt;=AB$3,$E35&lt;=AB$3+6),$A35,"")))</f>
        <v/>
      </c>
      <c r="AC35" s="47" t="str">
        <f aca="false">IF($A35="","",IF(AND(INDEX(工程マスタ!$I$5:$I$154,$A35)="○",$E35&gt;=AC$3,$E35&lt;=AC$3+6),"▼",IF(AND($E35&gt;=AC$3,$E35&lt;=AC$3+6),$A35,"")))</f>
        <v/>
      </c>
      <c r="AD35" s="47" t="str">
        <f aca="false">IF($A35="","",IF(AND(INDEX(工程マスタ!$I$5:$I$154,$A35)="○",$E35&gt;=AD$3,$E35&lt;=AD$3+6),"▼",IF(AND($E35&gt;=AD$3,$E35&lt;=AD$3+6),$A35,"")))</f>
        <v/>
      </c>
      <c r="AE35" s="47" t="str">
        <f aca="false">IF($A35="","",IF(AND(INDEX(工程マスタ!$I$5:$I$154,$A35)="○",$E35&gt;=AE$3,$E35&lt;=AE$3+6),"▼",IF(AND($E35&gt;=AE$3,$E35&lt;=AE$3+6),$A35,"")))</f>
        <v/>
      </c>
      <c r="AF35" s="47" t="str">
        <f aca="false">IF($A35="","",IF(AND(INDEX(工程マスタ!$I$5:$I$154,$A35)="○",$E35&gt;=AF$3,$E35&lt;=AF$3+6),"▼",IF(AND($E35&gt;=AF$3,$E35&lt;=AF$3+6),$A35,"")))</f>
        <v/>
      </c>
      <c r="AG35" s="47" t="str">
        <f aca="false">IF($A35="","",IF(AND(INDEX(工程マスタ!$I$5:$I$154,$A35)="○",$E35&gt;=AG$3,$E35&lt;=AG$3+6),"▼",IF(AND($E35&gt;=AG$3,$E35&lt;=AG$3+6),$A35,"")))</f>
        <v/>
      </c>
      <c r="AH35" s="47" t="str">
        <f aca="false">IF($A35="","",IF(AND(INDEX(工程マスタ!$I$5:$I$154,$A35)="○",$E35&gt;=AH$3,$E35&lt;=AH$3+6),"▼",IF(AND($E35&gt;=AH$3,$E35&lt;=AH$3+6),$A35,"")))</f>
        <v/>
      </c>
      <c r="AI35" s="47" t="str">
        <f aca="false">IF($A35="","",IF(AND(INDEX(工程マスタ!$I$5:$I$154,$A35)="○",$E35&gt;=AI$3,$E35&lt;=AI$3+6),"▼",IF(AND($E35&gt;=AI$3,$E35&lt;=AI$3+6),$A35,"")))</f>
        <v/>
      </c>
      <c r="AJ35" s="47" t="str">
        <f aca="false">IF($A35="","",IF(AND(INDEX(工程マスタ!$I$5:$I$154,$A35)="○",$E35&gt;=AJ$3,$E35&lt;=AJ$3+6),"▼",IF(AND($E35&gt;=AJ$3,$E35&lt;=AJ$3+6),$A35,"")))</f>
        <v/>
      </c>
      <c r="AK35" s="47" t="str">
        <f aca="false">IF($A35="","",IF(AND(INDEX(工程マスタ!$I$5:$I$154,$A35)="○",$E35&gt;=AK$3,$E35&lt;=AK$3+6),"▼",IF(AND($E35&gt;=AK$3,$E35&lt;=AK$3+6),$A35,"")))</f>
        <v/>
      </c>
      <c r="AL35" s="47" t="str">
        <f aca="false">IF($A35="","",IF(AND(INDEX(工程マスタ!$I$5:$I$154,$A35)="○",$E35&gt;=AL$3,$E35&lt;=AL$3+6),"▼",IF(AND($E35&gt;=AL$3,$E35&lt;=AL$3+6),$A35,"")))</f>
        <v/>
      </c>
      <c r="AM35" s="47" t="str">
        <f aca="false">IF($A35="","",IF(AND(INDEX(工程マスタ!$I$5:$I$154,$A35)="○",$E35&gt;=AM$3,$E35&lt;=AM$3+6),"▼",IF(AND($E35&gt;=AM$3,$E35&lt;=AM$3+6),$A35,"")))</f>
        <v/>
      </c>
      <c r="AN35" s="47" t="n">
        <f aca="false">IF($A35="","",IF(AND(INDEX(工程マスタ!$I$5:$I$154,$A35)="○",$E35&gt;=AN$3,$E35&lt;=AN$3+6),"▼",IF(AND($E35&gt;=AN$3,$E35&lt;=AN$3+6),$A35,"")))</f>
        <v>29</v>
      </c>
      <c r="AO35" s="47" t="str">
        <f aca="false">IF($A35="","",IF(AND(INDEX(工程マスタ!$I$5:$I$154,$A35)="○",$E35&gt;=AO$3,$E35&lt;=AO$3+6),"▼",IF(AND($E35&gt;=AO$3,$E35&lt;=AO$3+6),$A35,"")))</f>
        <v/>
      </c>
      <c r="AP35" s="47" t="str">
        <f aca="false">IF($A35="","",IF(AND(INDEX(工程マスタ!$I$5:$I$154,$A35)="○",$E35&gt;=AP$3,$E35&lt;=AP$3+6),"▼",IF(AND($E35&gt;=AP$3,$E35&lt;=AP$3+6),$A35,"")))</f>
        <v/>
      </c>
      <c r="AQ35" s="47" t="str">
        <f aca="false">IF($A35="","",IF(AND(INDEX(工程マスタ!$I$5:$I$154,$A35)="○",$E35&gt;=AQ$3,$E35&lt;=AQ$3+6),"▼",IF(AND($E35&gt;=AQ$3,$E35&lt;=AQ$3+6),$A35,"")))</f>
        <v/>
      </c>
      <c r="AR35" s="47" t="str">
        <f aca="false">IF($A35="","",IF(AND(INDEX(工程マスタ!$I$5:$I$154,$A35)="○",$E35&gt;=AR$3,$E35&lt;=AR$3+6),"▼",IF(AND($E35&gt;=AR$3,$E35&lt;=AR$3+6),$A35,"")))</f>
        <v/>
      </c>
      <c r="AS35" s="47" t="str">
        <f aca="false">IF($A35="","",IF(AND(INDEX(工程マスタ!$I$5:$I$154,$A35)="○",$E35&gt;=AS$3,$E35&lt;=AS$3+6),"▼",IF(AND($E35&gt;=AS$3,$E35&lt;=AS$3+6),$A35,"")))</f>
        <v/>
      </c>
      <c r="AT35" s="47" t="str">
        <f aca="false">IF($A35="","",IF(AND(INDEX(工程マスタ!$I$5:$I$154,$A35)="○",$E35&gt;=AT$3,$E35&lt;=AT$3+6),"▼",IF(AND($E35&gt;=AT$3,$E35&lt;=AT$3+6),$A35,"")))</f>
        <v/>
      </c>
      <c r="AU35" s="47" t="str">
        <f aca="false">IF($A35="","",IF(AND(INDEX(工程マスタ!$I$5:$I$154,$A35)="○",$E35&gt;=AU$3,$E35&lt;=AU$3+6),"▼",IF(AND($E35&gt;=AU$3,$E35&lt;=AU$3+6),$A35,"")))</f>
        <v/>
      </c>
      <c r="AV35" s="47" t="str">
        <f aca="false">IF($A35="","",IF(AND(INDEX(工程マスタ!$I$5:$I$154,$A35)="○",$E35&gt;=AV$3,$E35&lt;=AV$3+6),"▼",IF(AND($E35&gt;=AV$3,$E35&lt;=AV$3+6),$A35,"")))</f>
        <v/>
      </c>
      <c r="AW35" s="47" t="str">
        <f aca="false">IF($A35="","",IF(AND(INDEX(工程マスタ!$I$5:$I$154,$A35)="○",$E35&gt;=AW$3,$E35&lt;=AW$3+6),"▼",IF(AND($E35&gt;=AW$3,$E35&lt;=AW$3+6),$A35,"")))</f>
        <v/>
      </c>
      <c r="AX35" s="47" t="str">
        <f aca="false">IF($A35="","",IF(AND(INDEX(工程マスタ!$I$5:$I$154,$A35)="○",$E35&gt;=AX$3,$E35&lt;=AX$3+6),"▼",IF(AND($E35&gt;=AX$3,$E35&lt;=AX$3+6),$A35,"")))</f>
        <v/>
      </c>
      <c r="AY35" s="47" t="str">
        <f aca="false">IF($A35="","",IF(AND(INDEX(工程マスタ!$I$5:$I$154,$A35)="○",$E35&gt;=AY$3,$E35&lt;=AY$3+6),"▼",IF(AND($E35&gt;=AY$3,$E35&lt;=AY$3+6),$A35,"")))</f>
        <v/>
      </c>
      <c r="AZ35" s="47" t="str">
        <f aca="false">IF($A35="","",IF(AND(INDEX(工程マスタ!$I$5:$I$154,$A35)="○",$E35&gt;=AZ$3,$E35&lt;=AZ$3+6),"▼",IF(AND($E35&gt;=AZ$3,$E35&lt;=AZ$3+6),$A35,"")))</f>
        <v/>
      </c>
      <c r="BA35" s="47" t="str">
        <f aca="false">IF($A35="","",IF(AND(INDEX(工程マスタ!$I$5:$I$154,$A35)="○",$E35&gt;=BA$3,$E35&lt;=BA$3+6),"▼",IF(AND($E35&gt;=BA$3,$E35&lt;=BA$3+6),$A35,"")))</f>
        <v/>
      </c>
      <c r="BB35" s="47" t="str">
        <f aca="false">IF($A35="","",IF(AND(INDEX(工程マスタ!$I$5:$I$154,$A35)="○",$E35&gt;=BB$3,$E35&lt;=BB$3+6),"▼",IF(AND($E35&gt;=BB$3,$E35&lt;=BB$3+6),$A35,"")))</f>
        <v/>
      </c>
      <c r="BC35" s="47" t="str">
        <f aca="false">IF($A35="","",IF(AND(INDEX(工程マスタ!$I$5:$I$154,$A35)="○",$E35&gt;=BC$3,$E35&lt;=BC$3+6),"▼",IF(AND($E35&gt;=BC$3,$E35&lt;=BC$3+6),$A35,"")))</f>
        <v/>
      </c>
      <c r="BD35" s="47" t="str">
        <f aca="false">IF($A35="","",IF(AND(INDEX(工程マスタ!$I$5:$I$154,$A35)="○",$E35&gt;=BD$3,$E35&lt;=BD$3+6),"▼",IF(AND($E35&gt;=BD$3,$E35&lt;=BD$3+6),$A35,"")))</f>
        <v/>
      </c>
      <c r="BE35" s="47" t="str">
        <f aca="false">IF($A35="","",IF(AND(INDEX(工程マスタ!$I$5:$I$154,$A35)="○",$E35&gt;=BE$3,$E35&lt;=BE$3+6),"▼",IF(AND($E35&gt;=BE$3,$E35&lt;=BE$3+6),$A35,"")))</f>
        <v/>
      </c>
      <c r="BF35" s="47" t="str">
        <f aca="false">IF($A35="","",IF(AND(INDEX(工程マスタ!$I$5:$I$154,$A35)="○",$E35&gt;=BF$3,$E35&lt;=BF$3+6),"▼",IF(AND($E35&gt;=BF$3,$E35&lt;=BF$3+6),$A35,"")))</f>
        <v/>
      </c>
      <c r="BG35" s="47" t="str">
        <f aca="false">IF($A35="","",IF(AND(INDEX(工程マスタ!$I$5:$I$154,$A35)="○",$E35&gt;=BG$3,$E35&lt;=BG$3+6),"▼",IF(AND($E35&gt;=BG$3,$E35&lt;=BG$3+6),$A35,"")))</f>
        <v/>
      </c>
      <c r="BH35" s="47" t="str">
        <f aca="false">IF($A35="","",IF(AND(INDEX(工程マスタ!$I$5:$I$154,$A35)="○",$E35&gt;=BH$3,$E35&lt;=BH$3+6),"▼",IF(AND($E35&gt;=BH$3,$E35&lt;=BH$3+6),$A35,"")))</f>
        <v/>
      </c>
      <c r="BI35" s="47" t="str">
        <f aca="false">IF($A35="","",IF(AND(INDEX(工程マスタ!$I$5:$I$154,$A35)="○",$E35&gt;=BI$3,$E35&lt;=BI$3+6),"▼",IF(AND($E35&gt;=BI$3,$E35&lt;=BI$3+6),$A35,"")))</f>
        <v/>
      </c>
      <c r="BJ35" s="47" t="str">
        <f aca="false">IF($A35="","",IF(AND(INDEX(工程マスタ!$I$5:$I$154,$A35)="○",$E35&gt;=BJ$3,$E35&lt;=BJ$3+6),"▼",IF(AND($E35&gt;=BJ$3,$E35&lt;=BJ$3+6),$A35,"")))</f>
        <v/>
      </c>
    </row>
    <row r="36" customFormat="false" ht="15" hidden="false" customHeight="false" outlineLevel="0" collapsed="false">
      <c r="A36" s="28" t="n">
        <f aca="false">IF(工程マスタ!$C34="","",工程マスタ!$A34)</f>
        <v>30</v>
      </c>
      <c r="B36" s="46" t="str">
        <f aca="false">IF($A36="","",工程マスタ!$C34)</f>
        <v>天井・壁LGS下地</v>
      </c>
      <c r="C36" s="28" t="n">
        <f aca="false">IF($A36="","",MAX(1,工程マスタ!$G34))</f>
        <v>40</v>
      </c>
      <c r="D36" s="28" t="str">
        <f aca="false">IF($A36="","",_xlfn.TEXTJOIN(",",TRUE(),工程マスタ!$N34:$P34))</f>
        <v>21,29</v>
      </c>
      <c r="E36" s="29" t="n">
        <f aca="false">IF($A36="","",IF(COUNT(工程マスタ!$N34:$P34)=0,設定!$B$8,MAX(IF(工程マスタ!$N34="",0,INDEX($F$7:$F$156,工程マスタ!$N34)),IF(工程マスタ!$O34="",0,INDEX($F$7:$F$156,工程マスタ!$O34)),IF(工程マスタ!$P34="",0,INDEX($F$7:$F$156,工程マスタ!$P34)))+1))</f>
        <v>46469</v>
      </c>
      <c r="F36" s="29" t="n">
        <f aca="false">IF($A36="","",$E36+$C36-1)</f>
        <v>46508</v>
      </c>
      <c r="G36" s="29" t="n">
        <f aca="false">IF($A36="","",$H36-$C36+1)</f>
        <v>46469</v>
      </c>
      <c r="H36" s="29" t="n">
        <f aca="false" t="array" ref="H36:H36">IF($A36="","",IF(SUMPRODUCT((工程マスタ!$N$35:$N$154=$A36)*1)+SUMPRODUCT((工程マスタ!$O$35:$O$154=$A36)*1)+SUMPRODUCT((工程マスタ!$P$35:$P$154=$A36)*1)=0,MAX($F$7:$F$156),MIN(IF((工程マスタ!$N$35:$N$154=$A36)+(工程マスタ!$O$35:$O$154=$A36)+(工程マスタ!$P$35:$P$154=$A36),$G37:$G$156))-1))</f>
        <v>46508</v>
      </c>
      <c r="I36" s="28" t="n">
        <f aca="false">IF($A36="","",$G36-$E36)</f>
        <v>0</v>
      </c>
      <c r="J36" s="28" t="str">
        <f aca="false">IF($A36="","",IF($I36&lt;=0,"●",""))</f>
        <v>●</v>
      </c>
      <c r="K36" s="47" t="str">
        <f aca="false">IF($A36="","",IF(AND(INDEX(工程マスタ!$I$5:$I$154,$A36)="○",$E36&gt;=K$3,$E36&lt;=K$3+6),"▼",IF(AND($E36&gt;=K$3,$E36&lt;=K$3+6),$A36,"")))</f>
        <v/>
      </c>
      <c r="L36" s="47" t="str">
        <f aca="false">IF($A36="","",IF(AND(INDEX(工程マスタ!$I$5:$I$154,$A36)="○",$E36&gt;=L$3,$E36&lt;=L$3+6),"▼",IF(AND($E36&gt;=L$3,$E36&lt;=L$3+6),$A36,"")))</f>
        <v/>
      </c>
      <c r="M36" s="47" t="str">
        <f aca="false">IF($A36="","",IF(AND(INDEX(工程マスタ!$I$5:$I$154,$A36)="○",$E36&gt;=M$3,$E36&lt;=M$3+6),"▼",IF(AND($E36&gt;=M$3,$E36&lt;=M$3+6),$A36,"")))</f>
        <v/>
      </c>
      <c r="N36" s="47" t="str">
        <f aca="false">IF($A36="","",IF(AND(INDEX(工程マスタ!$I$5:$I$154,$A36)="○",$E36&gt;=N$3,$E36&lt;=N$3+6),"▼",IF(AND($E36&gt;=N$3,$E36&lt;=N$3+6),$A36,"")))</f>
        <v/>
      </c>
      <c r="O36" s="47" t="str">
        <f aca="false">IF($A36="","",IF(AND(INDEX(工程マスタ!$I$5:$I$154,$A36)="○",$E36&gt;=O$3,$E36&lt;=O$3+6),"▼",IF(AND($E36&gt;=O$3,$E36&lt;=O$3+6),$A36,"")))</f>
        <v/>
      </c>
      <c r="P36" s="47" t="str">
        <f aca="false">IF($A36="","",IF(AND(INDEX(工程マスタ!$I$5:$I$154,$A36)="○",$E36&gt;=P$3,$E36&lt;=P$3+6),"▼",IF(AND($E36&gt;=P$3,$E36&lt;=P$3+6),$A36,"")))</f>
        <v/>
      </c>
      <c r="Q36" s="47" t="str">
        <f aca="false">IF($A36="","",IF(AND(INDEX(工程マスタ!$I$5:$I$154,$A36)="○",$E36&gt;=Q$3,$E36&lt;=Q$3+6),"▼",IF(AND($E36&gt;=Q$3,$E36&lt;=Q$3+6),$A36,"")))</f>
        <v/>
      </c>
      <c r="R36" s="47" t="str">
        <f aca="false">IF($A36="","",IF(AND(INDEX(工程マスタ!$I$5:$I$154,$A36)="○",$E36&gt;=R$3,$E36&lt;=R$3+6),"▼",IF(AND($E36&gt;=R$3,$E36&lt;=R$3+6),$A36,"")))</f>
        <v/>
      </c>
      <c r="S36" s="47" t="str">
        <f aca="false">IF($A36="","",IF(AND(INDEX(工程マスタ!$I$5:$I$154,$A36)="○",$E36&gt;=S$3,$E36&lt;=S$3+6),"▼",IF(AND($E36&gt;=S$3,$E36&lt;=S$3+6),$A36,"")))</f>
        <v/>
      </c>
      <c r="T36" s="47" t="str">
        <f aca="false">IF($A36="","",IF(AND(INDEX(工程マスタ!$I$5:$I$154,$A36)="○",$E36&gt;=T$3,$E36&lt;=T$3+6),"▼",IF(AND($E36&gt;=T$3,$E36&lt;=T$3+6),$A36,"")))</f>
        <v/>
      </c>
      <c r="U36" s="47" t="str">
        <f aca="false">IF($A36="","",IF(AND(INDEX(工程マスタ!$I$5:$I$154,$A36)="○",$E36&gt;=U$3,$E36&lt;=U$3+6),"▼",IF(AND($E36&gt;=U$3,$E36&lt;=U$3+6),$A36,"")))</f>
        <v/>
      </c>
      <c r="V36" s="47" t="str">
        <f aca="false">IF($A36="","",IF(AND(INDEX(工程マスタ!$I$5:$I$154,$A36)="○",$E36&gt;=V$3,$E36&lt;=V$3+6),"▼",IF(AND($E36&gt;=V$3,$E36&lt;=V$3+6),$A36,"")))</f>
        <v/>
      </c>
      <c r="W36" s="47" t="str">
        <f aca="false">IF($A36="","",IF(AND(INDEX(工程マスタ!$I$5:$I$154,$A36)="○",$E36&gt;=W$3,$E36&lt;=W$3+6),"▼",IF(AND($E36&gt;=W$3,$E36&lt;=W$3+6),$A36,"")))</f>
        <v/>
      </c>
      <c r="X36" s="47" t="str">
        <f aca="false">IF($A36="","",IF(AND(INDEX(工程マスタ!$I$5:$I$154,$A36)="○",$E36&gt;=X$3,$E36&lt;=X$3+6),"▼",IF(AND($E36&gt;=X$3,$E36&lt;=X$3+6),$A36,"")))</f>
        <v/>
      </c>
      <c r="Y36" s="47" t="str">
        <f aca="false">IF($A36="","",IF(AND(INDEX(工程マスタ!$I$5:$I$154,$A36)="○",$E36&gt;=Y$3,$E36&lt;=Y$3+6),"▼",IF(AND($E36&gt;=Y$3,$E36&lt;=Y$3+6),$A36,"")))</f>
        <v/>
      </c>
      <c r="Z36" s="47" t="str">
        <f aca="false">IF($A36="","",IF(AND(INDEX(工程マスタ!$I$5:$I$154,$A36)="○",$E36&gt;=Z$3,$E36&lt;=Z$3+6),"▼",IF(AND($E36&gt;=Z$3,$E36&lt;=Z$3+6),$A36,"")))</f>
        <v/>
      </c>
      <c r="AA36" s="47" t="str">
        <f aca="false">IF($A36="","",IF(AND(INDEX(工程マスタ!$I$5:$I$154,$A36)="○",$E36&gt;=AA$3,$E36&lt;=AA$3+6),"▼",IF(AND($E36&gt;=AA$3,$E36&lt;=AA$3+6),$A36,"")))</f>
        <v/>
      </c>
      <c r="AB36" s="47" t="str">
        <f aca="false">IF($A36="","",IF(AND(INDEX(工程マスタ!$I$5:$I$154,$A36)="○",$E36&gt;=AB$3,$E36&lt;=AB$3+6),"▼",IF(AND($E36&gt;=AB$3,$E36&lt;=AB$3+6),$A36,"")))</f>
        <v/>
      </c>
      <c r="AC36" s="47" t="str">
        <f aca="false">IF($A36="","",IF(AND(INDEX(工程マスタ!$I$5:$I$154,$A36)="○",$E36&gt;=AC$3,$E36&lt;=AC$3+6),"▼",IF(AND($E36&gt;=AC$3,$E36&lt;=AC$3+6),$A36,"")))</f>
        <v/>
      </c>
      <c r="AD36" s="47" t="str">
        <f aca="false">IF($A36="","",IF(AND(INDEX(工程マスタ!$I$5:$I$154,$A36)="○",$E36&gt;=AD$3,$E36&lt;=AD$3+6),"▼",IF(AND($E36&gt;=AD$3,$E36&lt;=AD$3+6),$A36,"")))</f>
        <v/>
      </c>
      <c r="AE36" s="47" t="str">
        <f aca="false">IF($A36="","",IF(AND(INDEX(工程マスタ!$I$5:$I$154,$A36)="○",$E36&gt;=AE$3,$E36&lt;=AE$3+6),"▼",IF(AND($E36&gt;=AE$3,$E36&lt;=AE$3+6),$A36,"")))</f>
        <v/>
      </c>
      <c r="AF36" s="47" t="str">
        <f aca="false">IF($A36="","",IF(AND(INDEX(工程マスタ!$I$5:$I$154,$A36)="○",$E36&gt;=AF$3,$E36&lt;=AF$3+6),"▼",IF(AND($E36&gt;=AF$3,$E36&lt;=AF$3+6),$A36,"")))</f>
        <v/>
      </c>
      <c r="AG36" s="47" t="str">
        <f aca="false">IF($A36="","",IF(AND(INDEX(工程マスタ!$I$5:$I$154,$A36)="○",$E36&gt;=AG$3,$E36&lt;=AG$3+6),"▼",IF(AND($E36&gt;=AG$3,$E36&lt;=AG$3+6),$A36,"")))</f>
        <v/>
      </c>
      <c r="AH36" s="47" t="str">
        <f aca="false">IF($A36="","",IF(AND(INDEX(工程マスタ!$I$5:$I$154,$A36)="○",$E36&gt;=AH$3,$E36&lt;=AH$3+6),"▼",IF(AND($E36&gt;=AH$3,$E36&lt;=AH$3+6),$A36,"")))</f>
        <v/>
      </c>
      <c r="AI36" s="47" t="str">
        <f aca="false">IF($A36="","",IF(AND(INDEX(工程マスタ!$I$5:$I$154,$A36)="○",$E36&gt;=AI$3,$E36&lt;=AI$3+6),"▼",IF(AND($E36&gt;=AI$3,$E36&lt;=AI$3+6),$A36,"")))</f>
        <v/>
      </c>
      <c r="AJ36" s="47" t="str">
        <f aca="false">IF($A36="","",IF(AND(INDEX(工程マスタ!$I$5:$I$154,$A36)="○",$E36&gt;=AJ$3,$E36&lt;=AJ$3+6),"▼",IF(AND($E36&gt;=AJ$3,$E36&lt;=AJ$3+6),$A36,"")))</f>
        <v/>
      </c>
      <c r="AK36" s="47" t="str">
        <f aca="false">IF($A36="","",IF(AND(INDEX(工程マスタ!$I$5:$I$154,$A36)="○",$E36&gt;=AK$3,$E36&lt;=AK$3+6),"▼",IF(AND($E36&gt;=AK$3,$E36&lt;=AK$3+6),$A36,"")))</f>
        <v/>
      </c>
      <c r="AL36" s="47" t="str">
        <f aca="false">IF($A36="","",IF(AND(INDEX(工程マスタ!$I$5:$I$154,$A36)="○",$E36&gt;=AL$3,$E36&lt;=AL$3+6),"▼",IF(AND($E36&gt;=AL$3,$E36&lt;=AL$3+6),$A36,"")))</f>
        <v/>
      </c>
      <c r="AM36" s="47" t="str">
        <f aca="false">IF($A36="","",IF(AND(INDEX(工程マスタ!$I$5:$I$154,$A36)="○",$E36&gt;=AM$3,$E36&lt;=AM$3+6),"▼",IF(AND($E36&gt;=AM$3,$E36&lt;=AM$3+6),$A36,"")))</f>
        <v/>
      </c>
      <c r="AN36" s="47" t="str">
        <f aca="false">IF($A36="","",IF(AND(INDEX(工程マスタ!$I$5:$I$154,$A36)="○",$E36&gt;=AN$3,$E36&lt;=AN$3+6),"▼",IF(AND($E36&gt;=AN$3,$E36&lt;=AN$3+6),$A36,"")))</f>
        <v/>
      </c>
      <c r="AO36" s="47" t="str">
        <f aca="false">IF($A36="","",IF(AND(INDEX(工程マスタ!$I$5:$I$154,$A36)="○",$E36&gt;=AO$3,$E36&lt;=AO$3+6),"▼",IF(AND($E36&gt;=AO$3,$E36&lt;=AO$3+6),$A36,"")))</f>
        <v/>
      </c>
      <c r="AP36" s="47" t="str">
        <f aca="false">IF($A36="","",IF(AND(INDEX(工程マスタ!$I$5:$I$154,$A36)="○",$E36&gt;=AP$3,$E36&lt;=AP$3+6),"▼",IF(AND($E36&gt;=AP$3,$E36&lt;=AP$3+6),$A36,"")))</f>
        <v/>
      </c>
      <c r="AQ36" s="47" t="str">
        <f aca="false">IF($A36="","",IF(AND(INDEX(工程マスタ!$I$5:$I$154,$A36)="○",$E36&gt;=AQ$3,$E36&lt;=AQ$3+6),"▼",IF(AND($E36&gt;=AQ$3,$E36&lt;=AQ$3+6),$A36,"")))</f>
        <v/>
      </c>
      <c r="AR36" s="47" t="str">
        <f aca="false">IF($A36="","",IF(AND(INDEX(工程マスタ!$I$5:$I$154,$A36)="○",$E36&gt;=AR$3,$E36&lt;=AR$3+6),"▼",IF(AND($E36&gt;=AR$3,$E36&lt;=AR$3+6),$A36,"")))</f>
        <v/>
      </c>
      <c r="AS36" s="47" t="str">
        <f aca="false">IF($A36="","",IF(AND(INDEX(工程マスタ!$I$5:$I$154,$A36)="○",$E36&gt;=AS$3,$E36&lt;=AS$3+6),"▼",IF(AND($E36&gt;=AS$3,$E36&lt;=AS$3+6),$A36,"")))</f>
        <v/>
      </c>
      <c r="AT36" s="47" t="str">
        <f aca="false">IF($A36="","",IF(AND(INDEX(工程マスタ!$I$5:$I$154,$A36)="○",$E36&gt;=AT$3,$E36&lt;=AT$3+6),"▼",IF(AND($E36&gt;=AT$3,$E36&lt;=AT$3+6),$A36,"")))</f>
        <v/>
      </c>
      <c r="AU36" s="47" t="str">
        <f aca="false">IF($A36="","",IF(AND(INDEX(工程マスタ!$I$5:$I$154,$A36)="○",$E36&gt;=AU$3,$E36&lt;=AU$3+6),"▼",IF(AND($E36&gt;=AU$3,$E36&lt;=AU$3+6),$A36,"")))</f>
        <v/>
      </c>
      <c r="AV36" s="47" t="n">
        <f aca="false">IF($A36="","",IF(AND(INDEX(工程マスタ!$I$5:$I$154,$A36)="○",$E36&gt;=AV$3,$E36&lt;=AV$3+6),"▼",IF(AND($E36&gt;=AV$3,$E36&lt;=AV$3+6),$A36,"")))</f>
        <v>30</v>
      </c>
      <c r="AW36" s="47" t="str">
        <f aca="false">IF($A36="","",IF(AND(INDEX(工程マスタ!$I$5:$I$154,$A36)="○",$E36&gt;=AW$3,$E36&lt;=AW$3+6),"▼",IF(AND($E36&gt;=AW$3,$E36&lt;=AW$3+6),$A36,"")))</f>
        <v/>
      </c>
      <c r="AX36" s="47" t="str">
        <f aca="false">IF($A36="","",IF(AND(INDEX(工程マスタ!$I$5:$I$154,$A36)="○",$E36&gt;=AX$3,$E36&lt;=AX$3+6),"▼",IF(AND($E36&gt;=AX$3,$E36&lt;=AX$3+6),$A36,"")))</f>
        <v/>
      </c>
      <c r="AY36" s="47" t="str">
        <f aca="false">IF($A36="","",IF(AND(INDEX(工程マスタ!$I$5:$I$154,$A36)="○",$E36&gt;=AY$3,$E36&lt;=AY$3+6),"▼",IF(AND($E36&gt;=AY$3,$E36&lt;=AY$3+6),$A36,"")))</f>
        <v/>
      </c>
      <c r="AZ36" s="47" t="str">
        <f aca="false">IF($A36="","",IF(AND(INDEX(工程マスタ!$I$5:$I$154,$A36)="○",$E36&gt;=AZ$3,$E36&lt;=AZ$3+6),"▼",IF(AND($E36&gt;=AZ$3,$E36&lt;=AZ$3+6),$A36,"")))</f>
        <v/>
      </c>
      <c r="BA36" s="47" t="str">
        <f aca="false">IF($A36="","",IF(AND(INDEX(工程マスタ!$I$5:$I$154,$A36)="○",$E36&gt;=BA$3,$E36&lt;=BA$3+6),"▼",IF(AND($E36&gt;=BA$3,$E36&lt;=BA$3+6),$A36,"")))</f>
        <v/>
      </c>
      <c r="BB36" s="47" t="str">
        <f aca="false">IF($A36="","",IF(AND(INDEX(工程マスタ!$I$5:$I$154,$A36)="○",$E36&gt;=BB$3,$E36&lt;=BB$3+6),"▼",IF(AND($E36&gt;=BB$3,$E36&lt;=BB$3+6),$A36,"")))</f>
        <v/>
      </c>
      <c r="BC36" s="47" t="str">
        <f aca="false">IF($A36="","",IF(AND(INDEX(工程マスタ!$I$5:$I$154,$A36)="○",$E36&gt;=BC$3,$E36&lt;=BC$3+6),"▼",IF(AND($E36&gt;=BC$3,$E36&lt;=BC$3+6),$A36,"")))</f>
        <v/>
      </c>
      <c r="BD36" s="47" t="str">
        <f aca="false">IF($A36="","",IF(AND(INDEX(工程マスタ!$I$5:$I$154,$A36)="○",$E36&gt;=BD$3,$E36&lt;=BD$3+6),"▼",IF(AND($E36&gt;=BD$3,$E36&lt;=BD$3+6),$A36,"")))</f>
        <v/>
      </c>
      <c r="BE36" s="47" t="str">
        <f aca="false">IF($A36="","",IF(AND(INDEX(工程マスタ!$I$5:$I$154,$A36)="○",$E36&gt;=BE$3,$E36&lt;=BE$3+6),"▼",IF(AND($E36&gt;=BE$3,$E36&lt;=BE$3+6),$A36,"")))</f>
        <v/>
      </c>
      <c r="BF36" s="47" t="str">
        <f aca="false">IF($A36="","",IF(AND(INDEX(工程マスタ!$I$5:$I$154,$A36)="○",$E36&gt;=BF$3,$E36&lt;=BF$3+6),"▼",IF(AND($E36&gt;=BF$3,$E36&lt;=BF$3+6),$A36,"")))</f>
        <v/>
      </c>
      <c r="BG36" s="47" t="str">
        <f aca="false">IF($A36="","",IF(AND(INDEX(工程マスタ!$I$5:$I$154,$A36)="○",$E36&gt;=BG$3,$E36&lt;=BG$3+6),"▼",IF(AND($E36&gt;=BG$3,$E36&lt;=BG$3+6),$A36,"")))</f>
        <v/>
      </c>
      <c r="BH36" s="47" t="str">
        <f aca="false">IF($A36="","",IF(AND(INDEX(工程マスタ!$I$5:$I$154,$A36)="○",$E36&gt;=BH$3,$E36&lt;=BH$3+6),"▼",IF(AND($E36&gt;=BH$3,$E36&lt;=BH$3+6),$A36,"")))</f>
        <v/>
      </c>
      <c r="BI36" s="47" t="str">
        <f aca="false">IF($A36="","",IF(AND(INDEX(工程マスタ!$I$5:$I$154,$A36)="○",$E36&gt;=BI$3,$E36&lt;=BI$3+6),"▼",IF(AND($E36&gt;=BI$3,$E36&lt;=BI$3+6),$A36,"")))</f>
        <v/>
      </c>
      <c r="BJ36" s="47" t="str">
        <f aca="false">IF($A36="","",IF(AND(INDEX(工程マスタ!$I$5:$I$154,$A36)="○",$E36&gt;=BJ$3,$E36&lt;=BJ$3+6),"▼",IF(AND($E36&gt;=BJ$3,$E36&lt;=BJ$3+6),$A36,"")))</f>
        <v/>
      </c>
    </row>
    <row r="37" customFormat="false" ht="15" hidden="false" customHeight="false" outlineLevel="0" collapsed="false">
      <c r="A37" s="28" t="n">
        <f aca="false">IF(工程マスタ!$C35="","",工程マスタ!$A35)</f>
        <v>31</v>
      </c>
      <c r="B37" s="46" t="str">
        <f aca="false">IF($A37="","",工程マスタ!$C35)</f>
        <v>ボード貼り</v>
      </c>
      <c r="C37" s="28" t="n">
        <f aca="false">IF($A37="","",MAX(1,工程マスタ!$G35))</f>
        <v>32</v>
      </c>
      <c r="D37" s="28" t="str">
        <f aca="false">IF($A37="","",_xlfn.TEXTJOIN(",",TRUE(),工程マスタ!$N35:$P35))</f>
        <v>30</v>
      </c>
      <c r="E37" s="29" t="n">
        <f aca="false">IF($A37="","",IF(COUNT(工程マスタ!$N35:$P35)=0,設定!$B$8,MAX(IF(工程マスタ!$N35="",0,INDEX($F$7:$F$156,工程マスタ!$N35)),IF(工程マスタ!$O35="",0,INDEX($F$7:$F$156,工程マスタ!$O35)),IF(工程マスタ!$P35="",0,INDEX($F$7:$F$156,工程マスタ!$P35)))+1))</f>
        <v>46509</v>
      </c>
      <c r="F37" s="29" t="n">
        <f aca="false">IF($A37="","",$E37+$C37-1)</f>
        <v>46540</v>
      </c>
      <c r="G37" s="29" t="n">
        <f aca="false">IF($A37="","",$H37-$C37+1)</f>
        <v>46509</v>
      </c>
      <c r="H37" s="29" t="n">
        <f aca="false" t="array" ref="H37:H37">IF($A37="","",IF(SUMPRODUCT((工程マスタ!$N$36:$N$154=$A37)*1)+SUMPRODUCT((工程マスタ!$O$36:$O$154=$A37)*1)+SUMPRODUCT((工程マスタ!$P$36:$P$154=$A37)*1)=0,MAX($F$7:$F$156),MIN(IF((工程マスタ!$N$36:$N$154=$A37)+(工程マスタ!$O$36:$O$154=$A37)+(工程マスタ!$P$36:$P$154=$A37),$G38:$G$156))-1))</f>
        <v>46540</v>
      </c>
      <c r="I37" s="28" t="n">
        <f aca="false">IF($A37="","",$G37-$E37)</f>
        <v>0</v>
      </c>
      <c r="J37" s="28" t="str">
        <f aca="false">IF($A37="","",IF($I37&lt;=0,"●",""))</f>
        <v>●</v>
      </c>
      <c r="K37" s="47" t="str">
        <f aca="false">IF($A37="","",IF(AND(INDEX(工程マスタ!$I$5:$I$154,$A37)="○",$E37&gt;=K$3,$E37&lt;=K$3+6),"▼",IF(AND($E37&gt;=K$3,$E37&lt;=K$3+6),$A37,"")))</f>
        <v/>
      </c>
      <c r="L37" s="47" t="str">
        <f aca="false">IF($A37="","",IF(AND(INDEX(工程マスタ!$I$5:$I$154,$A37)="○",$E37&gt;=L$3,$E37&lt;=L$3+6),"▼",IF(AND($E37&gt;=L$3,$E37&lt;=L$3+6),$A37,"")))</f>
        <v/>
      </c>
      <c r="M37" s="47" t="str">
        <f aca="false">IF($A37="","",IF(AND(INDEX(工程マスタ!$I$5:$I$154,$A37)="○",$E37&gt;=M$3,$E37&lt;=M$3+6),"▼",IF(AND($E37&gt;=M$3,$E37&lt;=M$3+6),$A37,"")))</f>
        <v/>
      </c>
      <c r="N37" s="47" t="str">
        <f aca="false">IF($A37="","",IF(AND(INDEX(工程マスタ!$I$5:$I$154,$A37)="○",$E37&gt;=N$3,$E37&lt;=N$3+6),"▼",IF(AND($E37&gt;=N$3,$E37&lt;=N$3+6),$A37,"")))</f>
        <v/>
      </c>
      <c r="O37" s="47" t="str">
        <f aca="false">IF($A37="","",IF(AND(INDEX(工程マスタ!$I$5:$I$154,$A37)="○",$E37&gt;=O$3,$E37&lt;=O$3+6),"▼",IF(AND($E37&gt;=O$3,$E37&lt;=O$3+6),$A37,"")))</f>
        <v/>
      </c>
      <c r="P37" s="47" t="str">
        <f aca="false">IF($A37="","",IF(AND(INDEX(工程マスタ!$I$5:$I$154,$A37)="○",$E37&gt;=P$3,$E37&lt;=P$3+6),"▼",IF(AND($E37&gt;=P$3,$E37&lt;=P$3+6),$A37,"")))</f>
        <v/>
      </c>
      <c r="Q37" s="47" t="str">
        <f aca="false">IF($A37="","",IF(AND(INDEX(工程マスタ!$I$5:$I$154,$A37)="○",$E37&gt;=Q$3,$E37&lt;=Q$3+6),"▼",IF(AND($E37&gt;=Q$3,$E37&lt;=Q$3+6),$A37,"")))</f>
        <v/>
      </c>
      <c r="R37" s="47" t="str">
        <f aca="false">IF($A37="","",IF(AND(INDEX(工程マスタ!$I$5:$I$154,$A37)="○",$E37&gt;=R$3,$E37&lt;=R$3+6),"▼",IF(AND($E37&gt;=R$3,$E37&lt;=R$3+6),$A37,"")))</f>
        <v/>
      </c>
      <c r="S37" s="47" t="str">
        <f aca="false">IF($A37="","",IF(AND(INDEX(工程マスタ!$I$5:$I$154,$A37)="○",$E37&gt;=S$3,$E37&lt;=S$3+6),"▼",IF(AND($E37&gt;=S$3,$E37&lt;=S$3+6),$A37,"")))</f>
        <v/>
      </c>
      <c r="T37" s="47" t="str">
        <f aca="false">IF($A37="","",IF(AND(INDEX(工程マスタ!$I$5:$I$154,$A37)="○",$E37&gt;=T$3,$E37&lt;=T$3+6),"▼",IF(AND($E37&gt;=T$3,$E37&lt;=T$3+6),$A37,"")))</f>
        <v/>
      </c>
      <c r="U37" s="47" t="str">
        <f aca="false">IF($A37="","",IF(AND(INDEX(工程マスタ!$I$5:$I$154,$A37)="○",$E37&gt;=U$3,$E37&lt;=U$3+6),"▼",IF(AND($E37&gt;=U$3,$E37&lt;=U$3+6),$A37,"")))</f>
        <v/>
      </c>
      <c r="V37" s="47" t="str">
        <f aca="false">IF($A37="","",IF(AND(INDEX(工程マスタ!$I$5:$I$154,$A37)="○",$E37&gt;=V$3,$E37&lt;=V$3+6),"▼",IF(AND($E37&gt;=V$3,$E37&lt;=V$3+6),$A37,"")))</f>
        <v/>
      </c>
      <c r="W37" s="47" t="str">
        <f aca="false">IF($A37="","",IF(AND(INDEX(工程マスタ!$I$5:$I$154,$A37)="○",$E37&gt;=W$3,$E37&lt;=W$3+6),"▼",IF(AND($E37&gt;=W$3,$E37&lt;=W$3+6),$A37,"")))</f>
        <v/>
      </c>
      <c r="X37" s="47" t="str">
        <f aca="false">IF($A37="","",IF(AND(INDEX(工程マスタ!$I$5:$I$154,$A37)="○",$E37&gt;=X$3,$E37&lt;=X$3+6),"▼",IF(AND($E37&gt;=X$3,$E37&lt;=X$3+6),$A37,"")))</f>
        <v/>
      </c>
      <c r="Y37" s="47" t="str">
        <f aca="false">IF($A37="","",IF(AND(INDEX(工程マスタ!$I$5:$I$154,$A37)="○",$E37&gt;=Y$3,$E37&lt;=Y$3+6),"▼",IF(AND($E37&gt;=Y$3,$E37&lt;=Y$3+6),$A37,"")))</f>
        <v/>
      </c>
      <c r="Z37" s="47" t="str">
        <f aca="false">IF($A37="","",IF(AND(INDEX(工程マスタ!$I$5:$I$154,$A37)="○",$E37&gt;=Z$3,$E37&lt;=Z$3+6),"▼",IF(AND($E37&gt;=Z$3,$E37&lt;=Z$3+6),$A37,"")))</f>
        <v/>
      </c>
      <c r="AA37" s="47" t="str">
        <f aca="false">IF($A37="","",IF(AND(INDEX(工程マスタ!$I$5:$I$154,$A37)="○",$E37&gt;=AA$3,$E37&lt;=AA$3+6),"▼",IF(AND($E37&gt;=AA$3,$E37&lt;=AA$3+6),$A37,"")))</f>
        <v/>
      </c>
      <c r="AB37" s="47" t="str">
        <f aca="false">IF($A37="","",IF(AND(INDEX(工程マスタ!$I$5:$I$154,$A37)="○",$E37&gt;=AB$3,$E37&lt;=AB$3+6),"▼",IF(AND($E37&gt;=AB$3,$E37&lt;=AB$3+6),$A37,"")))</f>
        <v/>
      </c>
      <c r="AC37" s="47" t="str">
        <f aca="false">IF($A37="","",IF(AND(INDEX(工程マスタ!$I$5:$I$154,$A37)="○",$E37&gt;=AC$3,$E37&lt;=AC$3+6),"▼",IF(AND($E37&gt;=AC$3,$E37&lt;=AC$3+6),$A37,"")))</f>
        <v/>
      </c>
      <c r="AD37" s="47" t="str">
        <f aca="false">IF($A37="","",IF(AND(INDEX(工程マスタ!$I$5:$I$154,$A37)="○",$E37&gt;=AD$3,$E37&lt;=AD$3+6),"▼",IF(AND($E37&gt;=AD$3,$E37&lt;=AD$3+6),$A37,"")))</f>
        <v/>
      </c>
      <c r="AE37" s="47" t="str">
        <f aca="false">IF($A37="","",IF(AND(INDEX(工程マスタ!$I$5:$I$154,$A37)="○",$E37&gt;=AE$3,$E37&lt;=AE$3+6),"▼",IF(AND($E37&gt;=AE$3,$E37&lt;=AE$3+6),$A37,"")))</f>
        <v/>
      </c>
      <c r="AF37" s="47" t="str">
        <f aca="false">IF($A37="","",IF(AND(INDEX(工程マスタ!$I$5:$I$154,$A37)="○",$E37&gt;=AF$3,$E37&lt;=AF$3+6),"▼",IF(AND($E37&gt;=AF$3,$E37&lt;=AF$3+6),$A37,"")))</f>
        <v/>
      </c>
      <c r="AG37" s="47" t="str">
        <f aca="false">IF($A37="","",IF(AND(INDEX(工程マスタ!$I$5:$I$154,$A37)="○",$E37&gt;=AG$3,$E37&lt;=AG$3+6),"▼",IF(AND($E37&gt;=AG$3,$E37&lt;=AG$3+6),$A37,"")))</f>
        <v/>
      </c>
      <c r="AH37" s="47" t="str">
        <f aca="false">IF($A37="","",IF(AND(INDEX(工程マスタ!$I$5:$I$154,$A37)="○",$E37&gt;=AH$3,$E37&lt;=AH$3+6),"▼",IF(AND($E37&gt;=AH$3,$E37&lt;=AH$3+6),$A37,"")))</f>
        <v/>
      </c>
      <c r="AI37" s="47" t="str">
        <f aca="false">IF($A37="","",IF(AND(INDEX(工程マスタ!$I$5:$I$154,$A37)="○",$E37&gt;=AI$3,$E37&lt;=AI$3+6),"▼",IF(AND($E37&gt;=AI$3,$E37&lt;=AI$3+6),$A37,"")))</f>
        <v/>
      </c>
      <c r="AJ37" s="47" t="str">
        <f aca="false">IF($A37="","",IF(AND(INDEX(工程マスタ!$I$5:$I$154,$A37)="○",$E37&gt;=AJ$3,$E37&lt;=AJ$3+6),"▼",IF(AND($E37&gt;=AJ$3,$E37&lt;=AJ$3+6),$A37,"")))</f>
        <v/>
      </c>
      <c r="AK37" s="47" t="str">
        <f aca="false">IF($A37="","",IF(AND(INDEX(工程マスタ!$I$5:$I$154,$A37)="○",$E37&gt;=AK$3,$E37&lt;=AK$3+6),"▼",IF(AND($E37&gt;=AK$3,$E37&lt;=AK$3+6),$A37,"")))</f>
        <v/>
      </c>
      <c r="AL37" s="47" t="str">
        <f aca="false">IF($A37="","",IF(AND(INDEX(工程マスタ!$I$5:$I$154,$A37)="○",$E37&gt;=AL$3,$E37&lt;=AL$3+6),"▼",IF(AND($E37&gt;=AL$3,$E37&lt;=AL$3+6),$A37,"")))</f>
        <v/>
      </c>
      <c r="AM37" s="47" t="str">
        <f aca="false">IF($A37="","",IF(AND(INDEX(工程マスタ!$I$5:$I$154,$A37)="○",$E37&gt;=AM$3,$E37&lt;=AM$3+6),"▼",IF(AND($E37&gt;=AM$3,$E37&lt;=AM$3+6),$A37,"")))</f>
        <v/>
      </c>
      <c r="AN37" s="47" t="str">
        <f aca="false">IF($A37="","",IF(AND(INDEX(工程マスタ!$I$5:$I$154,$A37)="○",$E37&gt;=AN$3,$E37&lt;=AN$3+6),"▼",IF(AND($E37&gt;=AN$3,$E37&lt;=AN$3+6),$A37,"")))</f>
        <v/>
      </c>
      <c r="AO37" s="47" t="str">
        <f aca="false">IF($A37="","",IF(AND(INDEX(工程マスタ!$I$5:$I$154,$A37)="○",$E37&gt;=AO$3,$E37&lt;=AO$3+6),"▼",IF(AND($E37&gt;=AO$3,$E37&lt;=AO$3+6),$A37,"")))</f>
        <v/>
      </c>
      <c r="AP37" s="47" t="str">
        <f aca="false">IF($A37="","",IF(AND(INDEX(工程マスタ!$I$5:$I$154,$A37)="○",$E37&gt;=AP$3,$E37&lt;=AP$3+6),"▼",IF(AND($E37&gt;=AP$3,$E37&lt;=AP$3+6),$A37,"")))</f>
        <v/>
      </c>
      <c r="AQ37" s="47" t="str">
        <f aca="false">IF($A37="","",IF(AND(INDEX(工程マスタ!$I$5:$I$154,$A37)="○",$E37&gt;=AQ$3,$E37&lt;=AQ$3+6),"▼",IF(AND($E37&gt;=AQ$3,$E37&lt;=AQ$3+6),$A37,"")))</f>
        <v/>
      </c>
      <c r="AR37" s="47" t="str">
        <f aca="false">IF($A37="","",IF(AND(INDEX(工程マスタ!$I$5:$I$154,$A37)="○",$E37&gt;=AR$3,$E37&lt;=AR$3+6),"▼",IF(AND($E37&gt;=AR$3,$E37&lt;=AR$3+6),$A37,"")))</f>
        <v/>
      </c>
      <c r="AS37" s="47" t="str">
        <f aca="false">IF($A37="","",IF(AND(INDEX(工程マスタ!$I$5:$I$154,$A37)="○",$E37&gt;=AS$3,$E37&lt;=AS$3+6),"▼",IF(AND($E37&gt;=AS$3,$E37&lt;=AS$3+6),$A37,"")))</f>
        <v/>
      </c>
      <c r="AT37" s="47" t="str">
        <f aca="false">IF($A37="","",IF(AND(INDEX(工程マスタ!$I$5:$I$154,$A37)="○",$E37&gt;=AT$3,$E37&lt;=AT$3+6),"▼",IF(AND($E37&gt;=AT$3,$E37&lt;=AT$3+6),$A37,"")))</f>
        <v/>
      </c>
      <c r="AU37" s="47" t="str">
        <f aca="false">IF($A37="","",IF(AND(INDEX(工程マスタ!$I$5:$I$154,$A37)="○",$E37&gt;=AU$3,$E37&lt;=AU$3+6),"▼",IF(AND($E37&gt;=AU$3,$E37&lt;=AU$3+6),$A37,"")))</f>
        <v/>
      </c>
      <c r="AV37" s="47" t="str">
        <f aca="false">IF($A37="","",IF(AND(INDEX(工程マスタ!$I$5:$I$154,$A37)="○",$E37&gt;=AV$3,$E37&lt;=AV$3+6),"▼",IF(AND($E37&gt;=AV$3,$E37&lt;=AV$3+6),$A37,"")))</f>
        <v/>
      </c>
      <c r="AW37" s="47" t="str">
        <f aca="false">IF($A37="","",IF(AND(INDEX(工程マスタ!$I$5:$I$154,$A37)="○",$E37&gt;=AW$3,$E37&lt;=AW$3+6),"▼",IF(AND($E37&gt;=AW$3,$E37&lt;=AW$3+6),$A37,"")))</f>
        <v/>
      </c>
      <c r="AX37" s="47" t="str">
        <f aca="false">IF($A37="","",IF(AND(INDEX(工程マスタ!$I$5:$I$154,$A37)="○",$E37&gt;=AX$3,$E37&lt;=AX$3+6),"▼",IF(AND($E37&gt;=AX$3,$E37&lt;=AX$3+6),$A37,"")))</f>
        <v/>
      </c>
      <c r="AY37" s="47" t="str">
        <f aca="false">IF($A37="","",IF(AND(INDEX(工程マスタ!$I$5:$I$154,$A37)="○",$E37&gt;=AY$3,$E37&lt;=AY$3+6),"▼",IF(AND($E37&gt;=AY$3,$E37&lt;=AY$3+6),$A37,"")))</f>
        <v/>
      </c>
      <c r="AZ37" s="47" t="str">
        <f aca="false">IF($A37="","",IF(AND(INDEX(工程マスタ!$I$5:$I$154,$A37)="○",$E37&gt;=AZ$3,$E37&lt;=AZ$3+6),"▼",IF(AND($E37&gt;=AZ$3,$E37&lt;=AZ$3+6),$A37,"")))</f>
        <v/>
      </c>
      <c r="BA37" s="47" t="str">
        <f aca="false">IF($A37="","",IF(AND(INDEX(工程マスタ!$I$5:$I$154,$A37)="○",$E37&gt;=BA$3,$E37&lt;=BA$3+6),"▼",IF(AND($E37&gt;=BA$3,$E37&lt;=BA$3+6),$A37,"")))</f>
        <v/>
      </c>
      <c r="BB37" s="47" t="n">
        <f aca="false">IF($A37="","",IF(AND(INDEX(工程マスタ!$I$5:$I$154,$A37)="○",$E37&gt;=BB$3,$E37&lt;=BB$3+6),"▼",IF(AND($E37&gt;=BB$3,$E37&lt;=BB$3+6),$A37,"")))</f>
        <v>31</v>
      </c>
      <c r="BC37" s="47" t="str">
        <f aca="false">IF($A37="","",IF(AND(INDEX(工程マスタ!$I$5:$I$154,$A37)="○",$E37&gt;=BC$3,$E37&lt;=BC$3+6),"▼",IF(AND($E37&gt;=BC$3,$E37&lt;=BC$3+6),$A37,"")))</f>
        <v/>
      </c>
      <c r="BD37" s="47" t="str">
        <f aca="false">IF($A37="","",IF(AND(INDEX(工程マスタ!$I$5:$I$154,$A37)="○",$E37&gt;=BD$3,$E37&lt;=BD$3+6),"▼",IF(AND($E37&gt;=BD$3,$E37&lt;=BD$3+6),$A37,"")))</f>
        <v/>
      </c>
      <c r="BE37" s="47" t="str">
        <f aca="false">IF($A37="","",IF(AND(INDEX(工程マスタ!$I$5:$I$154,$A37)="○",$E37&gt;=BE$3,$E37&lt;=BE$3+6),"▼",IF(AND($E37&gt;=BE$3,$E37&lt;=BE$3+6),$A37,"")))</f>
        <v/>
      </c>
      <c r="BF37" s="47" t="str">
        <f aca="false">IF($A37="","",IF(AND(INDEX(工程マスタ!$I$5:$I$154,$A37)="○",$E37&gt;=BF$3,$E37&lt;=BF$3+6),"▼",IF(AND($E37&gt;=BF$3,$E37&lt;=BF$3+6),$A37,"")))</f>
        <v/>
      </c>
      <c r="BG37" s="47" t="str">
        <f aca="false">IF($A37="","",IF(AND(INDEX(工程マスタ!$I$5:$I$154,$A37)="○",$E37&gt;=BG$3,$E37&lt;=BG$3+6),"▼",IF(AND($E37&gt;=BG$3,$E37&lt;=BG$3+6),$A37,"")))</f>
        <v/>
      </c>
      <c r="BH37" s="47" t="str">
        <f aca="false">IF($A37="","",IF(AND(INDEX(工程マスタ!$I$5:$I$154,$A37)="○",$E37&gt;=BH$3,$E37&lt;=BH$3+6),"▼",IF(AND($E37&gt;=BH$3,$E37&lt;=BH$3+6),$A37,"")))</f>
        <v/>
      </c>
      <c r="BI37" s="47" t="str">
        <f aca="false">IF($A37="","",IF(AND(INDEX(工程マスタ!$I$5:$I$154,$A37)="○",$E37&gt;=BI$3,$E37&lt;=BI$3+6),"▼",IF(AND($E37&gt;=BI$3,$E37&lt;=BI$3+6),$A37,"")))</f>
        <v/>
      </c>
      <c r="BJ37" s="47" t="str">
        <f aca="false">IF($A37="","",IF(AND(INDEX(工程マスタ!$I$5:$I$154,$A37)="○",$E37&gt;=BJ$3,$E37&lt;=BJ$3+6),"▼",IF(AND($E37&gt;=BJ$3,$E37&lt;=BJ$3+6),$A37,"")))</f>
        <v/>
      </c>
    </row>
    <row r="38" customFormat="false" ht="15" hidden="false" customHeight="false" outlineLevel="0" collapsed="false">
      <c r="A38" s="28" t="n">
        <f aca="false">IF(工程マスタ!$C36="","",工程マスタ!$A36)</f>
        <v>32</v>
      </c>
      <c r="B38" s="46" t="str">
        <f aca="false">IF($A38="","",工程マスタ!$C36)</f>
        <v>受電</v>
      </c>
      <c r="C38" s="28" t="n">
        <f aca="false">IF($A38="","",MAX(1,工程マスタ!$G36))</f>
        <v>1</v>
      </c>
      <c r="D38" s="28" t="str">
        <f aca="false">IF($A38="","",_xlfn.TEXTJOIN(",",TRUE(),工程マスタ!$N36:$P36))</f>
        <v>25</v>
      </c>
      <c r="E38" s="29" t="n">
        <f aca="false">IF($A38="","",IF(COUNT(工程マスタ!$N36:$P36)=0,設定!$B$8,MAX(IF(工程マスタ!$N36="",0,INDEX($F$7:$F$156,工程マスタ!$N36)),IF(工程マスタ!$O36="",0,INDEX($F$7:$F$156,工程マスタ!$O36)),IF(工程マスタ!$P36="",0,INDEX($F$7:$F$156,工程マスタ!$P36)))+1))</f>
        <v>46496</v>
      </c>
      <c r="F38" s="29" t="n">
        <f aca="false">IF($A38="","",$E38+$C38-1)</f>
        <v>46496</v>
      </c>
      <c r="G38" s="29" t="n">
        <f aca="false">IF($A38="","",$H38-$C38+1)</f>
        <v>46541</v>
      </c>
      <c r="H38" s="29" t="n">
        <f aca="false" t="array" ref="H38:H38">IF($A38="","",IF(SUMPRODUCT((工程マスタ!$N$37:$N$154=$A38)*1)+SUMPRODUCT((工程マスタ!$O$37:$O$154=$A38)*1)+SUMPRODUCT((工程マスタ!$P$37:$P$154=$A38)*1)=0,MAX($F$7:$F$156),MIN(IF((工程マスタ!$N$37:$N$154=$A38)+(工程マスタ!$O$37:$O$154=$A38)+(工程マスタ!$P$37:$P$154=$A38),$G39:$G$156))-1))</f>
        <v>46541</v>
      </c>
      <c r="I38" s="28" t="n">
        <f aca="false">IF($A38="","",$G38-$E38)</f>
        <v>45</v>
      </c>
      <c r="J38" s="28" t="str">
        <f aca="false">IF($A38="","",IF($I38&lt;=0,"●",""))</f>
        <v/>
      </c>
      <c r="K38" s="47" t="str">
        <f aca="false">IF($A38="","",IF(AND(INDEX(工程マスタ!$I$5:$I$154,$A38)="○",$E38&gt;=K$3,$E38&lt;=K$3+6),"▼",IF(AND($E38&gt;=K$3,$E38&lt;=K$3+6),$A38,"")))</f>
        <v/>
      </c>
      <c r="L38" s="47" t="str">
        <f aca="false">IF($A38="","",IF(AND(INDEX(工程マスタ!$I$5:$I$154,$A38)="○",$E38&gt;=L$3,$E38&lt;=L$3+6),"▼",IF(AND($E38&gt;=L$3,$E38&lt;=L$3+6),$A38,"")))</f>
        <v/>
      </c>
      <c r="M38" s="47" t="str">
        <f aca="false">IF($A38="","",IF(AND(INDEX(工程マスタ!$I$5:$I$154,$A38)="○",$E38&gt;=M$3,$E38&lt;=M$3+6),"▼",IF(AND($E38&gt;=M$3,$E38&lt;=M$3+6),$A38,"")))</f>
        <v/>
      </c>
      <c r="N38" s="47" t="str">
        <f aca="false">IF($A38="","",IF(AND(INDEX(工程マスタ!$I$5:$I$154,$A38)="○",$E38&gt;=N$3,$E38&lt;=N$3+6),"▼",IF(AND($E38&gt;=N$3,$E38&lt;=N$3+6),$A38,"")))</f>
        <v/>
      </c>
      <c r="O38" s="47" t="str">
        <f aca="false">IF($A38="","",IF(AND(INDEX(工程マスタ!$I$5:$I$154,$A38)="○",$E38&gt;=O$3,$E38&lt;=O$3+6),"▼",IF(AND($E38&gt;=O$3,$E38&lt;=O$3+6),$A38,"")))</f>
        <v/>
      </c>
      <c r="P38" s="47" t="str">
        <f aca="false">IF($A38="","",IF(AND(INDEX(工程マスタ!$I$5:$I$154,$A38)="○",$E38&gt;=P$3,$E38&lt;=P$3+6),"▼",IF(AND($E38&gt;=P$3,$E38&lt;=P$3+6),$A38,"")))</f>
        <v/>
      </c>
      <c r="Q38" s="47" t="str">
        <f aca="false">IF($A38="","",IF(AND(INDEX(工程マスタ!$I$5:$I$154,$A38)="○",$E38&gt;=Q$3,$E38&lt;=Q$3+6),"▼",IF(AND($E38&gt;=Q$3,$E38&lt;=Q$3+6),$A38,"")))</f>
        <v/>
      </c>
      <c r="R38" s="47" t="str">
        <f aca="false">IF($A38="","",IF(AND(INDEX(工程マスタ!$I$5:$I$154,$A38)="○",$E38&gt;=R$3,$E38&lt;=R$3+6),"▼",IF(AND($E38&gt;=R$3,$E38&lt;=R$3+6),$A38,"")))</f>
        <v/>
      </c>
      <c r="S38" s="47" t="str">
        <f aca="false">IF($A38="","",IF(AND(INDEX(工程マスタ!$I$5:$I$154,$A38)="○",$E38&gt;=S$3,$E38&lt;=S$3+6),"▼",IF(AND($E38&gt;=S$3,$E38&lt;=S$3+6),$A38,"")))</f>
        <v/>
      </c>
      <c r="T38" s="47" t="str">
        <f aca="false">IF($A38="","",IF(AND(INDEX(工程マスタ!$I$5:$I$154,$A38)="○",$E38&gt;=T$3,$E38&lt;=T$3+6),"▼",IF(AND($E38&gt;=T$3,$E38&lt;=T$3+6),$A38,"")))</f>
        <v/>
      </c>
      <c r="U38" s="47" t="str">
        <f aca="false">IF($A38="","",IF(AND(INDEX(工程マスタ!$I$5:$I$154,$A38)="○",$E38&gt;=U$3,$E38&lt;=U$3+6),"▼",IF(AND($E38&gt;=U$3,$E38&lt;=U$3+6),$A38,"")))</f>
        <v/>
      </c>
      <c r="V38" s="47" t="str">
        <f aca="false">IF($A38="","",IF(AND(INDEX(工程マスタ!$I$5:$I$154,$A38)="○",$E38&gt;=V$3,$E38&lt;=V$3+6),"▼",IF(AND($E38&gt;=V$3,$E38&lt;=V$3+6),$A38,"")))</f>
        <v/>
      </c>
      <c r="W38" s="47" t="str">
        <f aca="false">IF($A38="","",IF(AND(INDEX(工程マスタ!$I$5:$I$154,$A38)="○",$E38&gt;=W$3,$E38&lt;=W$3+6),"▼",IF(AND($E38&gt;=W$3,$E38&lt;=W$3+6),$A38,"")))</f>
        <v/>
      </c>
      <c r="X38" s="47" t="str">
        <f aca="false">IF($A38="","",IF(AND(INDEX(工程マスタ!$I$5:$I$154,$A38)="○",$E38&gt;=X$3,$E38&lt;=X$3+6),"▼",IF(AND($E38&gt;=X$3,$E38&lt;=X$3+6),$A38,"")))</f>
        <v/>
      </c>
      <c r="Y38" s="47" t="str">
        <f aca="false">IF($A38="","",IF(AND(INDEX(工程マスタ!$I$5:$I$154,$A38)="○",$E38&gt;=Y$3,$E38&lt;=Y$3+6),"▼",IF(AND($E38&gt;=Y$3,$E38&lt;=Y$3+6),$A38,"")))</f>
        <v/>
      </c>
      <c r="Z38" s="47" t="str">
        <f aca="false">IF($A38="","",IF(AND(INDEX(工程マスタ!$I$5:$I$154,$A38)="○",$E38&gt;=Z$3,$E38&lt;=Z$3+6),"▼",IF(AND($E38&gt;=Z$3,$E38&lt;=Z$3+6),$A38,"")))</f>
        <v/>
      </c>
      <c r="AA38" s="47" t="str">
        <f aca="false">IF($A38="","",IF(AND(INDEX(工程マスタ!$I$5:$I$154,$A38)="○",$E38&gt;=AA$3,$E38&lt;=AA$3+6),"▼",IF(AND($E38&gt;=AA$3,$E38&lt;=AA$3+6),$A38,"")))</f>
        <v/>
      </c>
      <c r="AB38" s="47" t="str">
        <f aca="false">IF($A38="","",IF(AND(INDEX(工程マスタ!$I$5:$I$154,$A38)="○",$E38&gt;=AB$3,$E38&lt;=AB$3+6),"▼",IF(AND($E38&gt;=AB$3,$E38&lt;=AB$3+6),$A38,"")))</f>
        <v/>
      </c>
      <c r="AC38" s="47" t="str">
        <f aca="false">IF($A38="","",IF(AND(INDEX(工程マスタ!$I$5:$I$154,$A38)="○",$E38&gt;=AC$3,$E38&lt;=AC$3+6),"▼",IF(AND($E38&gt;=AC$3,$E38&lt;=AC$3+6),$A38,"")))</f>
        <v/>
      </c>
      <c r="AD38" s="47" t="str">
        <f aca="false">IF($A38="","",IF(AND(INDEX(工程マスタ!$I$5:$I$154,$A38)="○",$E38&gt;=AD$3,$E38&lt;=AD$3+6),"▼",IF(AND($E38&gt;=AD$3,$E38&lt;=AD$3+6),$A38,"")))</f>
        <v/>
      </c>
      <c r="AE38" s="47" t="str">
        <f aca="false">IF($A38="","",IF(AND(INDEX(工程マスタ!$I$5:$I$154,$A38)="○",$E38&gt;=AE$3,$E38&lt;=AE$3+6),"▼",IF(AND($E38&gt;=AE$3,$E38&lt;=AE$3+6),$A38,"")))</f>
        <v/>
      </c>
      <c r="AF38" s="47" t="str">
        <f aca="false">IF($A38="","",IF(AND(INDEX(工程マスタ!$I$5:$I$154,$A38)="○",$E38&gt;=AF$3,$E38&lt;=AF$3+6),"▼",IF(AND($E38&gt;=AF$3,$E38&lt;=AF$3+6),$A38,"")))</f>
        <v/>
      </c>
      <c r="AG38" s="47" t="str">
        <f aca="false">IF($A38="","",IF(AND(INDEX(工程マスタ!$I$5:$I$154,$A38)="○",$E38&gt;=AG$3,$E38&lt;=AG$3+6),"▼",IF(AND($E38&gt;=AG$3,$E38&lt;=AG$3+6),$A38,"")))</f>
        <v/>
      </c>
      <c r="AH38" s="47" t="str">
        <f aca="false">IF($A38="","",IF(AND(INDEX(工程マスタ!$I$5:$I$154,$A38)="○",$E38&gt;=AH$3,$E38&lt;=AH$3+6),"▼",IF(AND($E38&gt;=AH$3,$E38&lt;=AH$3+6),$A38,"")))</f>
        <v/>
      </c>
      <c r="AI38" s="47" t="str">
        <f aca="false">IF($A38="","",IF(AND(INDEX(工程マスタ!$I$5:$I$154,$A38)="○",$E38&gt;=AI$3,$E38&lt;=AI$3+6),"▼",IF(AND($E38&gt;=AI$3,$E38&lt;=AI$3+6),$A38,"")))</f>
        <v/>
      </c>
      <c r="AJ38" s="47" t="str">
        <f aca="false">IF($A38="","",IF(AND(INDEX(工程マスタ!$I$5:$I$154,$A38)="○",$E38&gt;=AJ$3,$E38&lt;=AJ$3+6),"▼",IF(AND($E38&gt;=AJ$3,$E38&lt;=AJ$3+6),$A38,"")))</f>
        <v/>
      </c>
      <c r="AK38" s="47" t="str">
        <f aca="false">IF($A38="","",IF(AND(INDEX(工程マスタ!$I$5:$I$154,$A38)="○",$E38&gt;=AK$3,$E38&lt;=AK$3+6),"▼",IF(AND($E38&gt;=AK$3,$E38&lt;=AK$3+6),$A38,"")))</f>
        <v/>
      </c>
      <c r="AL38" s="47" t="str">
        <f aca="false">IF($A38="","",IF(AND(INDEX(工程マスタ!$I$5:$I$154,$A38)="○",$E38&gt;=AL$3,$E38&lt;=AL$3+6),"▼",IF(AND($E38&gt;=AL$3,$E38&lt;=AL$3+6),$A38,"")))</f>
        <v/>
      </c>
      <c r="AM38" s="47" t="str">
        <f aca="false">IF($A38="","",IF(AND(INDEX(工程マスタ!$I$5:$I$154,$A38)="○",$E38&gt;=AM$3,$E38&lt;=AM$3+6),"▼",IF(AND($E38&gt;=AM$3,$E38&lt;=AM$3+6),$A38,"")))</f>
        <v/>
      </c>
      <c r="AN38" s="47" t="str">
        <f aca="false">IF($A38="","",IF(AND(INDEX(工程マスタ!$I$5:$I$154,$A38)="○",$E38&gt;=AN$3,$E38&lt;=AN$3+6),"▼",IF(AND($E38&gt;=AN$3,$E38&lt;=AN$3+6),$A38,"")))</f>
        <v/>
      </c>
      <c r="AO38" s="47" t="str">
        <f aca="false">IF($A38="","",IF(AND(INDEX(工程マスタ!$I$5:$I$154,$A38)="○",$E38&gt;=AO$3,$E38&lt;=AO$3+6),"▼",IF(AND($E38&gt;=AO$3,$E38&lt;=AO$3+6),$A38,"")))</f>
        <v/>
      </c>
      <c r="AP38" s="47" t="str">
        <f aca="false">IF($A38="","",IF(AND(INDEX(工程マスタ!$I$5:$I$154,$A38)="○",$E38&gt;=AP$3,$E38&lt;=AP$3+6),"▼",IF(AND($E38&gt;=AP$3,$E38&lt;=AP$3+6),$A38,"")))</f>
        <v/>
      </c>
      <c r="AQ38" s="47" t="str">
        <f aca="false">IF($A38="","",IF(AND(INDEX(工程マスタ!$I$5:$I$154,$A38)="○",$E38&gt;=AQ$3,$E38&lt;=AQ$3+6),"▼",IF(AND($E38&gt;=AQ$3,$E38&lt;=AQ$3+6),$A38,"")))</f>
        <v/>
      </c>
      <c r="AR38" s="47" t="str">
        <f aca="false">IF($A38="","",IF(AND(INDEX(工程マスタ!$I$5:$I$154,$A38)="○",$E38&gt;=AR$3,$E38&lt;=AR$3+6),"▼",IF(AND($E38&gt;=AR$3,$E38&lt;=AR$3+6),$A38,"")))</f>
        <v/>
      </c>
      <c r="AS38" s="47" t="str">
        <f aca="false">IF($A38="","",IF(AND(INDEX(工程マスタ!$I$5:$I$154,$A38)="○",$E38&gt;=AS$3,$E38&lt;=AS$3+6),"▼",IF(AND($E38&gt;=AS$3,$E38&lt;=AS$3+6),$A38,"")))</f>
        <v/>
      </c>
      <c r="AT38" s="47" t="str">
        <f aca="false">IF($A38="","",IF(AND(INDEX(工程マスタ!$I$5:$I$154,$A38)="○",$E38&gt;=AT$3,$E38&lt;=AT$3+6),"▼",IF(AND($E38&gt;=AT$3,$E38&lt;=AT$3+6),$A38,"")))</f>
        <v/>
      </c>
      <c r="AU38" s="47" t="str">
        <f aca="false">IF($A38="","",IF(AND(INDEX(工程マスタ!$I$5:$I$154,$A38)="○",$E38&gt;=AU$3,$E38&lt;=AU$3+6),"▼",IF(AND($E38&gt;=AU$3,$E38&lt;=AU$3+6),$A38,"")))</f>
        <v/>
      </c>
      <c r="AV38" s="47" t="str">
        <f aca="false">IF($A38="","",IF(AND(INDEX(工程マスタ!$I$5:$I$154,$A38)="○",$E38&gt;=AV$3,$E38&lt;=AV$3+6),"▼",IF(AND($E38&gt;=AV$3,$E38&lt;=AV$3+6),$A38,"")))</f>
        <v/>
      </c>
      <c r="AW38" s="47" t="str">
        <f aca="false">IF($A38="","",IF(AND(INDEX(工程マスタ!$I$5:$I$154,$A38)="○",$E38&gt;=AW$3,$E38&lt;=AW$3+6),"▼",IF(AND($E38&gt;=AW$3,$E38&lt;=AW$3+6),$A38,"")))</f>
        <v/>
      </c>
      <c r="AX38" s="47" t="str">
        <f aca="false">IF($A38="","",IF(AND(INDEX(工程マスタ!$I$5:$I$154,$A38)="○",$E38&gt;=AX$3,$E38&lt;=AX$3+6),"▼",IF(AND($E38&gt;=AX$3,$E38&lt;=AX$3+6),$A38,"")))</f>
        <v/>
      </c>
      <c r="AY38" s="47" t="str">
        <f aca="false">IF($A38="","",IF(AND(INDEX(工程マスタ!$I$5:$I$154,$A38)="○",$E38&gt;=AY$3,$E38&lt;=AY$3+6),"▼",IF(AND($E38&gt;=AY$3,$E38&lt;=AY$3+6),$A38,"")))</f>
        <v/>
      </c>
      <c r="AZ38" s="47" t="str">
        <f aca="false">IF($A38="","",IF(AND(INDEX(工程マスタ!$I$5:$I$154,$A38)="○",$E38&gt;=AZ$3,$E38&lt;=AZ$3+6),"▼",IF(AND($E38&gt;=AZ$3,$E38&lt;=AZ$3+6),$A38,"")))</f>
        <v>▼</v>
      </c>
      <c r="BA38" s="47" t="str">
        <f aca="false">IF($A38="","",IF(AND(INDEX(工程マスタ!$I$5:$I$154,$A38)="○",$E38&gt;=BA$3,$E38&lt;=BA$3+6),"▼",IF(AND($E38&gt;=BA$3,$E38&lt;=BA$3+6),$A38,"")))</f>
        <v/>
      </c>
      <c r="BB38" s="47" t="str">
        <f aca="false">IF($A38="","",IF(AND(INDEX(工程マスタ!$I$5:$I$154,$A38)="○",$E38&gt;=BB$3,$E38&lt;=BB$3+6),"▼",IF(AND($E38&gt;=BB$3,$E38&lt;=BB$3+6),$A38,"")))</f>
        <v/>
      </c>
      <c r="BC38" s="47" t="str">
        <f aca="false">IF($A38="","",IF(AND(INDEX(工程マスタ!$I$5:$I$154,$A38)="○",$E38&gt;=BC$3,$E38&lt;=BC$3+6),"▼",IF(AND($E38&gt;=BC$3,$E38&lt;=BC$3+6),$A38,"")))</f>
        <v/>
      </c>
      <c r="BD38" s="47" t="str">
        <f aca="false">IF($A38="","",IF(AND(INDEX(工程マスタ!$I$5:$I$154,$A38)="○",$E38&gt;=BD$3,$E38&lt;=BD$3+6),"▼",IF(AND($E38&gt;=BD$3,$E38&lt;=BD$3+6),$A38,"")))</f>
        <v/>
      </c>
      <c r="BE38" s="47" t="str">
        <f aca="false">IF($A38="","",IF(AND(INDEX(工程マスタ!$I$5:$I$154,$A38)="○",$E38&gt;=BE$3,$E38&lt;=BE$3+6),"▼",IF(AND($E38&gt;=BE$3,$E38&lt;=BE$3+6),$A38,"")))</f>
        <v/>
      </c>
      <c r="BF38" s="47" t="str">
        <f aca="false">IF($A38="","",IF(AND(INDEX(工程マスタ!$I$5:$I$154,$A38)="○",$E38&gt;=BF$3,$E38&lt;=BF$3+6),"▼",IF(AND($E38&gt;=BF$3,$E38&lt;=BF$3+6),$A38,"")))</f>
        <v/>
      </c>
      <c r="BG38" s="47" t="str">
        <f aca="false">IF($A38="","",IF(AND(INDEX(工程マスタ!$I$5:$I$154,$A38)="○",$E38&gt;=BG$3,$E38&lt;=BG$3+6),"▼",IF(AND($E38&gt;=BG$3,$E38&lt;=BG$3+6),$A38,"")))</f>
        <v/>
      </c>
      <c r="BH38" s="47" t="str">
        <f aca="false">IF($A38="","",IF(AND(INDEX(工程マスタ!$I$5:$I$154,$A38)="○",$E38&gt;=BH$3,$E38&lt;=BH$3+6),"▼",IF(AND($E38&gt;=BH$3,$E38&lt;=BH$3+6),$A38,"")))</f>
        <v/>
      </c>
      <c r="BI38" s="47" t="str">
        <f aca="false">IF($A38="","",IF(AND(INDEX(工程マスタ!$I$5:$I$154,$A38)="○",$E38&gt;=BI$3,$E38&lt;=BI$3+6),"▼",IF(AND($E38&gt;=BI$3,$E38&lt;=BI$3+6),$A38,"")))</f>
        <v/>
      </c>
      <c r="BJ38" s="47" t="str">
        <f aca="false">IF($A38="","",IF(AND(INDEX(工程マスタ!$I$5:$I$154,$A38)="○",$E38&gt;=BJ$3,$E38&lt;=BJ$3+6),"▼",IF(AND($E38&gt;=BJ$3,$E38&lt;=BJ$3+6),$A38,"")))</f>
        <v/>
      </c>
    </row>
    <row r="39" customFormat="false" ht="15" hidden="false" customHeight="false" outlineLevel="0" collapsed="false">
      <c r="A39" s="28" t="n">
        <f aca="false">IF(工程マスタ!$C37="","",工程マスタ!$A37)</f>
        <v>33</v>
      </c>
      <c r="B39" s="46" t="str">
        <f aca="false">IF($A39="","",工程マスタ!$C37)</f>
        <v>塗装・クロス仕上</v>
      </c>
      <c r="C39" s="28" t="n">
        <f aca="false">IF($A39="","",MAX(1,工程マスタ!$G37))</f>
        <v>26</v>
      </c>
      <c r="D39" s="28" t="str">
        <f aca="false">IF($A39="","",_xlfn.TEXTJOIN(",",TRUE(),工程マスタ!$N37:$P37))</f>
        <v>31</v>
      </c>
      <c r="E39" s="29" t="n">
        <f aca="false">IF($A39="","",IF(COUNT(工程マスタ!$N37:$P37)=0,設定!$B$8,MAX(IF(工程マスタ!$N37="",0,INDEX($F$7:$F$156,工程マスタ!$N37)),IF(工程マスタ!$O37="",0,INDEX($F$7:$F$156,工程マスタ!$O37)),IF(工程マスタ!$P37="",0,INDEX($F$7:$F$156,工程マスタ!$P37)))+1))</f>
        <v>46541</v>
      </c>
      <c r="F39" s="29" t="n">
        <f aca="false">IF($A39="","",$E39+$C39-1)</f>
        <v>46566</v>
      </c>
      <c r="G39" s="29" t="n">
        <f aca="false">IF($A39="","",$H39-$C39+1)</f>
        <v>46541</v>
      </c>
      <c r="H39" s="29" t="n">
        <f aca="false" t="array" ref="H39:H39">IF($A39="","",IF(SUMPRODUCT((工程マスタ!$N$38:$N$154=$A39)*1)+SUMPRODUCT((工程マスタ!$O$38:$O$154=$A39)*1)+SUMPRODUCT((工程マスタ!$P$38:$P$154=$A39)*1)=0,MAX($F$7:$F$156),MIN(IF((工程マスタ!$N$38:$N$154=$A39)+(工程マスタ!$O$38:$O$154=$A39)+(工程マスタ!$P$38:$P$154=$A39),$G40:$G$156))-1))</f>
        <v>46566</v>
      </c>
      <c r="I39" s="28" t="n">
        <f aca="false">IF($A39="","",$G39-$E39)</f>
        <v>0</v>
      </c>
      <c r="J39" s="28" t="str">
        <f aca="false">IF($A39="","",IF($I39&lt;=0,"●",""))</f>
        <v>●</v>
      </c>
      <c r="K39" s="47" t="str">
        <f aca="false">IF($A39="","",IF(AND(INDEX(工程マスタ!$I$5:$I$154,$A39)="○",$E39&gt;=K$3,$E39&lt;=K$3+6),"▼",IF(AND($E39&gt;=K$3,$E39&lt;=K$3+6),$A39,"")))</f>
        <v/>
      </c>
      <c r="L39" s="47" t="str">
        <f aca="false">IF($A39="","",IF(AND(INDEX(工程マスタ!$I$5:$I$154,$A39)="○",$E39&gt;=L$3,$E39&lt;=L$3+6),"▼",IF(AND($E39&gt;=L$3,$E39&lt;=L$3+6),$A39,"")))</f>
        <v/>
      </c>
      <c r="M39" s="47" t="str">
        <f aca="false">IF($A39="","",IF(AND(INDEX(工程マスタ!$I$5:$I$154,$A39)="○",$E39&gt;=M$3,$E39&lt;=M$3+6),"▼",IF(AND($E39&gt;=M$3,$E39&lt;=M$3+6),$A39,"")))</f>
        <v/>
      </c>
      <c r="N39" s="47" t="str">
        <f aca="false">IF($A39="","",IF(AND(INDEX(工程マスタ!$I$5:$I$154,$A39)="○",$E39&gt;=N$3,$E39&lt;=N$3+6),"▼",IF(AND($E39&gt;=N$3,$E39&lt;=N$3+6),$A39,"")))</f>
        <v/>
      </c>
      <c r="O39" s="47" t="str">
        <f aca="false">IF($A39="","",IF(AND(INDEX(工程マスタ!$I$5:$I$154,$A39)="○",$E39&gt;=O$3,$E39&lt;=O$3+6),"▼",IF(AND($E39&gt;=O$3,$E39&lt;=O$3+6),$A39,"")))</f>
        <v/>
      </c>
      <c r="P39" s="47" t="str">
        <f aca="false">IF($A39="","",IF(AND(INDEX(工程マスタ!$I$5:$I$154,$A39)="○",$E39&gt;=P$3,$E39&lt;=P$3+6),"▼",IF(AND($E39&gt;=P$3,$E39&lt;=P$3+6),$A39,"")))</f>
        <v/>
      </c>
      <c r="Q39" s="47" t="str">
        <f aca="false">IF($A39="","",IF(AND(INDEX(工程マスタ!$I$5:$I$154,$A39)="○",$E39&gt;=Q$3,$E39&lt;=Q$3+6),"▼",IF(AND($E39&gt;=Q$3,$E39&lt;=Q$3+6),$A39,"")))</f>
        <v/>
      </c>
      <c r="R39" s="47" t="str">
        <f aca="false">IF($A39="","",IF(AND(INDEX(工程マスタ!$I$5:$I$154,$A39)="○",$E39&gt;=R$3,$E39&lt;=R$3+6),"▼",IF(AND($E39&gt;=R$3,$E39&lt;=R$3+6),$A39,"")))</f>
        <v/>
      </c>
      <c r="S39" s="47" t="str">
        <f aca="false">IF($A39="","",IF(AND(INDEX(工程マスタ!$I$5:$I$154,$A39)="○",$E39&gt;=S$3,$E39&lt;=S$3+6),"▼",IF(AND($E39&gt;=S$3,$E39&lt;=S$3+6),$A39,"")))</f>
        <v/>
      </c>
      <c r="T39" s="47" t="str">
        <f aca="false">IF($A39="","",IF(AND(INDEX(工程マスタ!$I$5:$I$154,$A39)="○",$E39&gt;=T$3,$E39&lt;=T$3+6),"▼",IF(AND($E39&gt;=T$3,$E39&lt;=T$3+6),$A39,"")))</f>
        <v/>
      </c>
      <c r="U39" s="47" t="str">
        <f aca="false">IF($A39="","",IF(AND(INDEX(工程マスタ!$I$5:$I$154,$A39)="○",$E39&gt;=U$3,$E39&lt;=U$3+6),"▼",IF(AND($E39&gt;=U$3,$E39&lt;=U$3+6),$A39,"")))</f>
        <v/>
      </c>
      <c r="V39" s="47" t="str">
        <f aca="false">IF($A39="","",IF(AND(INDEX(工程マスタ!$I$5:$I$154,$A39)="○",$E39&gt;=V$3,$E39&lt;=V$3+6),"▼",IF(AND($E39&gt;=V$3,$E39&lt;=V$3+6),$A39,"")))</f>
        <v/>
      </c>
      <c r="W39" s="47" t="str">
        <f aca="false">IF($A39="","",IF(AND(INDEX(工程マスタ!$I$5:$I$154,$A39)="○",$E39&gt;=W$3,$E39&lt;=W$3+6),"▼",IF(AND($E39&gt;=W$3,$E39&lt;=W$3+6),$A39,"")))</f>
        <v/>
      </c>
      <c r="X39" s="47" t="str">
        <f aca="false">IF($A39="","",IF(AND(INDEX(工程マスタ!$I$5:$I$154,$A39)="○",$E39&gt;=X$3,$E39&lt;=X$3+6),"▼",IF(AND($E39&gt;=X$3,$E39&lt;=X$3+6),$A39,"")))</f>
        <v/>
      </c>
      <c r="Y39" s="47" t="str">
        <f aca="false">IF($A39="","",IF(AND(INDEX(工程マスタ!$I$5:$I$154,$A39)="○",$E39&gt;=Y$3,$E39&lt;=Y$3+6),"▼",IF(AND($E39&gt;=Y$3,$E39&lt;=Y$3+6),$A39,"")))</f>
        <v/>
      </c>
      <c r="Z39" s="47" t="str">
        <f aca="false">IF($A39="","",IF(AND(INDEX(工程マスタ!$I$5:$I$154,$A39)="○",$E39&gt;=Z$3,$E39&lt;=Z$3+6),"▼",IF(AND($E39&gt;=Z$3,$E39&lt;=Z$3+6),$A39,"")))</f>
        <v/>
      </c>
      <c r="AA39" s="47" t="str">
        <f aca="false">IF($A39="","",IF(AND(INDEX(工程マスタ!$I$5:$I$154,$A39)="○",$E39&gt;=AA$3,$E39&lt;=AA$3+6),"▼",IF(AND($E39&gt;=AA$3,$E39&lt;=AA$3+6),$A39,"")))</f>
        <v/>
      </c>
      <c r="AB39" s="47" t="str">
        <f aca="false">IF($A39="","",IF(AND(INDEX(工程マスタ!$I$5:$I$154,$A39)="○",$E39&gt;=AB$3,$E39&lt;=AB$3+6),"▼",IF(AND($E39&gt;=AB$3,$E39&lt;=AB$3+6),$A39,"")))</f>
        <v/>
      </c>
      <c r="AC39" s="47" t="str">
        <f aca="false">IF($A39="","",IF(AND(INDEX(工程マスタ!$I$5:$I$154,$A39)="○",$E39&gt;=AC$3,$E39&lt;=AC$3+6),"▼",IF(AND($E39&gt;=AC$3,$E39&lt;=AC$3+6),$A39,"")))</f>
        <v/>
      </c>
      <c r="AD39" s="47" t="str">
        <f aca="false">IF($A39="","",IF(AND(INDEX(工程マスタ!$I$5:$I$154,$A39)="○",$E39&gt;=AD$3,$E39&lt;=AD$3+6),"▼",IF(AND($E39&gt;=AD$3,$E39&lt;=AD$3+6),$A39,"")))</f>
        <v/>
      </c>
      <c r="AE39" s="47" t="str">
        <f aca="false">IF($A39="","",IF(AND(INDEX(工程マスタ!$I$5:$I$154,$A39)="○",$E39&gt;=AE$3,$E39&lt;=AE$3+6),"▼",IF(AND($E39&gt;=AE$3,$E39&lt;=AE$3+6),$A39,"")))</f>
        <v/>
      </c>
      <c r="AF39" s="47" t="str">
        <f aca="false">IF($A39="","",IF(AND(INDEX(工程マスタ!$I$5:$I$154,$A39)="○",$E39&gt;=AF$3,$E39&lt;=AF$3+6),"▼",IF(AND($E39&gt;=AF$3,$E39&lt;=AF$3+6),$A39,"")))</f>
        <v/>
      </c>
      <c r="AG39" s="47" t="str">
        <f aca="false">IF($A39="","",IF(AND(INDEX(工程マスタ!$I$5:$I$154,$A39)="○",$E39&gt;=AG$3,$E39&lt;=AG$3+6),"▼",IF(AND($E39&gt;=AG$3,$E39&lt;=AG$3+6),$A39,"")))</f>
        <v/>
      </c>
      <c r="AH39" s="47" t="str">
        <f aca="false">IF($A39="","",IF(AND(INDEX(工程マスタ!$I$5:$I$154,$A39)="○",$E39&gt;=AH$3,$E39&lt;=AH$3+6),"▼",IF(AND($E39&gt;=AH$3,$E39&lt;=AH$3+6),$A39,"")))</f>
        <v/>
      </c>
      <c r="AI39" s="47" t="str">
        <f aca="false">IF($A39="","",IF(AND(INDEX(工程マスタ!$I$5:$I$154,$A39)="○",$E39&gt;=AI$3,$E39&lt;=AI$3+6),"▼",IF(AND($E39&gt;=AI$3,$E39&lt;=AI$3+6),$A39,"")))</f>
        <v/>
      </c>
      <c r="AJ39" s="47" t="str">
        <f aca="false">IF($A39="","",IF(AND(INDEX(工程マスタ!$I$5:$I$154,$A39)="○",$E39&gt;=AJ$3,$E39&lt;=AJ$3+6),"▼",IF(AND($E39&gt;=AJ$3,$E39&lt;=AJ$3+6),$A39,"")))</f>
        <v/>
      </c>
      <c r="AK39" s="47" t="str">
        <f aca="false">IF($A39="","",IF(AND(INDEX(工程マスタ!$I$5:$I$154,$A39)="○",$E39&gt;=AK$3,$E39&lt;=AK$3+6),"▼",IF(AND($E39&gt;=AK$3,$E39&lt;=AK$3+6),$A39,"")))</f>
        <v/>
      </c>
      <c r="AL39" s="47" t="str">
        <f aca="false">IF($A39="","",IF(AND(INDEX(工程マスタ!$I$5:$I$154,$A39)="○",$E39&gt;=AL$3,$E39&lt;=AL$3+6),"▼",IF(AND($E39&gt;=AL$3,$E39&lt;=AL$3+6),$A39,"")))</f>
        <v/>
      </c>
      <c r="AM39" s="47" t="str">
        <f aca="false">IF($A39="","",IF(AND(INDEX(工程マスタ!$I$5:$I$154,$A39)="○",$E39&gt;=AM$3,$E39&lt;=AM$3+6),"▼",IF(AND($E39&gt;=AM$3,$E39&lt;=AM$3+6),$A39,"")))</f>
        <v/>
      </c>
      <c r="AN39" s="47" t="str">
        <f aca="false">IF($A39="","",IF(AND(INDEX(工程マスタ!$I$5:$I$154,$A39)="○",$E39&gt;=AN$3,$E39&lt;=AN$3+6),"▼",IF(AND($E39&gt;=AN$3,$E39&lt;=AN$3+6),$A39,"")))</f>
        <v/>
      </c>
      <c r="AO39" s="47" t="str">
        <f aca="false">IF($A39="","",IF(AND(INDEX(工程マスタ!$I$5:$I$154,$A39)="○",$E39&gt;=AO$3,$E39&lt;=AO$3+6),"▼",IF(AND($E39&gt;=AO$3,$E39&lt;=AO$3+6),$A39,"")))</f>
        <v/>
      </c>
      <c r="AP39" s="47" t="str">
        <f aca="false">IF($A39="","",IF(AND(INDEX(工程マスタ!$I$5:$I$154,$A39)="○",$E39&gt;=AP$3,$E39&lt;=AP$3+6),"▼",IF(AND($E39&gt;=AP$3,$E39&lt;=AP$3+6),$A39,"")))</f>
        <v/>
      </c>
      <c r="AQ39" s="47" t="str">
        <f aca="false">IF($A39="","",IF(AND(INDEX(工程マスタ!$I$5:$I$154,$A39)="○",$E39&gt;=AQ$3,$E39&lt;=AQ$3+6),"▼",IF(AND($E39&gt;=AQ$3,$E39&lt;=AQ$3+6),$A39,"")))</f>
        <v/>
      </c>
      <c r="AR39" s="47" t="str">
        <f aca="false">IF($A39="","",IF(AND(INDEX(工程マスタ!$I$5:$I$154,$A39)="○",$E39&gt;=AR$3,$E39&lt;=AR$3+6),"▼",IF(AND($E39&gt;=AR$3,$E39&lt;=AR$3+6),$A39,"")))</f>
        <v/>
      </c>
      <c r="AS39" s="47" t="str">
        <f aca="false">IF($A39="","",IF(AND(INDEX(工程マスタ!$I$5:$I$154,$A39)="○",$E39&gt;=AS$3,$E39&lt;=AS$3+6),"▼",IF(AND($E39&gt;=AS$3,$E39&lt;=AS$3+6),$A39,"")))</f>
        <v/>
      </c>
      <c r="AT39" s="47" t="str">
        <f aca="false">IF($A39="","",IF(AND(INDEX(工程マスタ!$I$5:$I$154,$A39)="○",$E39&gt;=AT$3,$E39&lt;=AT$3+6),"▼",IF(AND($E39&gt;=AT$3,$E39&lt;=AT$3+6),$A39,"")))</f>
        <v/>
      </c>
      <c r="AU39" s="47" t="str">
        <f aca="false">IF($A39="","",IF(AND(INDEX(工程マスタ!$I$5:$I$154,$A39)="○",$E39&gt;=AU$3,$E39&lt;=AU$3+6),"▼",IF(AND($E39&gt;=AU$3,$E39&lt;=AU$3+6),$A39,"")))</f>
        <v/>
      </c>
      <c r="AV39" s="47" t="str">
        <f aca="false">IF($A39="","",IF(AND(INDEX(工程マスタ!$I$5:$I$154,$A39)="○",$E39&gt;=AV$3,$E39&lt;=AV$3+6),"▼",IF(AND($E39&gt;=AV$3,$E39&lt;=AV$3+6),$A39,"")))</f>
        <v/>
      </c>
      <c r="AW39" s="47" t="str">
        <f aca="false">IF($A39="","",IF(AND(INDEX(工程マスタ!$I$5:$I$154,$A39)="○",$E39&gt;=AW$3,$E39&lt;=AW$3+6),"▼",IF(AND($E39&gt;=AW$3,$E39&lt;=AW$3+6),$A39,"")))</f>
        <v/>
      </c>
      <c r="AX39" s="47" t="str">
        <f aca="false">IF($A39="","",IF(AND(INDEX(工程マスタ!$I$5:$I$154,$A39)="○",$E39&gt;=AX$3,$E39&lt;=AX$3+6),"▼",IF(AND($E39&gt;=AX$3,$E39&lt;=AX$3+6),$A39,"")))</f>
        <v/>
      </c>
      <c r="AY39" s="47" t="str">
        <f aca="false">IF($A39="","",IF(AND(INDEX(工程マスタ!$I$5:$I$154,$A39)="○",$E39&gt;=AY$3,$E39&lt;=AY$3+6),"▼",IF(AND($E39&gt;=AY$3,$E39&lt;=AY$3+6),$A39,"")))</f>
        <v/>
      </c>
      <c r="AZ39" s="47" t="str">
        <f aca="false">IF($A39="","",IF(AND(INDEX(工程マスタ!$I$5:$I$154,$A39)="○",$E39&gt;=AZ$3,$E39&lt;=AZ$3+6),"▼",IF(AND($E39&gt;=AZ$3,$E39&lt;=AZ$3+6),$A39,"")))</f>
        <v/>
      </c>
      <c r="BA39" s="47" t="str">
        <f aca="false">IF($A39="","",IF(AND(INDEX(工程マスタ!$I$5:$I$154,$A39)="○",$E39&gt;=BA$3,$E39&lt;=BA$3+6),"▼",IF(AND($E39&gt;=BA$3,$E39&lt;=BA$3+6),$A39,"")))</f>
        <v/>
      </c>
      <c r="BB39" s="47" t="str">
        <f aca="false">IF($A39="","",IF(AND(INDEX(工程マスタ!$I$5:$I$154,$A39)="○",$E39&gt;=BB$3,$E39&lt;=BB$3+6),"▼",IF(AND($E39&gt;=BB$3,$E39&lt;=BB$3+6),$A39,"")))</f>
        <v/>
      </c>
      <c r="BC39" s="47" t="str">
        <f aca="false">IF($A39="","",IF(AND(INDEX(工程マスタ!$I$5:$I$154,$A39)="○",$E39&gt;=BC$3,$E39&lt;=BC$3+6),"▼",IF(AND($E39&gt;=BC$3,$E39&lt;=BC$3+6),$A39,"")))</f>
        <v/>
      </c>
      <c r="BD39" s="47" t="str">
        <f aca="false">IF($A39="","",IF(AND(INDEX(工程マスタ!$I$5:$I$154,$A39)="○",$E39&gt;=BD$3,$E39&lt;=BD$3+6),"▼",IF(AND($E39&gt;=BD$3,$E39&lt;=BD$3+6),$A39,"")))</f>
        <v/>
      </c>
      <c r="BE39" s="47" t="str">
        <f aca="false">IF($A39="","",IF(AND(INDEX(工程マスタ!$I$5:$I$154,$A39)="○",$E39&gt;=BE$3,$E39&lt;=BE$3+6),"▼",IF(AND($E39&gt;=BE$3,$E39&lt;=BE$3+6),$A39,"")))</f>
        <v/>
      </c>
      <c r="BF39" s="47" t="str">
        <f aca="false">IF($A39="","",IF(AND(INDEX(工程マスタ!$I$5:$I$154,$A39)="○",$E39&gt;=BF$3,$E39&lt;=BF$3+6),"▼",IF(AND($E39&gt;=BF$3,$E39&lt;=BF$3+6),$A39,"")))</f>
        <v/>
      </c>
      <c r="BG39" s="47" t="n">
        <f aca="false">IF($A39="","",IF(AND(INDEX(工程マスタ!$I$5:$I$154,$A39)="○",$E39&gt;=BG$3,$E39&lt;=BG$3+6),"▼",IF(AND($E39&gt;=BG$3,$E39&lt;=BG$3+6),$A39,"")))</f>
        <v>33</v>
      </c>
      <c r="BH39" s="47" t="str">
        <f aca="false">IF($A39="","",IF(AND(INDEX(工程マスタ!$I$5:$I$154,$A39)="○",$E39&gt;=BH$3,$E39&lt;=BH$3+6),"▼",IF(AND($E39&gt;=BH$3,$E39&lt;=BH$3+6),$A39,"")))</f>
        <v/>
      </c>
      <c r="BI39" s="47" t="str">
        <f aca="false">IF($A39="","",IF(AND(INDEX(工程マスタ!$I$5:$I$154,$A39)="○",$E39&gt;=BI$3,$E39&lt;=BI$3+6),"▼",IF(AND($E39&gt;=BI$3,$E39&lt;=BI$3+6),$A39,"")))</f>
        <v/>
      </c>
      <c r="BJ39" s="47" t="str">
        <f aca="false">IF($A39="","",IF(AND(INDEX(工程マスタ!$I$5:$I$154,$A39)="○",$E39&gt;=BJ$3,$E39&lt;=BJ$3+6),"▼",IF(AND($E39&gt;=BJ$3,$E39&lt;=BJ$3+6),$A39,"")))</f>
        <v/>
      </c>
    </row>
    <row r="40" customFormat="false" ht="15" hidden="false" customHeight="false" outlineLevel="0" collapsed="false">
      <c r="A40" s="28" t="n">
        <f aca="false">IF(工程マスタ!$C38="","",工程マスタ!$A38)</f>
        <v>34</v>
      </c>
      <c r="B40" s="46" t="str">
        <f aca="false">IF($A40="","",工程マスタ!$C38)</f>
        <v>床仕上げ</v>
      </c>
      <c r="C40" s="28" t="n">
        <f aca="false">IF($A40="","",MAX(1,工程マスタ!$G38))</f>
        <v>19</v>
      </c>
      <c r="D40" s="28" t="str">
        <f aca="false">IF($A40="","",_xlfn.TEXTJOIN(",",TRUE(),工程マスタ!$N38:$P38))</f>
        <v>33</v>
      </c>
      <c r="E40" s="29" t="n">
        <f aca="false">IF($A40="","",IF(COUNT(工程マスタ!$N38:$P38)=0,設定!$B$8,MAX(IF(工程マスタ!$N38="",0,INDEX($F$7:$F$156,工程マスタ!$N38)),IF(工程マスタ!$O38="",0,INDEX($F$7:$F$156,工程マスタ!$O38)),IF(工程マスタ!$P38="",0,INDEX($F$7:$F$156,工程マスタ!$P38)))+1))</f>
        <v>46567</v>
      </c>
      <c r="F40" s="29" t="n">
        <f aca="false">IF($A40="","",$E40+$C40-1)</f>
        <v>46585</v>
      </c>
      <c r="G40" s="29" t="n">
        <f aca="false">IF($A40="","",$H40-$C40+1)</f>
        <v>46567</v>
      </c>
      <c r="H40" s="29" t="n">
        <f aca="false" t="array" ref="H40:H40">IF($A40="","",IF(SUMPRODUCT((工程マスタ!$N$39:$N$154=$A40)*1)+SUMPRODUCT((工程マスタ!$O$39:$O$154=$A40)*1)+SUMPRODUCT((工程マスタ!$P$39:$P$154=$A40)*1)=0,MAX($F$7:$F$156),MIN(IF((工程マスタ!$N$39:$N$154=$A40)+(工程マスタ!$O$39:$O$154=$A40)+(工程マスタ!$P$39:$P$154=$A40),$G41:$G$156))-1))</f>
        <v>46585</v>
      </c>
      <c r="I40" s="28" t="n">
        <f aca="false">IF($A40="","",$G40-$E40)</f>
        <v>0</v>
      </c>
      <c r="J40" s="28" t="str">
        <f aca="false">IF($A40="","",IF($I40&lt;=0,"●",""))</f>
        <v>●</v>
      </c>
      <c r="K40" s="47" t="str">
        <f aca="false">IF($A40="","",IF(AND(INDEX(工程マスタ!$I$5:$I$154,$A40)="○",$E40&gt;=K$3,$E40&lt;=K$3+6),"▼",IF(AND($E40&gt;=K$3,$E40&lt;=K$3+6),$A40,"")))</f>
        <v/>
      </c>
      <c r="L40" s="47" t="str">
        <f aca="false">IF($A40="","",IF(AND(INDEX(工程マスタ!$I$5:$I$154,$A40)="○",$E40&gt;=L$3,$E40&lt;=L$3+6),"▼",IF(AND($E40&gt;=L$3,$E40&lt;=L$3+6),$A40,"")))</f>
        <v/>
      </c>
      <c r="M40" s="47" t="str">
        <f aca="false">IF($A40="","",IF(AND(INDEX(工程マスタ!$I$5:$I$154,$A40)="○",$E40&gt;=M$3,$E40&lt;=M$3+6),"▼",IF(AND($E40&gt;=M$3,$E40&lt;=M$3+6),$A40,"")))</f>
        <v/>
      </c>
      <c r="N40" s="47" t="str">
        <f aca="false">IF($A40="","",IF(AND(INDEX(工程マスタ!$I$5:$I$154,$A40)="○",$E40&gt;=N$3,$E40&lt;=N$3+6),"▼",IF(AND($E40&gt;=N$3,$E40&lt;=N$3+6),$A40,"")))</f>
        <v/>
      </c>
      <c r="O40" s="47" t="str">
        <f aca="false">IF($A40="","",IF(AND(INDEX(工程マスタ!$I$5:$I$154,$A40)="○",$E40&gt;=O$3,$E40&lt;=O$3+6),"▼",IF(AND($E40&gt;=O$3,$E40&lt;=O$3+6),$A40,"")))</f>
        <v/>
      </c>
      <c r="P40" s="47" t="str">
        <f aca="false">IF($A40="","",IF(AND(INDEX(工程マスタ!$I$5:$I$154,$A40)="○",$E40&gt;=P$3,$E40&lt;=P$3+6),"▼",IF(AND($E40&gt;=P$3,$E40&lt;=P$3+6),$A40,"")))</f>
        <v/>
      </c>
      <c r="Q40" s="47" t="str">
        <f aca="false">IF($A40="","",IF(AND(INDEX(工程マスタ!$I$5:$I$154,$A40)="○",$E40&gt;=Q$3,$E40&lt;=Q$3+6),"▼",IF(AND($E40&gt;=Q$3,$E40&lt;=Q$3+6),$A40,"")))</f>
        <v/>
      </c>
      <c r="R40" s="47" t="str">
        <f aca="false">IF($A40="","",IF(AND(INDEX(工程マスタ!$I$5:$I$154,$A40)="○",$E40&gt;=R$3,$E40&lt;=R$3+6),"▼",IF(AND($E40&gt;=R$3,$E40&lt;=R$3+6),$A40,"")))</f>
        <v/>
      </c>
      <c r="S40" s="47" t="str">
        <f aca="false">IF($A40="","",IF(AND(INDEX(工程マスタ!$I$5:$I$154,$A40)="○",$E40&gt;=S$3,$E40&lt;=S$3+6),"▼",IF(AND($E40&gt;=S$3,$E40&lt;=S$3+6),$A40,"")))</f>
        <v/>
      </c>
      <c r="T40" s="47" t="str">
        <f aca="false">IF($A40="","",IF(AND(INDEX(工程マスタ!$I$5:$I$154,$A40)="○",$E40&gt;=T$3,$E40&lt;=T$3+6),"▼",IF(AND($E40&gt;=T$3,$E40&lt;=T$3+6),$A40,"")))</f>
        <v/>
      </c>
      <c r="U40" s="47" t="str">
        <f aca="false">IF($A40="","",IF(AND(INDEX(工程マスタ!$I$5:$I$154,$A40)="○",$E40&gt;=U$3,$E40&lt;=U$3+6),"▼",IF(AND($E40&gt;=U$3,$E40&lt;=U$3+6),$A40,"")))</f>
        <v/>
      </c>
      <c r="V40" s="47" t="str">
        <f aca="false">IF($A40="","",IF(AND(INDEX(工程マスタ!$I$5:$I$154,$A40)="○",$E40&gt;=V$3,$E40&lt;=V$3+6),"▼",IF(AND($E40&gt;=V$3,$E40&lt;=V$3+6),$A40,"")))</f>
        <v/>
      </c>
      <c r="W40" s="47" t="str">
        <f aca="false">IF($A40="","",IF(AND(INDEX(工程マスタ!$I$5:$I$154,$A40)="○",$E40&gt;=W$3,$E40&lt;=W$3+6),"▼",IF(AND($E40&gt;=W$3,$E40&lt;=W$3+6),$A40,"")))</f>
        <v/>
      </c>
      <c r="X40" s="47" t="str">
        <f aca="false">IF($A40="","",IF(AND(INDEX(工程マスタ!$I$5:$I$154,$A40)="○",$E40&gt;=X$3,$E40&lt;=X$3+6),"▼",IF(AND($E40&gt;=X$3,$E40&lt;=X$3+6),$A40,"")))</f>
        <v/>
      </c>
      <c r="Y40" s="47" t="str">
        <f aca="false">IF($A40="","",IF(AND(INDEX(工程マスタ!$I$5:$I$154,$A40)="○",$E40&gt;=Y$3,$E40&lt;=Y$3+6),"▼",IF(AND($E40&gt;=Y$3,$E40&lt;=Y$3+6),$A40,"")))</f>
        <v/>
      </c>
      <c r="Z40" s="47" t="str">
        <f aca="false">IF($A40="","",IF(AND(INDEX(工程マスタ!$I$5:$I$154,$A40)="○",$E40&gt;=Z$3,$E40&lt;=Z$3+6),"▼",IF(AND($E40&gt;=Z$3,$E40&lt;=Z$3+6),$A40,"")))</f>
        <v/>
      </c>
      <c r="AA40" s="47" t="str">
        <f aca="false">IF($A40="","",IF(AND(INDEX(工程マスタ!$I$5:$I$154,$A40)="○",$E40&gt;=AA$3,$E40&lt;=AA$3+6),"▼",IF(AND($E40&gt;=AA$3,$E40&lt;=AA$3+6),$A40,"")))</f>
        <v/>
      </c>
      <c r="AB40" s="47" t="str">
        <f aca="false">IF($A40="","",IF(AND(INDEX(工程マスタ!$I$5:$I$154,$A40)="○",$E40&gt;=AB$3,$E40&lt;=AB$3+6),"▼",IF(AND($E40&gt;=AB$3,$E40&lt;=AB$3+6),$A40,"")))</f>
        <v/>
      </c>
      <c r="AC40" s="47" t="str">
        <f aca="false">IF($A40="","",IF(AND(INDEX(工程マスタ!$I$5:$I$154,$A40)="○",$E40&gt;=AC$3,$E40&lt;=AC$3+6),"▼",IF(AND($E40&gt;=AC$3,$E40&lt;=AC$3+6),$A40,"")))</f>
        <v/>
      </c>
      <c r="AD40" s="47" t="str">
        <f aca="false">IF($A40="","",IF(AND(INDEX(工程マスタ!$I$5:$I$154,$A40)="○",$E40&gt;=AD$3,$E40&lt;=AD$3+6),"▼",IF(AND($E40&gt;=AD$3,$E40&lt;=AD$3+6),$A40,"")))</f>
        <v/>
      </c>
      <c r="AE40" s="47" t="str">
        <f aca="false">IF($A40="","",IF(AND(INDEX(工程マスタ!$I$5:$I$154,$A40)="○",$E40&gt;=AE$3,$E40&lt;=AE$3+6),"▼",IF(AND($E40&gt;=AE$3,$E40&lt;=AE$3+6),$A40,"")))</f>
        <v/>
      </c>
      <c r="AF40" s="47" t="str">
        <f aca="false">IF($A40="","",IF(AND(INDEX(工程マスタ!$I$5:$I$154,$A40)="○",$E40&gt;=AF$3,$E40&lt;=AF$3+6),"▼",IF(AND($E40&gt;=AF$3,$E40&lt;=AF$3+6),$A40,"")))</f>
        <v/>
      </c>
      <c r="AG40" s="47" t="str">
        <f aca="false">IF($A40="","",IF(AND(INDEX(工程マスタ!$I$5:$I$154,$A40)="○",$E40&gt;=AG$3,$E40&lt;=AG$3+6),"▼",IF(AND($E40&gt;=AG$3,$E40&lt;=AG$3+6),$A40,"")))</f>
        <v/>
      </c>
      <c r="AH40" s="47" t="str">
        <f aca="false">IF($A40="","",IF(AND(INDEX(工程マスタ!$I$5:$I$154,$A40)="○",$E40&gt;=AH$3,$E40&lt;=AH$3+6),"▼",IF(AND($E40&gt;=AH$3,$E40&lt;=AH$3+6),$A40,"")))</f>
        <v/>
      </c>
      <c r="AI40" s="47" t="str">
        <f aca="false">IF($A40="","",IF(AND(INDEX(工程マスタ!$I$5:$I$154,$A40)="○",$E40&gt;=AI$3,$E40&lt;=AI$3+6),"▼",IF(AND($E40&gt;=AI$3,$E40&lt;=AI$3+6),$A40,"")))</f>
        <v/>
      </c>
      <c r="AJ40" s="47" t="str">
        <f aca="false">IF($A40="","",IF(AND(INDEX(工程マスタ!$I$5:$I$154,$A40)="○",$E40&gt;=AJ$3,$E40&lt;=AJ$3+6),"▼",IF(AND($E40&gt;=AJ$3,$E40&lt;=AJ$3+6),$A40,"")))</f>
        <v/>
      </c>
      <c r="AK40" s="47" t="str">
        <f aca="false">IF($A40="","",IF(AND(INDEX(工程マスタ!$I$5:$I$154,$A40)="○",$E40&gt;=AK$3,$E40&lt;=AK$3+6),"▼",IF(AND($E40&gt;=AK$3,$E40&lt;=AK$3+6),$A40,"")))</f>
        <v/>
      </c>
      <c r="AL40" s="47" t="str">
        <f aca="false">IF($A40="","",IF(AND(INDEX(工程マスタ!$I$5:$I$154,$A40)="○",$E40&gt;=AL$3,$E40&lt;=AL$3+6),"▼",IF(AND($E40&gt;=AL$3,$E40&lt;=AL$3+6),$A40,"")))</f>
        <v/>
      </c>
      <c r="AM40" s="47" t="str">
        <f aca="false">IF($A40="","",IF(AND(INDEX(工程マスタ!$I$5:$I$154,$A40)="○",$E40&gt;=AM$3,$E40&lt;=AM$3+6),"▼",IF(AND($E40&gt;=AM$3,$E40&lt;=AM$3+6),$A40,"")))</f>
        <v/>
      </c>
      <c r="AN40" s="47" t="str">
        <f aca="false">IF($A40="","",IF(AND(INDEX(工程マスタ!$I$5:$I$154,$A40)="○",$E40&gt;=AN$3,$E40&lt;=AN$3+6),"▼",IF(AND($E40&gt;=AN$3,$E40&lt;=AN$3+6),$A40,"")))</f>
        <v/>
      </c>
      <c r="AO40" s="47" t="str">
        <f aca="false">IF($A40="","",IF(AND(INDEX(工程マスタ!$I$5:$I$154,$A40)="○",$E40&gt;=AO$3,$E40&lt;=AO$3+6),"▼",IF(AND($E40&gt;=AO$3,$E40&lt;=AO$3+6),$A40,"")))</f>
        <v/>
      </c>
      <c r="AP40" s="47" t="str">
        <f aca="false">IF($A40="","",IF(AND(INDEX(工程マスタ!$I$5:$I$154,$A40)="○",$E40&gt;=AP$3,$E40&lt;=AP$3+6),"▼",IF(AND($E40&gt;=AP$3,$E40&lt;=AP$3+6),$A40,"")))</f>
        <v/>
      </c>
      <c r="AQ40" s="47" t="str">
        <f aca="false">IF($A40="","",IF(AND(INDEX(工程マスタ!$I$5:$I$154,$A40)="○",$E40&gt;=AQ$3,$E40&lt;=AQ$3+6),"▼",IF(AND($E40&gt;=AQ$3,$E40&lt;=AQ$3+6),$A40,"")))</f>
        <v/>
      </c>
      <c r="AR40" s="47" t="str">
        <f aca="false">IF($A40="","",IF(AND(INDEX(工程マスタ!$I$5:$I$154,$A40)="○",$E40&gt;=AR$3,$E40&lt;=AR$3+6),"▼",IF(AND($E40&gt;=AR$3,$E40&lt;=AR$3+6),$A40,"")))</f>
        <v/>
      </c>
      <c r="AS40" s="47" t="str">
        <f aca="false">IF($A40="","",IF(AND(INDEX(工程マスタ!$I$5:$I$154,$A40)="○",$E40&gt;=AS$3,$E40&lt;=AS$3+6),"▼",IF(AND($E40&gt;=AS$3,$E40&lt;=AS$3+6),$A40,"")))</f>
        <v/>
      </c>
      <c r="AT40" s="47" t="str">
        <f aca="false">IF($A40="","",IF(AND(INDEX(工程マスタ!$I$5:$I$154,$A40)="○",$E40&gt;=AT$3,$E40&lt;=AT$3+6),"▼",IF(AND($E40&gt;=AT$3,$E40&lt;=AT$3+6),$A40,"")))</f>
        <v/>
      </c>
      <c r="AU40" s="47" t="str">
        <f aca="false">IF($A40="","",IF(AND(INDEX(工程マスタ!$I$5:$I$154,$A40)="○",$E40&gt;=AU$3,$E40&lt;=AU$3+6),"▼",IF(AND($E40&gt;=AU$3,$E40&lt;=AU$3+6),$A40,"")))</f>
        <v/>
      </c>
      <c r="AV40" s="47" t="str">
        <f aca="false">IF($A40="","",IF(AND(INDEX(工程マスタ!$I$5:$I$154,$A40)="○",$E40&gt;=AV$3,$E40&lt;=AV$3+6),"▼",IF(AND($E40&gt;=AV$3,$E40&lt;=AV$3+6),$A40,"")))</f>
        <v/>
      </c>
      <c r="AW40" s="47" t="str">
        <f aca="false">IF($A40="","",IF(AND(INDEX(工程マスタ!$I$5:$I$154,$A40)="○",$E40&gt;=AW$3,$E40&lt;=AW$3+6),"▼",IF(AND($E40&gt;=AW$3,$E40&lt;=AW$3+6),$A40,"")))</f>
        <v/>
      </c>
      <c r="AX40" s="47" t="str">
        <f aca="false">IF($A40="","",IF(AND(INDEX(工程マスタ!$I$5:$I$154,$A40)="○",$E40&gt;=AX$3,$E40&lt;=AX$3+6),"▼",IF(AND($E40&gt;=AX$3,$E40&lt;=AX$3+6),$A40,"")))</f>
        <v/>
      </c>
      <c r="AY40" s="47" t="str">
        <f aca="false">IF($A40="","",IF(AND(INDEX(工程マスタ!$I$5:$I$154,$A40)="○",$E40&gt;=AY$3,$E40&lt;=AY$3+6),"▼",IF(AND($E40&gt;=AY$3,$E40&lt;=AY$3+6),$A40,"")))</f>
        <v/>
      </c>
      <c r="AZ40" s="47" t="str">
        <f aca="false">IF($A40="","",IF(AND(INDEX(工程マスタ!$I$5:$I$154,$A40)="○",$E40&gt;=AZ$3,$E40&lt;=AZ$3+6),"▼",IF(AND($E40&gt;=AZ$3,$E40&lt;=AZ$3+6),$A40,"")))</f>
        <v/>
      </c>
      <c r="BA40" s="47" t="str">
        <f aca="false">IF($A40="","",IF(AND(INDEX(工程マスタ!$I$5:$I$154,$A40)="○",$E40&gt;=BA$3,$E40&lt;=BA$3+6),"▼",IF(AND($E40&gt;=BA$3,$E40&lt;=BA$3+6),$A40,"")))</f>
        <v/>
      </c>
      <c r="BB40" s="47" t="str">
        <f aca="false">IF($A40="","",IF(AND(INDEX(工程マスタ!$I$5:$I$154,$A40)="○",$E40&gt;=BB$3,$E40&lt;=BB$3+6),"▼",IF(AND($E40&gt;=BB$3,$E40&lt;=BB$3+6),$A40,"")))</f>
        <v/>
      </c>
      <c r="BC40" s="47" t="str">
        <f aca="false">IF($A40="","",IF(AND(INDEX(工程マスタ!$I$5:$I$154,$A40)="○",$E40&gt;=BC$3,$E40&lt;=BC$3+6),"▼",IF(AND($E40&gt;=BC$3,$E40&lt;=BC$3+6),$A40,"")))</f>
        <v/>
      </c>
      <c r="BD40" s="47" t="str">
        <f aca="false">IF($A40="","",IF(AND(INDEX(工程マスタ!$I$5:$I$154,$A40)="○",$E40&gt;=BD$3,$E40&lt;=BD$3+6),"▼",IF(AND($E40&gt;=BD$3,$E40&lt;=BD$3+6),$A40,"")))</f>
        <v/>
      </c>
      <c r="BE40" s="47" t="str">
        <f aca="false">IF($A40="","",IF(AND(INDEX(工程マスタ!$I$5:$I$154,$A40)="○",$E40&gt;=BE$3,$E40&lt;=BE$3+6),"▼",IF(AND($E40&gt;=BE$3,$E40&lt;=BE$3+6),$A40,"")))</f>
        <v/>
      </c>
      <c r="BF40" s="47" t="str">
        <f aca="false">IF($A40="","",IF(AND(INDEX(工程マスタ!$I$5:$I$154,$A40)="○",$E40&gt;=BF$3,$E40&lt;=BF$3+6),"▼",IF(AND($E40&gt;=BF$3,$E40&lt;=BF$3+6),$A40,"")))</f>
        <v/>
      </c>
      <c r="BG40" s="47" t="str">
        <f aca="false">IF($A40="","",IF(AND(INDEX(工程マスタ!$I$5:$I$154,$A40)="○",$E40&gt;=BG$3,$E40&lt;=BG$3+6),"▼",IF(AND($E40&gt;=BG$3,$E40&lt;=BG$3+6),$A40,"")))</f>
        <v/>
      </c>
      <c r="BH40" s="47" t="str">
        <f aca="false">IF($A40="","",IF(AND(INDEX(工程マスタ!$I$5:$I$154,$A40)="○",$E40&gt;=BH$3,$E40&lt;=BH$3+6),"▼",IF(AND($E40&gt;=BH$3,$E40&lt;=BH$3+6),$A40,"")))</f>
        <v/>
      </c>
      <c r="BI40" s="47" t="str">
        <f aca="false">IF($A40="","",IF(AND(INDEX(工程マスタ!$I$5:$I$154,$A40)="○",$E40&gt;=BI$3,$E40&lt;=BI$3+6),"▼",IF(AND($E40&gt;=BI$3,$E40&lt;=BI$3+6),$A40,"")))</f>
        <v/>
      </c>
      <c r="BJ40" s="47" t="n">
        <f aca="false">IF($A40="","",IF(AND(INDEX(工程マスタ!$I$5:$I$154,$A40)="○",$E40&gt;=BJ$3,$E40&lt;=BJ$3+6),"▼",IF(AND($E40&gt;=BJ$3,$E40&lt;=BJ$3+6),$A40,"")))</f>
        <v>34</v>
      </c>
    </row>
    <row r="41" customFormat="false" ht="15" hidden="false" customHeight="false" outlineLevel="0" collapsed="false">
      <c r="A41" s="28" t="n">
        <f aca="false">IF(工程マスタ!$C39="","",工程マスタ!$A39)</f>
        <v>35</v>
      </c>
      <c r="B41" s="46" t="str">
        <f aca="false">IF($A41="","",工程マスタ!$C39)</f>
        <v>照明・衛生器具取付</v>
      </c>
      <c r="C41" s="28" t="n">
        <f aca="false">IF($A41="","",MAX(1,工程マスタ!$G39))</f>
        <v>24</v>
      </c>
      <c r="D41" s="28" t="str">
        <f aca="false">IF($A41="","",_xlfn.TEXTJOIN(",",TRUE(),工程マスタ!$N39:$P39))</f>
        <v>31,32</v>
      </c>
      <c r="E41" s="29" t="n">
        <f aca="false">IF($A41="","",IF(COUNT(工程マスタ!$N39:$P39)=0,設定!$B$8,MAX(IF(工程マスタ!$N39="",0,INDEX($F$7:$F$156,工程マスタ!$N39)),IF(工程マスタ!$O39="",0,INDEX($F$7:$F$156,工程マスタ!$O39)),IF(工程マスタ!$P39="",0,INDEX($F$7:$F$156,工程マスタ!$P39)))+1))</f>
        <v>46541</v>
      </c>
      <c r="F41" s="29" t="n">
        <f aca="false">IF($A41="","",$E41+$C41-1)</f>
        <v>46564</v>
      </c>
      <c r="G41" s="29" t="n">
        <f aca="false">IF($A41="","",$H41-$C41+1)</f>
        <v>46562</v>
      </c>
      <c r="H41" s="29" t="n">
        <f aca="false" t="array" ref="H41:H41">IF($A41="","",IF(SUMPRODUCT((工程マスタ!$N$40:$N$154=$A41)*1)+SUMPRODUCT((工程マスタ!$O$40:$O$154=$A41)*1)+SUMPRODUCT((工程マスタ!$P$40:$P$154=$A41)*1)=0,MAX($F$7:$F$156),MIN(IF((工程マスタ!$N$40:$N$154=$A41)+(工程マスタ!$O$40:$O$154=$A41)+(工程マスタ!$P$40:$P$154=$A41),$G42:$G$156))-1))</f>
        <v>46585</v>
      </c>
      <c r="I41" s="28" t="n">
        <f aca="false">IF($A41="","",$G41-$E41)</f>
        <v>21</v>
      </c>
      <c r="J41" s="28" t="str">
        <f aca="false">IF($A41="","",IF($I41&lt;=0,"●",""))</f>
        <v/>
      </c>
      <c r="K41" s="47" t="str">
        <f aca="false">IF($A41="","",IF(AND(INDEX(工程マスタ!$I$5:$I$154,$A41)="○",$E41&gt;=K$3,$E41&lt;=K$3+6),"▼",IF(AND($E41&gt;=K$3,$E41&lt;=K$3+6),$A41,"")))</f>
        <v/>
      </c>
      <c r="L41" s="47" t="str">
        <f aca="false">IF($A41="","",IF(AND(INDEX(工程マスタ!$I$5:$I$154,$A41)="○",$E41&gt;=L$3,$E41&lt;=L$3+6),"▼",IF(AND($E41&gt;=L$3,$E41&lt;=L$3+6),$A41,"")))</f>
        <v/>
      </c>
      <c r="M41" s="47" t="str">
        <f aca="false">IF($A41="","",IF(AND(INDEX(工程マスタ!$I$5:$I$154,$A41)="○",$E41&gt;=M$3,$E41&lt;=M$3+6),"▼",IF(AND($E41&gt;=M$3,$E41&lt;=M$3+6),$A41,"")))</f>
        <v/>
      </c>
      <c r="N41" s="47" t="str">
        <f aca="false">IF($A41="","",IF(AND(INDEX(工程マスタ!$I$5:$I$154,$A41)="○",$E41&gt;=N$3,$E41&lt;=N$3+6),"▼",IF(AND($E41&gt;=N$3,$E41&lt;=N$3+6),$A41,"")))</f>
        <v/>
      </c>
      <c r="O41" s="47" t="str">
        <f aca="false">IF($A41="","",IF(AND(INDEX(工程マスタ!$I$5:$I$154,$A41)="○",$E41&gt;=O$3,$E41&lt;=O$3+6),"▼",IF(AND($E41&gt;=O$3,$E41&lt;=O$3+6),$A41,"")))</f>
        <v/>
      </c>
      <c r="P41" s="47" t="str">
        <f aca="false">IF($A41="","",IF(AND(INDEX(工程マスタ!$I$5:$I$154,$A41)="○",$E41&gt;=P$3,$E41&lt;=P$3+6),"▼",IF(AND($E41&gt;=P$3,$E41&lt;=P$3+6),$A41,"")))</f>
        <v/>
      </c>
      <c r="Q41" s="47" t="str">
        <f aca="false">IF($A41="","",IF(AND(INDEX(工程マスタ!$I$5:$I$154,$A41)="○",$E41&gt;=Q$3,$E41&lt;=Q$3+6),"▼",IF(AND($E41&gt;=Q$3,$E41&lt;=Q$3+6),$A41,"")))</f>
        <v/>
      </c>
      <c r="R41" s="47" t="str">
        <f aca="false">IF($A41="","",IF(AND(INDEX(工程マスタ!$I$5:$I$154,$A41)="○",$E41&gt;=R$3,$E41&lt;=R$3+6),"▼",IF(AND($E41&gt;=R$3,$E41&lt;=R$3+6),$A41,"")))</f>
        <v/>
      </c>
      <c r="S41" s="47" t="str">
        <f aca="false">IF($A41="","",IF(AND(INDEX(工程マスタ!$I$5:$I$154,$A41)="○",$E41&gt;=S$3,$E41&lt;=S$3+6),"▼",IF(AND($E41&gt;=S$3,$E41&lt;=S$3+6),$A41,"")))</f>
        <v/>
      </c>
      <c r="T41" s="47" t="str">
        <f aca="false">IF($A41="","",IF(AND(INDEX(工程マスタ!$I$5:$I$154,$A41)="○",$E41&gt;=T$3,$E41&lt;=T$3+6),"▼",IF(AND($E41&gt;=T$3,$E41&lt;=T$3+6),$A41,"")))</f>
        <v/>
      </c>
      <c r="U41" s="47" t="str">
        <f aca="false">IF($A41="","",IF(AND(INDEX(工程マスタ!$I$5:$I$154,$A41)="○",$E41&gt;=U$3,$E41&lt;=U$3+6),"▼",IF(AND($E41&gt;=U$3,$E41&lt;=U$3+6),$A41,"")))</f>
        <v/>
      </c>
      <c r="V41" s="47" t="str">
        <f aca="false">IF($A41="","",IF(AND(INDEX(工程マスタ!$I$5:$I$154,$A41)="○",$E41&gt;=V$3,$E41&lt;=V$3+6),"▼",IF(AND($E41&gt;=V$3,$E41&lt;=V$3+6),$A41,"")))</f>
        <v/>
      </c>
      <c r="W41" s="47" t="str">
        <f aca="false">IF($A41="","",IF(AND(INDEX(工程マスタ!$I$5:$I$154,$A41)="○",$E41&gt;=W$3,$E41&lt;=W$3+6),"▼",IF(AND($E41&gt;=W$3,$E41&lt;=W$3+6),$A41,"")))</f>
        <v/>
      </c>
      <c r="X41" s="47" t="str">
        <f aca="false">IF($A41="","",IF(AND(INDEX(工程マスタ!$I$5:$I$154,$A41)="○",$E41&gt;=X$3,$E41&lt;=X$3+6),"▼",IF(AND($E41&gt;=X$3,$E41&lt;=X$3+6),$A41,"")))</f>
        <v/>
      </c>
      <c r="Y41" s="47" t="str">
        <f aca="false">IF($A41="","",IF(AND(INDEX(工程マスタ!$I$5:$I$154,$A41)="○",$E41&gt;=Y$3,$E41&lt;=Y$3+6),"▼",IF(AND($E41&gt;=Y$3,$E41&lt;=Y$3+6),$A41,"")))</f>
        <v/>
      </c>
      <c r="Z41" s="47" t="str">
        <f aca="false">IF($A41="","",IF(AND(INDEX(工程マスタ!$I$5:$I$154,$A41)="○",$E41&gt;=Z$3,$E41&lt;=Z$3+6),"▼",IF(AND($E41&gt;=Z$3,$E41&lt;=Z$3+6),$A41,"")))</f>
        <v/>
      </c>
      <c r="AA41" s="47" t="str">
        <f aca="false">IF($A41="","",IF(AND(INDEX(工程マスタ!$I$5:$I$154,$A41)="○",$E41&gt;=AA$3,$E41&lt;=AA$3+6),"▼",IF(AND($E41&gt;=AA$3,$E41&lt;=AA$3+6),$A41,"")))</f>
        <v/>
      </c>
      <c r="AB41" s="47" t="str">
        <f aca="false">IF($A41="","",IF(AND(INDEX(工程マスタ!$I$5:$I$154,$A41)="○",$E41&gt;=AB$3,$E41&lt;=AB$3+6),"▼",IF(AND($E41&gt;=AB$3,$E41&lt;=AB$3+6),$A41,"")))</f>
        <v/>
      </c>
      <c r="AC41" s="47" t="str">
        <f aca="false">IF($A41="","",IF(AND(INDEX(工程マスタ!$I$5:$I$154,$A41)="○",$E41&gt;=AC$3,$E41&lt;=AC$3+6),"▼",IF(AND($E41&gt;=AC$3,$E41&lt;=AC$3+6),$A41,"")))</f>
        <v/>
      </c>
      <c r="AD41" s="47" t="str">
        <f aca="false">IF($A41="","",IF(AND(INDEX(工程マスタ!$I$5:$I$154,$A41)="○",$E41&gt;=AD$3,$E41&lt;=AD$3+6),"▼",IF(AND($E41&gt;=AD$3,$E41&lt;=AD$3+6),$A41,"")))</f>
        <v/>
      </c>
      <c r="AE41" s="47" t="str">
        <f aca="false">IF($A41="","",IF(AND(INDEX(工程マスタ!$I$5:$I$154,$A41)="○",$E41&gt;=AE$3,$E41&lt;=AE$3+6),"▼",IF(AND($E41&gt;=AE$3,$E41&lt;=AE$3+6),$A41,"")))</f>
        <v/>
      </c>
      <c r="AF41" s="47" t="str">
        <f aca="false">IF($A41="","",IF(AND(INDEX(工程マスタ!$I$5:$I$154,$A41)="○",$E41&gt;=AF$3,$E41&lt;=AF$3+6),"▼",IF(AND($E41&gt;=AF$3,$E41&lt;=AF$3+6),$A41,"")))</f>
        <v/>
      </c>
      <c r="AG41" s="47" t="str">
        <f aca="false">IF($A41="","",IF(AND(INDEX(工程マスタ!$I$5:$I$154,$A41)="○",$E41&gt;=AG$3,$E41&lt;=AG$3+6),"▼",IF(AND($E41&gt;=AG$3,$E41&lt;=AG$3+6),$A41,"")))</f>
        <v/>
      </c>
      <c r="AH41" s="47" t="str">
        <f aca="false">IF($A41="","",IF(AND(INDEX(工程マスタ!$I$5:$I$154,$A41)="○",$E41&gt;=AH$3,$E41&lt;=AH$3+6),"▼",IF(AND($E41&gt;=AH$3,$E41&lt;=AH$3+6),$A41,"")))</f>
        <v/>
      </c>
      <c r="AI41" s="47" t="str">
        <f aca="false">IF($A41="","",IF(AND(INDEX(工程マスタ!$I$5:$I$154,$A41)="○",$E41&gt;=AI$3,$E41&lt;=AI$3+6),"▼",IF(AND($E41&gt;=AI$3,$E41&lt;=AI$3+6),$A41,"")))</f>
        <v/>
      </c>
      <c r="AJ41" s="47" t="str">
        <f aca="false">IF($A41="","",IF(AND(INDEX(工程マスタ!$I$5:$I$154,$A41)="○",$E41&gt;=AJ$3,$E41&lt;=AJ$3+6),"▼",IF(AND($E41&gt;=AJ$3,$E41&lt;=AJ$3+6),$A41,"")))</f>
        <v/>
      </c>
      <c r="AK41" s="47" t="str">
        <f aca="false">IF($A41="","",IF(AND(INDEX(工程マスタ!$I$5:$I$154,$A41)="○",$E41&gt;=AK$3,$E41&lt;=AK$3+6),"▼",IF(AND($E41&gt;=AK$3,$E41&lt;=AK$3+6),$A41,"")))</f>
        <v/>
      </c>
      <c r="AL41" s="47" t="str">
        <f aca="false">IF($A41="","",IF(AND(INDEX(工程マスタ!$I$5:$I$154,$A41)="○",$E41&gt;=AL$3,$E41&lt;=AL$3+6),"▼",IF(AND($E41&gt;=AL$3,$E41&lt;=AL$3+6),$A41,"")))</f>
        <v/>
      </c>
      <c r="AM41" s="47" t="str">
        <f aca="false">IF($A41="","",IF(AND(INDEX(工程マスタ!$I$5:$I$154,$A41)="○",$E41&gt;=AM$3,$E41&lt;=AM$3+6),"▼",IF(AND($E41&gt;=AM$3,$E41&lt;=AM$3+6),$A41,"")))</f>
        <v/>
      </c>
      <c r="AN41" s="47" t="str">
        <f aca="false">IF($A41="","",IF(AND(INDEX(工程マスタ!$I$5:$I$154,$A41)="○",$E41&gt;=AN$3,$E41&lt;=AN$3+6),"▼",IF(AND($E41&gt;=AN$3,$E41&lt;=AN$3+6),$A41,"")))</f>
        <v/>
      </c>
      <c r="AO41" s="47" t="str">
        <f aca="false">IF($A41="","",IF(AND(INDEX(工程マスタ!$I$5:$I$154,$A41)="○",$E41&gt;=AO$3,$E41&lt;=AO$3+6),"▼",IF(AND($E41&gt;=AO$3,$E41&lt;=AO$3+6),$A41,"")))</f>
        <v/>
      </c>
      <c r="AP41" s="47" t="str">
        <f aca="false">IF($A41="","",IF(AND(INDEX(工程マスタ!$I$5:$I$154,$A41)="○",$E41&gt;=AP$3,$E41&lt;=AP$3+6),"▼",IF(AND($E41&gt;=AP$3,$E41&lt;=AP$3+6),$A41,"")))</f>
        <v/>
      </c>
      <c r="AQ41" s="47" t="str">
        <f aca="false">IF($A41="","",IF(AND(INDEX(工程マスタ!$I$5:$I$154,$A41)="○",$E41&gt;=AQ$3,$E41&lt;=AQ$3+6),"▼",IF(AND($E41&gt;=AQ$3,$E41&lt;=AQ$3+6),$A41,"")))</f>
        <v/>
      </c>
      <c r="AR41" s="47" t="str">
        <f aca="false">IF($A41="","",IF(AND(INDEX(工程マスタ!$I$5:$I$154,$A41)="○",$E41&gt;=AR$3,$E41&lt;=AR$3+6),"▼",IF(AND($E41&gt;=AR$3,$E41&lt;=AR$3+6),$A41,"")))</f>
        <v/>
      </c>
      <c r="AS41" s="47" t="str">
        <f aca="false">IF($A41="","",IF(AND(INDEX(工程マスタ!$I$5:$I$154,$A41)="○",$E41&gt;=AS$3,$E41&lt;=AS$3+6),"▼",IF(AND($E41&gt;=AS$3,$E41&lt;=AS$3+6),$A41,"")))</f>
        <v/>
      </c>
      <c r="AT41" s="47" t="str">
        <f aca="false">IF($A41="","",IF(AND(INDEX(工程マスタ!$I$5:$I$154,$A41)="○",$E41&gt;=AT$3,$E41&lt;=AT$3+6),"▼",IF(AND($E41&gt;=AT$3,$E41&lt;=AT$3+6),$A41,"")))</f>
        <v/>
      </c>
      <c r="AU41" s="47" t="str">
        <f aca="false">IF($A41="","",IF(AND(INDEX(工程マスタ!$I$5:$I$154,$A41)="○",$E41&gt;=AU$3,$E41&lt;=AU$3+6),"▼",IF(AND($E41&gt;=AU$3,$E41&lt;=AU$3+6),$A41,"")))</f>
        <v/>
      </c>
      <c r="AV41" s="47" t="str">
        <f aca="false">IF($A41="","",IF(AND(INDEX(工程マスタ!$I$5:$I$154,$A41)="○",$E41&gt;=AV$3,$E41&lt;=AV$3+6),"▼",IF(AND($E41&gt;=AV$3,$E41&lt;=AV$3+6),$A41,"")))</f>
        <v/>
      </c>
      <c r="AW41" s="47" t="str">
        <f aca="false">IF($A41="","",IF(AND(INDEX(工程マスタ!$I$5:$I$154,$A41)="○",$E41&gt;=AW$3,$E41&lt;=AW$3+6),"▼",IF(AND($E41&gt;=AW$3,$E41&lt;=AW$3+6),$A41,"")))</f>
        <v/>
      </c>
      <c r="AX41" s="47" t="str">
        <f aca="false">IF($A41="","",IF(AND(INDEX(工程マスタ!$I$5:$I$154,$A41)="○",$E41&gt;=AX$3,$E41&lt;=AX$3+6),"▼",IF(AND($E41&gt;=AX$3,$E41&lt;=AX$3+6),$A41,"")))</f>
        <v/>
      </c>
      <c r="AY41" s="47" t="str">
        <f aca="false">IF($A41="","",IF(AND(INDEX(工程マスタ!$I$5:$I$154,$A41)="○",$E41&gt;=AY$3,$E41&lt;=AY$3+6),"▼",IF(AND($E41&gt;=AY$3,$E41&lt;=AY$3+6),$A41,"")))</f>
        <v/>
      </c>
      <c r="AZ41" s="47" t="str">
        <f aca="false">IF($A41="","",IF(AND(INDEX(工程マスタ!$I$5:$I$154,$A41)="○",$E41&gt;=AZ$3,$E41&lt;=AZ$3+6),"▼",IF(AND($E41&gt;=AZ$3,$E41&lt;=AZ$3+6),$A41,"")))</f>
        <v/>
      </c>
      <c r="BA41" s="47" t="str">
        <f aca="false">IF($A41="","",IF(AND(INDEX(工程マスタ!$I$5:$I$154,$A41)="○",$E41&gt;=BA$3,$E41&lt;=BA$3+6),"▼",IF(AND($E41&gt;=BA$3,$E41&lt;=BA$3+6),$A41,"")))</f>
        <v/>
      </c>
      <c r="BB41" s="47" t="str">
        <f aca="false">IF($A41="","",IF(AND(INDEX(工程マスタ!$I$5:$I$154,$A41)="○",$E41&gt;=BB$3,$E41&lt;=BB$3+6),"▼",IF(AND($E41&gt;=BB$3,$E41&lt;=BB$3+6),$A41,"")))</f>
        <v/>
      </c>
      <c r="BC41" s="47" t="str">
        <f aca="false">IF($A41="","",IF(AND(INDEX(工程マスタ!$I$5:$I$154,$A41)="○",$E41&gt;=BC$3,$E41&lt;=BC$3+6),"▼",IF(AND($E41&gt;=BC$3,$E41&lt;=BC$3+6),$A41,"")))</f>
        <v/>
      </c>
      <c r="BD41" s="47" t="str">
        <f aca="false">IF($A41="","",IF(AND(INDEX(工程マスタ!$I$5:$I$154,$A41)="○",$E41&gt;=BD$3,$E41&lt;=BD$3+6),"▼",IF(AND($E41&gt;=BD$3,$E41&lt;=BD$3+6),$A41,"")))</f>
        <v/>
      </c>
      <c r="BE41" s="47" t="str">
        <f aca="false">IF($A41="","",IF(AND(INDEX(工程マスタ!$I$5:$I$154,$A41)="○",$E41&gt;=BE$3,$E41&lt;=BE$3+6),"▼",IF(AND($E41&gt;=BE$3,$E41&lt;=BE$3+6),$A41,"")))</f>
        <v/>
      </c>
      <c r="BF41" s="47" t="str">
        <f aca="false">IF($A41="","",IF(AND(INDEX(工程マスタ!$I$5:$I$154,$A41)="○",$E41&gt;=BF$3,$E41&lt;=BF$3+6),"▼",IF(AND($E41&gt;=BF$3,$E41&lt;=BF$3+6),$A41,"")))</f>
        <v/>
      </c>
      <c r="BG41" s="47" t="n">
        <f aca="false">IF($A41="","",IF(AND(INDEX(工程マスタ!$I$5:$I$154,$A41)="○",$E41&gt;=BG$3,$E41&lt;=BG$3+6),"▼",IF(AND($E41&gt;=BG$3,$E41&lt;=BG$3+6),$A41,"")))</f>
        <v>35</v>
      </c>
      <c r="BH41" s="47" t="str">
        <f aca="false">IF($A41="","",IF(AND(INDEX(工程マスタ!$I$5:$I$154,$A41)="○",$E41&gt;=BH$3,$E41&lt;=BH$3+6),"▼",IF(AND($E41&gt;=BH$3,$E41&lt;=BH$3+6),$A41,"")))</f>
        <v/>
      </c>
      <c r="BI41" s="47" t="str">
        <f aca="false">IF($A41="","",IF(AND(INDEX(工程マスタ!$I$5:$I$154,$A41)="○",$E41&gt;=BI$3,$E41&lt;=BI$3+6),"▼",IF(AND($E41&gt;=BI$3,$E41&lt;=BI$3+6),$A41,"")))</f>
        <v/>
      </c>
      <c r="BJ41" s="47" t="str">
        <f aca="false">IF($A41="","",IF(AND(INDEX(工程マスタ!$I$5:$I$154,$A41)="○",$E41&gt;=BJ$3,$E41&lt;=BJ$3+6),"▼",IF(AND($E41&gt;=BJ$3,$E41&lt;=BJ$3+6),$A41,"")))</f>
        <v/>
      </c>
    </row>
    <row r="42" customFormat="false" ht="15" hidden="false" customHeight="false" outlineLevel="0" collapsed="false">
      <c r="A42" s="28" t="n">
        <f aca="false">IF(工程マスタ!$C40="","",工程マスタ!$A40)</f>
        <v>36</v>
      </c>
      <c r="B42" s="46" t="str">
        <f aca="false">IF($A42="","",工程マスタ!$C40)</f>
        <v>空調機器設置・試運転調整</v>
      </c>
      <c r="C42" s="28" t="n">
        <f aca="false">IF($A42="","",MAX(1,工程マスタ!$G40))</f>
        <v>44</v>
      </c>
      <c r="D42" s="28" t="str">
        <f aca="false">IF($A42="","",_xlfn.TEXTJOIN(",",TRUE(),工程マスタ!$N40:$P40))</f>
        <v>32</v>
      </c>
      <c r="E42" s="29" t="n">
        <f aca="false">IF($A42="","",IF(COUNT(工程マスタ!$N40:$P40)=0,設定!$B$8,MAX(IF(工程マスタ!$N40="",0,INDEX($F$7:$F$156,工程マスタ!$N40)),IF(工程マスタ!$O40="",0,INDEX($F$7:$F$156,工程マスタ!$O40)),IF(工程マスタ!$P40="",0,INDEX($F$7:$F$156,工程マスタ!$P40)))+1))</f>
        <v>46497</v>
      </c>
      <c r="F42" s="29" t="n">
        <f aca="false">IF($A42="","",$E42+$C42-1)</f>
        <v>46540</v>
      </c>
      <c r="G42" s="29" t="n">
        <f aca="false">IF($A42="","",$H42-$C42+1)</f>
        <v>46542</v>
      </c>
      <c r="H42" s="29" t="n">
        <f aca="false" t="array" ref="H42:H42">IF($A42="","",IF(SUMPRODUCT((工程マスタ!$N$41:$N$154=$A42)*1)+SUMPRODUCT((工程マスタ!$O$41:$O$154=$A42)*1)+SUMPRODUCT((工程マスタ!$P$41:$P$154=$A42)*1)=0,MAX($F$7:$F$156),MIN(IF((工程マスタ!$N$41:$N$154=$A42)+(工程マスタ!$O$41:$O$154=$A42)+(工程マスタ!$P$41:$P$154=$A42),$G43:$G$156))-1))</f>
        <v>46585</v>
      </c>
      <c r="I42" s="28" t="n">
        <f aca="false">IF($A42="","",$G42-$E42)</f>
        <v>45</v>
      </c>
      <c r="J42" s="28" t="str">
        <f aca="false">IF($A42="","",IF($I42&lt;=0,"●",""))</f>
        <v/>
      </c>
      <c r="K42" s="47" t="str">
        <f aca="false">IF($A42="","",IF(AND(INDEX(工程マスタ!$I$5:$I$154,$A42)="○",$E42&gt;=K$3,$E42&lt;=K$3+6),"▼",IF(AND($E42&gt;=K$3,$E42&lt;=K$3+6),$A42,"")))</f>
        <v/>
      </c>
      <c r="L42" s="47" t="str">
        <f aca="false">IF($A42="","",IF(AND(INDEX(工程マスタ!$I$5:$I$154,$A42)="○",$E42&gt;=L$3,$E42&lt;=L$3+6),"▼",IF(AND($E42&gt;=L$3,$E42&lt;=L$3+6),$A42,"")))</f>
        <v/>
      </c>
      <c r="M42" s="47" t="str">
        <f aca="false">IF($A42="","",IF(AND(INDEX(工程マスタ!$I$5:$I$154,$A42)="○",$E42&gt;=M$3,$E42&lt;=M$3+6),"▼",IF(AND($E42&gt;=M$3,$E42&lt;=M$3+6),$A42,"")))</f>
        <v/>
      </c>
      <c r="N42" s="47" t="str">
        <f aca="false">IF($A42="","",IF(AND(INDEX(工程マスタ!$I$5:$I$154,$A42)="○",$E42&gt;=N$3,$E42&lt;=N$3+6),"▼",IF(AND($E42&gt;=N$3,$E42&lt;=N$3+6),$A42,"")))</f>
        <v/>
      </c>
      <c r="O42" s="47" t="str">
        <f aca="false">IF($A42="","",IF(AND(INDEX(工程マスタ!$I$5:$I$154,$A42)="○",$E42&gt;=O$3,$E42&lt;=O$3+6),"▼",IF(AND($E42&gt;=O$3,$E42&lt;=O$3+6),$A42,"")))</f>
        <v/>
      </c>
      <c r="P42" s="47" t="str">
        <f aca="false">IF($A42="","",IF(AND(INDEX(工程マスタ!$I$5:$I$154,$A42)="○",$E42&gt;=P$3,$E42&lt;=P$3+6),"▼",IF(AND($E42&gt;=P$3,$E42&lt;=P$3+6),$A42,"")))</f>
        <v/>
      </c>
      <c r="Q42" s="47" t="str">
        <f aca="false">IF($A42="","",IF(AND(INDEX(工程マスタ!$I$5:$I$154,$A42)="○",$E42&gt;=Q$3,$E42&lt;=Q$3+6),"▼",IF(AND($E42&gt;=Q$3,$E42&lt;=Q$3+6),$A42,"")))</f>
        <v/>
      </c>
      <c r="R42" s="47" t="str">
        <f aca="false">IF($A42="","",IF(AND(INDEX(工程マスタ!$I$5:$I$154,$A42)="○",$E42&gt;=R$3,$E42&lt;=R$3+6),"▼",IF(AND($E42&gt;=R$3,$E42&lt;=R$3+6),$A42,"")))</f>
        <v/>
      </c>
      <c r="S42" s="47" t="str">
        <f aca="false">IF($A42="","",IF(AND(INDEX(工程マスタ!$I$5:$I$154,$A42)="○",$E42&gt;=S$3,$E42&lt;=S$3+6),"▼",IF(AND($E42&gt;=S$3,$E42&lt;=S$3+6),$A42,"")))</f>
        <v/>
      </c>
      <c r="T42" s="47" t="str">
        <f aca="false">IF($A42="","",IF(AND(INDEX(工程マスタ!$I$5:$I$154,$A42)="○",$E42&gt;=T$3,$E42&lt;=T$3+6),"▼",IF(AND($E42&gt;=T$3,$E42&lt;=T$3+6),$A42,"")))</f>
        <v/>
      </c>
      <c r="U42" s="47" t="str">
        <f aca="false">IF($A42="","",IF(AND(INDEX(工程マスタ!$I$5:$I$154,$A42)="○",$E42&gt;=U$3,$E42&lt;=U$3+6),"▼",IF(AND($E42&gt;=U$3,$E42&lt;=U$3+6),$A42,"")))</f>
        <v/>
      </c>
      <c r="V42" s="47" t="str">
        <f aca="false">IF($A42="","",IF(AND(INDEX(工程マスタ!$I$5:$I$154,$A42)="○",$E42&gt;=V$3,$E42&lt;=V$3+6),"▼",IF(AND($E42&gt;=V$3,$E42&lt;=V$3+6),$A42,"")))</f>
        <v/>
      </c>
      <c r="W42" s="47" t="str">
        <f aca="false">IF($A42="","",IF(AND(INDEX(工程マスタ!$I$5:$I$154,$A42)="○",$E42&gt;=W$3,$E42&lt;=W$3+6),"▼",IF(AND($E42&gt;=W$3,$E42&lt;=W$3+6),$A42,"")))</f>
        <v/>
      </c>
      <c r="X42" s="47" t="str">
        <f aca="false">IF($A42="","",IF(AND(INDEX(工程マスタ!$I$5:$I$154,$A42)="○",$E42&gt;=X$3,$E42&lt;=X$3+6),"▼",IF(AND($E42&gt;=X$3,$E42&lt;=X$3+6),$A42,"")))</f>
        <v/>
      </c>
      <c r="Y42" s="47" t="str">
        <f aca="false">IF($A42="","",IF(AND(INDEX(工程マスタ!$I$5:$I$154,$A42)="○",$E42&gt;=Y$3,$E42&lt;=Y$3+6),"▼",IF(AND($E42&gt;=Y$3,$E42&lt;=Y$3+6),$A42,"")))</f>
        <v/>
      </c>
      <c r="Z42" s="47" t="str">
        <f aca="false">IF($A42="","",IF(AND(INDEX(工程マスタ!$I$5:$I$154,$A42)="○",$E42&gt;=Z$3,$E42&lt;=Z$3+6),"▼",IF(AND($E42&gt;=Z$3,$E42&lt;=Z$3+6),$A42,"")))</f>
        <v/>
      </c>
      <c r="AA42" s="47" t="str">
        <f aca="false">IF($A42="","",IF(AND(INDEX(工程マスタ!$I$5:$I$154,$A42)="○",$E42&gt;=AA$3,$E42&lt;=AA$3+6),"▼",IF(AND($E42&gt;=AA$3,$E42&lt;=AA$3+6),$A42,"")))</f>
        <v/>
      </c>
      <c r="AB42" s="47" t="str">
        <f aca="false">IF($A42="","",IF(AND(INDEX(工程マスタ!$I$5:$I$154,$A42)="○",$E42&gt;=AB$3,$E42&lt;=AB$3+6),"▼",IF(AND($E42&gt;=AB$3,$E42&lt;=AB$3+6),$A42,"")))</f>
        <v/>
      </c>
      <c r="AC42" s="47" t="str">
        <f aca="false">IF($A42="","",IF(AND(INDEX(工程マスタ!$I$5:$I$154,$A42)="○",$E42&gt;=AC$3,$E42&lt;=AC$3+6),"▼",IF(AND($E42&gt;=AC$3,$E42&lt;=AC$3+6),$A42,"")))</f>
        <v/>
      </c>
      <c r="AD42" s="47" t="str">
        <f aca="false">IF($A42="","",IF(AND(INDEX(工程マスタ!$I$5:$I$154,$A42)="○",$E42&gt;=AD$3,$E42&lt;=AD$3+6),"▼",IF(AND($E42&gt;=AD$3,$E42&lt;=AD$3+6),$A42,"")))</f>
        <v/>
      </c>
      <c r="AE42" s="47" t="str">
        <f aca="false">IF($A42="","",IF(AND(INDEX(工程マスタ!$I$5:$I$154,$A42)="○",$E42&gt;=AE$3,$E42&lt;=AE$3+6),"▼",IF(AND($E42&gt;=AE$3,$E42&lt;=AE$3+6),$A42,"")))</f>
        <v/>
      </c>
      <c r="AF42" s="47" t="str">
        <f aca="false">IF($A42="","",IF(AND(INDEX(工程マスタ!$I$5:$I$154,$A42)="○",$E42&gt;=AF$3,$E42&lt;=AF$3+6),"▼",IF(AND($E42&gt;=AF$3,$E42&lt;=AF$3+6),$A42,"")))</f>
        <v/>
      </c>
      <c r="AG42" s="47" t="str">
        <f aca="false">IF($A42="","",IF(AND(INDEX(工程マスタ!$I$5:$I$154,$A42)="○",$E42&gt;=AG$3,$E42&lt;=AG$3+6),"▼",IF(AND($E42&gt;=AG$3,$E42&lt;=AG$3+6),$A42,"")))</f>
        <v/>
      </c>
      <c r="AH42" s="47" t="str">
        <f aca="false">IF($A42="","",IF(AND(INDEX(工程マスタ!$I$5:$I$154,$A42)="○",$E42&gt;=AH$3,$E42&lt;=AH$3+6),"▼",IF(AND($E42&gt;=AH$3,$E42&lt;=AH$3+6),$A42,"")))</f>
        <v/>
      </c>
      <c r="AI42" s="47" t="str">
        <f aca="false">IF($A42="","",IF(AND(INDEX(工程マスタ!$I$5:$I$154,$A42)="○",$E42&gt;=AI$3,$E42&lt;=AI$3+6),"▼",IF(AND($E42&gt;=AI$3,$E42&lt;=AI$3+6),$A42,"")))</f>
        <v/>
      </c>
      <c r="AJ42" s="47" t="str">
        <f aca="false">IF($A42="","",IF(AND(INDEX(工程マスタ!$I$5:$I$154,$A42)="○",$E42&gt;=AJ$3,$E42&lt;=AJ$3+6),"▼",IF(AND($E42&gt;=AJ$3,$E42&lt;=AJ$3+6),$A42,"")))</f>
        <v/>
      </c>
      <c r="AK42" s="47" t="str">
        <f aca="false">IF($A42="","",IF(AND(INDEX(工程マスタ!$I$5:$I$154,$A42)="○",$E42&gt;=AK$3,$E42&lt;=AK$3+6),"▼",IF(AND($E42&gt;=AK$3,$E42&lt;=AK$3+6),$A42,"")))</f>
        <v/>
      </c>
      <c r="AL42" s="47" t="str">
        <f aca="false">IF($A42="","",IF(AND(INDEX(工程マスタ!$I$5:$I$154,$A42)="○",$E42&gt;=AL$3,$E42&lt;=AL$3+6),"▼",IF(AND($E42&gt;=AL$3,$E42&lt;=AL$3+6),$A42,"")))</f>
        <v/>
      </c>
      <c r="AM42" s="47" t="str">
        <f aca="false">IF($A42="","",IF(AND(INDEX(工程マスタ!$I$5:$I$154,$A42)="○",$E42&gt;=AM$3,$E42&lt;=AM$3+6),"▼",IF(AND($E42&gt;=AM$3,$E42&lt;=AM$3+6),$A42,"")))</f>
        <v/>
      </c>
      <c r="AN42" s="47" t="str">
        <f aca="false">IF($A42="","",IF(AND(INDEX(工程マスタ!$I$5:$I$154,$A42)="○",$E42&gt;=AN$3,$E42&lt;=AN$3+6),"▼",IF(AND($E42&gt;=AN$3,$E42&lt;=AN$3+6),$A42,"")))</f>
        <v/>
      </c>
      <c r="AO42" s="47" t="str">
        <f aca="false">IF($A42="","",IF(AND(INDEX(工程マスタ!$I$5:$I$154,$A42)="○",$E42&gt;=AO$3,$E42&lt;=AO$3+6),"▼",IF(AND($E42&gt;=AO$3,$E42&lt;=AO$3+6),$A42,"")))</f>
        <v/>
      </c>
      <c r="AP42" s="47" t="str">
        <f aca="false">IF($A42="","",IF(AND(INDEX(工程マスタ!$I$5:$I$154,$A42)="○",$E42&gt;=AP$3,$E42&lt;=AP$3+6),"▼",IF(AND($E42&gt;=AP$3,$E42&lt;=AP$3+6),$A42,"")))</f>
        <v/>
      </c>
      <c r="AQ42" s="47" t="str">
        <f aca="false">IF($A42="","",IF(AND(INDEX(工程マスタ!$I$5:$I$154,$A42)="○",$E42&gt;=AQ$3,$E42&lt;=AQ$3+6),"▼",IF(AND($E42&gt;=AQ$3,$E42&lt;=AQ$3+6),$A42,"")))</f>
        <v/>
      </c>
      <c r="AR42" s="47" t="str">
        <f aca="false">IF($A42="","",IF(AND(INDEX(工程マスタ!$I$5:$I$154,$A42)="○",$E42&gt;=AR$3,$E42&lt;=AR$3+6),"▼",IF(AND($E42&gt;=AR$3,$E42&lt;=AR$3+6),$A42,"")))</f>
        <v/>
      </c>
      <c r="AS42" s="47" t="str">
        <f aca="false">IF($A42="","",IF(AND(INDEX(工程マスタ!$I$5:$I$154,$A42)="○",$E42&gt;=AS$3,$E42&lt;=AS$3+6),"▼",IF(AND($E42&gt;=AS$3,$E42&lt;=AS$3+6),$A42,"")))</f>
        <v/>
      </c>
      <c r="AT42" s="47" t="str">
        <f aca="false">IF($A42="","",IF(AND(INDEX(工程マスタ!$I$5:$I$154,$A42)="○",$E42&gt;=AT$3,$E42&lt;=AT$3+6),"▼",IF(AND($E42&gt;=AT$3,$E42&lt;=AT$3+6),$A42,"")))</f>
        <v/>
      </c>
      <c r="AU42" s="47" t="str">
        <f aca="false">IF($A42="","",IF(AND(INDEX(工程マスタ!$I$5:$I$154,$A42)="○",$E42&gt;=AU$3,$E42&lt;=AU$3+6),"▼",IF(AND($E42&gt;=AU$3,$E42&lt;=AU$3+6),$A42,"")))</f>
        <v/>
      </c>
      <c r="AV42" s="47" t="str">
        <f aca="false">IF($A42="","",IF(AND(INDEX(工程マスタ!$I$5:$I$154,$A42)="○",$E42&gt;=AV$3,$E42&lt;=AV$3+6),"▼",IF(AND($E42&gt;=AV$3,$E42&lt;=AV$3+6),$A42,"")))</f>
        <v/>
      </c>
      <c r="AW42" s="47" t="str">
        <f aca="false">IF($A42="","",IF(AND(INDEX(工程マスタ!$I$5:$I$154,$A42)="○",$E42&gt;=AW$3,$E42&lt;=AW$3+6),"▼",IF(AND($E42&gt;=AW$3,$E42&lt;=AW$3+6),$A42,"")))</f>
        <v/>
      </c>
      <c r="AX42" s="47" t="str">
        <f aca="false">IF($A42="","",IF(AND(INDEX(工程マスタ!$I$5:$I$154,$A42)="○",$E42&gt;=AX$3,$E42&lt;=AX$3+6),"▼",IF(AND($E42&gt;=AX$3,$E42&lt;=AX$3+6),$A42,"")))</f>
        <v/>
      </c>
      <c r="AY42" s="47" t="str">
        <f aca="false">IF($A42="","",IF(AND(INDEX(工程マスタ!$I$5:$I$154,$A42)="○",$E42&gt;=AY$3,$E42&lt;=AY$3+6),"▼",IF(AND($E42&gt;=AY$3,$E42&lt;=AY$3+6),$A42,"")))</f>
        <v/>
      </c>
      <c r="AZ42" s="47" t="n">
        <f aca="false">IF($A42="","",IF(AND(INDEX(工程マスタ!$I$5:$I$154,$A42)="○",$E42&gt;=AZ$3,$E42&lt;=AZ$3+6),"▼",IF(AND($E42&gt;=AZ$3,$E42&lt;=AZ$3+6),$A42,"")))</f>
        <v>36</v>
      </c>
      <c r="BA42" s="47" t="str">
        <f aca="false">IF($A42="","",IF(AND(INDEX(工程マスタ!$I$5:$I$154,$A42)="○",$E42&gt;=BA$3,$E42&lt;=BA$3+6),"▼",IF(AND($E42&gt;=BA$3,$E42&lt;=BA$3+6),$A42,"")))</f>
        <v/>
      </c>
      <c r="BB42" s="47" t="str">
        <f aca="false">IF($A42="","",IF(AND(INDEX(工程マスタ!$I$5:$I$154,$A42)="○",$E42&gt;=BB$3,$E42&lt;=BB$3+6),"▼",IF(AND($E42&gt;=BB$3,$E42&lt;=BB$3+6),$A42,"")))</f>
        <v/>
      </c>
      <c r="BC42" s="47" t="str">
        <f aca="false">IF($A42="","",IF(AND(INDEX(工程マスタ!$I$5:$I$154,$A42)="○",$E42&gt;=BC$3,$E42&lt;=BC$3+6),"▼",IF(AND($E42&gt;=BC$3,$E42&lt;=BC$3+6),$A42,"")))</f>
        <v/>
      </c>
      <c r="BD42" s="47" t="str">
        <f aca="false">IF($A42="","",IF(AND(INDEX(工程マスタ!$I$5:$I$154,$A42)="○",$E42&gt;=BD$3,$E42&lt;=BD$3+6),"▼",IF(AND($E42&gt;=BD$3,$E42&lt;=BD$3+6),$A42,"")))</f>
        <v/>
      </c>
      <c r="BE42" s="47" t="str">
        <f aca="false">IF($A42="","",IF(AND(INDEX(工程マスタ!$I$5:$I$154,$A42)="○",$E42&gt;=BE$3,$E42&lt;=BE$3+6),"▼",IF(AND($E42&gt;=BE$3,$E42&lt;=BE$3+6),$A42,"")))</f>
        <v/>
      </c>
      <c r="BF42" s="47" t="str">
        <f aca="false">IF($A42="","",IF(AND(INDEX(工程マスタ!$I$5:$I$154,$A42)="○",$E42&gt;=BF$3,$E42&lt;=BF$3+6),"▼",IF(AND($E42&gt;=BF$3,$E42&lt;=BF$3+6),$A42,"")))</f>
        <v/>
      </c>
      <c r="BG42" s="47" t="str">
        <f aca="false">IF($A42="","",IF(AND(INDEX(工程マスタ!$I$5:$I$154,$A42)="○",$E42&gt;=BG$3,$E42&lt;=BG$3+6),"▼",IF(AND($E42&gt;=BG$3,$E42&lt;=BG$3+6),$A42,"")))</f>
        <v/>
      </c>
      <c r="BH42" s="47" t="str">
        <f aca="false">IF($A42="","",IF(AND(INDEX(工程マスタ!$I$5:$I$154,$A42)="○",$E42&gt;=BH$3,$E42&lt;=BH$3+6),"▼",IF(AND($E42&gt;=BH$3,$E42&lt;=BH$3+6),$A42,"")))</f>
        <v/>
      </c>
      <c r="BI42" s="47" t="str">
        <f aca="false">IF($A42="","",IF(AND(INDEX(工程マスタ!$I$5:$I$154,$A42)="○",$E42&gt;=BI$3,$E42&lt;=BI$3+6),"▼",IF(AND($E42&gt;=BI$3,$E42&lt;=BI$3+6),$A42,"")))</f>
        <v/>
      </c>
      <c r="BJ42" s="47" t="str">
        <f aca="false">IF($A42="","",IF(AND(INDEX(工程マスタ!$I$5:$I$154,$A42)="○",$E42&gt;=BJ$3,$E42&lt;=BJ$3+6),"▼",IF(AND($E42&gt;=BJ$3,$E42&lt;=BJ$3+6),$A42,"")))</f>
        <v/>
      </c>
    </row>
    <row r="43" customFormat="false" ht="15" hidden="false" customHeight="false" outlineLevel="0" collapsed="false">
      <c r="A43" s="28" t="n">
        <f aca="false">IF(工程マスタ!$C41="","",工程マスタ!$A41)</f>
        <v>37</v>
      </c>
      <c r="B43" s="46" t="str">
        <f aca="false">IF($A43="","",工程マスタ!$C41)</f>
        <v>外構土工・排水</v>
      </c>
      <c r="C43" s="28" t="n">
        <f aca="false">IF($A43="","",MAX(1,工程マスタ!$G41))</f>
        <v>19</v>
      </c>
      <c r="D43" s="28" t="str">
        <f aca="false">IF($A43="","",_xlfn.TEXTJOIN(",",TRUE(),工程マスタ!$N41:$P41))</f>
        <v>28</v>
      </c>
      <c r="E43" s="29" t="n">
        <f aca="false">IF($A43="","",IF(COUNT(工程マスタ!$N41:$P41)=0,設定!$B$8,MAX(IF(工程マスタ!$N41="",0,INDEX($F$7:$F$156,工程マスタ!$N41)),IF(工程マスタ!$O41="",0,INDEX($F$7:$F$156,工程マスタ!$O41)),IF(工程マスタ!$P41="",0,INDEX($F$7:$F$156,工程マスタ!$P41)))+1))</f>
        <v>46522</v>
      </c>
      <c r="F43" s="29" t="n">
        <f aca="false">IF($A43="","",$E43+$C43-1)</f>
        <v>46540</v>
      </c>
      <c r="G43" s="29" t="n">
        <f aca="false">IF($A43="","",$H43-$C43+1)</f>
        <v>46580</v>
      </c>
      <c r="H43" s="29" t="n">
        <f aca="false" t="array" ref="H43:H43">IF($A43="","",IF(SUMPRODUCT((工程マスタ!$N$42:$N$154=$A43)*1)+SUMPRODUCT((工程マスタ!$O$42:$O$154=$A43)*1)+SUMPRODUCT((工程マスタ!$P$42:$P$154=$A43)*1)=0,MAX($F$7:$F$156),MIN(IF((工程マスタ!$N$42:$N$154=$A43)+(工程マスタ!$O$42:$O$154=$A43)+(工程マスタ!$P$42:$P$154=$A43),$G44:$G$156))-1))</f>
        <v>46598</v>
      </c>
      <c r="I43" s="28" t="n">
        <f aca="false">IF($A43="","",$G43-$E43)</f>
        <v>58</v>
      </c>
      <c r="J43" s="28" t="str">
        <f aca="false">IF($A43="","",IF($I43&lt;=0,"●",""))</f>
        <v/>
      </c>
      <c r="K43" s="47" t="str">
        <f aca="false">IF($A43="","",IF(AND(INDEX(工程マスタ!$I$5:$I$154,$A43)="○",$E43&gt;=K$3,$E43&lt;=K$3+6),"▼",IF(AND($E43&gt;=K$3,$E43&lt;=K$3+6),$A43,"")))</f>
        <v/>
      </c>
      <c r="L43" s="47" t="str">
        <f aca="false">IF($A43="","",IF(AND(INDEX(工程マスタ!$I$5:$I$154,$A43)="○",$E43&gt;=L$3,$E43&lt;=L$3+6),"▼",IF(AND($E43&gt;=L$3,$E43&lt;=L$3+6),$A43,"")))</f>
        <v/>
      </c>
      <c r="M43" s="47" t="str">
        <f aca="false">IF($A43="","",IF(AND(INDEX(工程マスタ!$I$5:$I$154,$A43)="○",$E43&gt;=M$3,$E43&lt;=M$3+6),"▼",IF(AND($E43&gt;=M$3,$E43&lt;=M$3+6),$A43,"")))</f>
        <v/>
      </c>
      <c r="N43" s="47" t="str">
        <f aca="false">IF($A43="","",IF(AND(INDEX(工程マスタ!$I$5:$I$154,$A43)="○",$E43&gt;=N$3,$E43&lt;=N$3+6),"▼",IF(AND($E43&gt;=N$3,$E43&lt;=N$3+6),$A43,"")))</f>
        <v/>
      </c>
      <c r="O43" s="47" t="str">
        <f aca="false">IF($A43="","",IF(AND(INDEX(工程マスタ!$I$5:$I$154,$A43)="○",$E43&gt;=O$3,$E43&lt;=O$3+6),"▼",IF(AND($E43&gt;=O$3,$E43&lt;=O$3+6),$A43,"")))</f>
        <v/>
      </c>
      <c r="P43" s="47" t="str">
        <f aca="false">IF($A43="","",IF(AND(INDEX(工程マスタ!$I$5:$I$154,$A43)="○",$E43&gt;=P$3,$E43&lt;=P$3+6),"▼",IF(AND($E43&gt;=P$3,$E43&lt;=P$3+6),$A43,"")))</f>
        <v/>
      </c>
      <c r="Q43" s="47" t="str">
        <f aca="false">IF($A43="","",IF(AND(INDEX(工程マスタ!$I$5:$I$154,$A43)="○",$E43&gt;=Q$3,$E43&lt;=Q$3+6),"▼",IF(AND($E43&gt;=Q$3,$E43&lt;=Q$3+6),$A43,"")))</f>
        <v/>
      </c>
      <c r="R43" s="47" t="str">
        <f aca="false">IF($A43="","",IF(AND(INDEX(工程マスタ!$I$5:$I$154,$A43)="○",$E43&gt;=R$3,$E43&lt;=R$3+6),"▼",IF(AND($E43&gt;=R$3,$E43&lt;=R$3+6),$A43,"")))</f>
        <v/>
      </c>
      <c r="S43" s="47" t="str">
        <f aca="false">IF($A43="","",IF(AND(INDEX(工程マスタ!$I$5:$I$154,$A43)="○",$E43&gt;=S$3,$E43&lt;=S$3+6),"▼",IF(AND($E43&gt;=S$3,$E43&lt;=S$3+6),$A43,"")))</f>
        <v/>
      </c>
      <c r="T43" s="47" t="str">
        <f aca="false">IF($A43="","",IF(AND(INDEX(工程マスタ!$I$5:$I$154,$A43)="○",$E43&gt;=T$3,$E43&lt;=T$3+6),"▼",IF(AND($E43&gt;=T$3,$E43&lt;=T$3+6),$A43,"")))</f>
        <v/>
      </c>
      <c r="U43" s="47" t="str">
        <f aca="false">IF($A43="","",IF(AND(INDEX(工程マスタ!$I$5:$I$154,$A43)="○",$E43&gt;=U$3,$E43&lt;=U$3+6),"▼",IF(AND($E43&gt;=U$3,$E43&lt;=U$3+6),$A43,"")))</f>
        <v/>
      </c>
      <c r="V43" s="47" t="str">
        <f aca="false">IF($A43="","",IF(AND(INDEX(工程マスタ!$I$5:$I$154,$A43)="○",$E43&gt;=V$3,$E43&lt;=V$3+6),"▼",IF(AND($E43&gt;=V$3,$E43&lt;=V$3+6),$A43,"")))</f>
        <v/>
      </c>
      <c r="W43" s="47" t="str">
        <f aca="false">IF($A43="","",IF(AND(INDEX(工程マスタ!$I$5:$I$154,$A43)="○",$E43&gt;=W$3,$E43&lt;=W$3+6),"▼",IF(AND($E43&gt;=W$3,$E43&lt;=W$3+6),$A43,"")))</f>
        <v/>
      </c>
      <c r="X43" s="47" t="str">
        <f aca="false">IF($A43="","",IF(AND(INDEX(工程マスタ!$I$5:$I$154,$A43)="○",$E43&gt;=X$3,$E43&lt;=X$3+6),"▼",IF(AND($E43&gt;=X$3,$E43&lt;=X$3+6),$A43,"")))</f>
        <v/>
      </c>
      <c r="Y43" s="47" t="str">
        <f aca="false">IF($A43="","",IF(AND(INDEX(工程マスタ!$I$5:$I$154,$A43)="○",$E43&gt;=Y$3,$E43&lt;=Y$3+6),"▼",IF(AND($E43&gt;=Y$3,$E43&lt;=Y$3+6),$A43,"")))</f>
        <v/>
      </c>
      <c r="Z43" s="47" t="str">
        <f aca="false">IF($A43="","",IF(AND(INDEX(工程マスタ!$I$5:$I$154,$A43)="○",$E43&gt;=Z$3,$E43&lt;=Z$3+6),"▼",IF(AND($E43&gt;=Z$3,$E43&lt;=Z$3+6),$A43,"")))</f>
        <v/>
      </c>
      <c r="AA43" s="47" t="str">
        <f aca="false">IF($A43="","",IF(AND(INDEX(工程マスタ!$I$5:$I$154,$A43)="○",$E43&gt;=AA$3,$E43&lt;=AA$3+6),"▼",IF(AND($E43&gt;=AA$3,$E43&lt;=AA$3+6),$A43,"")))</f>
        <v/>
      </c>
      <c r="AB43" s="47" t="str">
        <f aca="false">IF($A43="","",IF(AND(INDEX(工程マスタ!$I$5:$I$154,$A43)="○",$E43&gt;=AB$3,$E43&lt;=AB$3+6),"▼",IF(AND($E43&gt;=AB$3,$E43&lt;=AB$3+6),$A43,"")))</f>
        <v/>
      </c>
      <c r="AC43" s="47" t="str">
        <f aca="false">IF($A43="","",IF(AND(INDEX(工程マスタ!$I$5:$I$154,$A43)="○",$E43&gt;=AC$3,$E43&lt;=AC$3+6),"▼",IF(AND($E43&gt;=AC$3,$E43&lt;=AC$3+6),$A43,"")))</f>
        <v/>
      </c>
      <c r="AD43" s="47" t="str">
        <f aca="false">IF($A43="","",IF(AND(INDEX(工程マスタ!$I$5:$I$154,$A43)="○",$E43&gt;=AD$3,$E43&lt;=AD$3+6),"▼",IF(AND($E43&gt;=AD$3,$E43&lt;=AD$3+6),$A43,"")))</f>
        <v/>
      </c>
      <c r="AE43" s="47" t="str">
        <f aca="false">IF($A43="","",IF(AND(INDEX(工程マスタ!$I$5:$I$154,$A43)="○",$E43&gt;=AE$3,$E43&lt;=AE$3+6),"▼",IF(AND($E43&gt;=AE$3,$E43&lt;=AE$3+6),$A43,"")))</f>
        <v/>
      </c>
      <c r="AF43" s="47" t="str">
        <f aca="false">IF($A43="","",IF(AND(INDEX(工程マスタ!$I$5:$I$154,$A43)="○",$E43&gt;=AF$3,$E43&lt;=AF$3+6),"▼",IF(AND($E43&gt;=AF$3,$E43&lt;=AF$3+6),$A43,"")))</f>
        <v/>
      </c>
      <c r="AG43" s="47" t="str">
        <f aca="false">IF($A43="","",IF(AND(INDEX(工程マスタ!$I$5:$I$154,$A43)="○",$E43&gt;=AG$3,$E43&lt;=AG$3+6),"▼",IF(AND($E43&gt;=AG$3,$E43&lt;=AG$3+6),$A43,"")))</f>
        <v/>
      </c>
      <c r="AH43" s="47" t="str">
        <f aca="false">IF($A43="","",IF(AND(INDEX(工程マスタ!$I$5:$I$154,$A43)="○",$E43&gt;=AH$3,$E43&lt;=AH$3+6),"▼",IF(AND($E43&gt;=AH$3,$E43&lt;=AH$3+6),$A43,"")))</f>
        <v/>
      </c>
      <c r="AI43" s="47" t="str">
        <f aca="false">IF($A43="","",IF(AND(INDEX(工程マスタ!$I$5:$I$154,$A43)="○",$E43&gt;=AI$3,$E43&lt;=AI$3+6),"▼",IF(AND($E43&gt;=AI$3,$E43&lt;=AI$3+6),$A43,"")))</f>
        <v/>
      </c>
      <c r="AJ43" s="47" t="str">
        <f aca="false">IF($A43="","",IF(AND(INDEX(工程マスタ!$I$5:$I$154,$A43)="○",$E43&gt;=AJ$3,$E43&lt;=AJ$3+6),"▼",IF(AND($E43&gt;=AJ$3,$E43&lt;=AJ$3+6),$A43,"")))</f>
        <v/>
      </c>
      <c r="AK43" s="47" t="str">
        <f aca="false">IF($A43="","",IF(AND(INDEX(工程マスタ!$I$5:$I$154,$A43)="○",$E43&gt;=AK$3,$E43&lt;=AK$3+6),"▼",IF(AND($E43&gt;=AK$3,$E43&lt;=AK$3+6),$A43,"")))</f>
        <v/>
      </c>
      <c r="AL43" s="47" t="str">
        <f aca="false">IF($A43="","",IF(AND(INDEX(工程マスタ!$I$5:$I$154,$A43)="○",$E43&gt;=AL$3,$E43&lt;=AL$3+6),"▼",IF(AND($E43&gt;=AL$3,$E43&lt;=AL$3+6),$A43,"")))</f>
        <v/>
      </c>
      <c r="AM43" s="47" t="str">
        <f aca="false">IF($A43="","",IF(AND(INDEX(工程マスタ!$I$5:$I$154,$A43)="○",$E43&gt;=AM$3,$E43&lt;=AM$3+6),"▼",IF(AND($E43&gt;=AM$3,$E43&lt;=AM$3+6),$A43,"")))</f>
        <v/>
      </c>
      <c r="AN43" s="47" t="str">
        <f aca="false">IF($A43="","",IF(AND(INDEX(工程マスタ!$I$5:$I$154,$A43)="○",$E43&gt;=AN$3,$E43&lt;=AN$3+6),"▼",IF(AND($E43&gt;=AN$3,$E43&lt;=AN$3+6),$A43,"")))</f>
        <v/>
      </c>
      <c r="AO43" s="47" t="str">
        <f aca="false">IF($A43="","",IF(AND(INDEX(工程マスタ!$I$5:$I$154,$A43)="○",$E43&gt;=AO$3,$E43&lt;=AO$3+6),"▼",IF(AND($E43&gt;=AO$3,$E43&lt;=AO$3+6),$A43,"")))</f>
        <v/>
      </c>
      <c r="AP43" s="47" t="str">
        <f aca="false">IF($A43="","",IF(AND(INDEX(工程マスタ!$I$5:$I$154,$A43)="○",$E43&gt;=AP$3,$E43&lt;=AP$3+6),"▼",IF(AND($E43&gt;=AP$3,$E43&lt;=AP$3+6),$A43,"")))</f>
        <v/>
      </c>
      <c r="AQ43" s="47" t="str">
        <f aca="false">IF($A43="","",IF(AND(INDEX(工程マスタ!$I$5:$I$154,$A43)="○",$E43&gt;=AQ$3,$E43&lt;=AQ$3+6),"▼",IF(AND($E43&gt;=AQ$3,$E43&lt;=AQ$3+6),$A43,"")))</f>
        <v/>
      </c>
      <c r="AR43" s="47" t="str">
        <f aca="false">IF($A43="","",IF(AND(INDEX(工程マスタ!$I$5:$I$154,$A43)="○",$E43&gt;=AR$3,$E43&lt;=AR$3+6),"▼",IF(AND($E43&gt;=AR$3,$E43&lt;=AR$3+6),$A43,"")))</f>
        <v/>
      </c>
      <c r="AS43" s="47" t="str">
        <f aca="false">IF($A43="","",IF(AND(INDEX(工程マスタ!$I$5:$I$154,$A43)="○",$E43&gt;=AS$3,$E43&lt;=AS$3+6),"▼",IF(AND($E43&gt;=AS$3,$E43&lt;=AS$3+6),$A43,"")))</f>
        <v/>
      </c>
      <c r="AT43" s="47" t="str">
        <f aca="false">IF($A43="","",IF(AND(INDEX(工程マスタ!$I$5:$I$154,$A43)="○",$E43&gt;=AT$3,$E43&lt;=AT$3+6),"▼",IF(AND($E43&gt;=AT$3,$E43&lt;=AT$3+6),$A43,"")))</f>
        <v/>
      </c>
      <c r="AU43" s="47" t="str">
        <f aca="false">IF($A43="","",IF(AND(INDEX(工程マスタ!$I$5:$I$154,$A43)="○",$E43&gt;=AU$3,$E43&lt;=AU$3+6),"▼",IF(AND($E43&gt;=AU$3,$E43&lt;=AU$3+6),$A43,"")))</f>
        <v/>
      </c>
      <c r="AV43" s="47" t="str">
        <f aca="false">IF($A43="","",IF(AND(INDEX(工程マスタ!$I$5:$I$154,$A43)="○",$E43&gt;=AV$3,$E43&lt;=AV$3+6),"▼",IF(AND($E43&gt;=AV$3,$E43&lt;=AV$3+6),$A43,"")))</f>
        <v/>
      </c>
      <c r="AW43" s="47" t="str">
        <f aca="false">IF($A43="","",IF(AND(INDEX(工程マスタ!$I$5:$I$154,$A43)="○",$E43&gt;=AW$3,$E43&lt;=AW$3+6),"▼",IF(AND($E43&gt;=AW$3,$E43&lt;=AW$3+6),$A43,"")))</f>
        <v/>
      </c>
      <c r="AX43" s="47" t="str">
        <f aca="false">IF($A43="","",IF(AND(INDEX(工程マスタ!$I$5:$I$154,$A43)="○",$E43&gt;=AX$3,$E43&lt;=AX$3+6),"▼",IF(AND($E43&gt;=AX$3,$E43&lt;=AX$3+6),$A43,"")))</f>
        <v/>
      </c>
      <c r="AY43" s="47" t="str">
        <f aca="false">IF($A43="","",IF(AND(INDEX(工程マスタ!$I$5:$I$154,$A43)="○",$E43&gt;=AY$3,$E43&lt;=AY$3+6),"▼",IF(AND($E43&gt;=AY$3,$E43&lt;=AY$3+6),$A43,"")))</f>
        <v/>
      </c>
      <c r="AZ43" s="47" t="str">
        <f aca="false">IF($A43="","",IF(AND(INDEX(工程マスタ!$I$5:$I$154,$A43)="○",$E43&gt;=AZ$3,$E43&lt;=AZ$3+6),"▼",IF(AND($E43&gt;=AZ$3,$E43&lt;=AZ$3+6),$A43,"")))</f>
        <v/>
      </c>
      <c r="BA43" s="47" t="str">
        <f aca="false">IF($A43="","",IF(AND(INDEX(工程マスタ!$I$5:$I$154,$A43)="○",$E43&gt;=BA$3,$E43&lt;=BA$3+6),"▼",IF(AND($E43&gt;=BA$3,$E43&lt;=BA$3+6),$A43,"")))</f>
        <v/>
      </c>
      <c r="BB43" s="47" t="str">
        <f aca="false">IF($A43="","",IF(AND(INDEX(工程マスタ!$I$5:$I$154,$A43)="○",$E43&gt;=BB$3,$E43&lt;=BB$3+6),"▼",IF(AND($E43&gt;=BB$3,$E43&lt;=BB$3+6),$A43,"")))</f>
        <v/>
      </c>
      <c r="BC43" s="47" t="str">
        <f aca="false">IF($A43="","",IF(AND(INDEX(工程マスタ!$I$5:$I$154,$A43)="○",$E43&gt;=BC$3,$E43&lt;=BC$3+6),"▼",IF(AND($E43&gt;=BC$3,$E43&lt;=BC$3+6),$A43,"")))</f>
        <v/>
      </c>
      <c r="BD43" s="47" t="n">
        <f aca="false">IF($A43="","",IF(AND(INDEX(工程マスタ!$I$5:$I$154,$A43)="○",$E43&gt;=BD$3,$E43&lt;=BD$3+6),"▼",IF(AND($E43&gt;=BD$3,$E43&lt;=BD$3+6),$A43,"")))</f>
        <v>37</v>
      </c>
      <c r="BE43" s="47" t="str">
        <f aca="false">IF($A43="","",IF(AND(INDEX(工程マスタ!$I$5:$I$154,$A43)="○",$E43&gt;=BE$3,$E43&lt;=BE$3+6),"▼",IF(AND($E43&gt;=BE$3,$E43&lt;=BE$3+6),$A43,"")))</f>
        <v/>
      </c>
      <c r="BF43" s="47" t="str">
        <f aca="false">IF($A43="","",IF(AND(INDEX(工程マスタ!$I$5:$I$154,$A43)="○",$E43&gt;=BF$3,$E43&lt;=BF$3+6),"▼",IF(AND($E43&gt;=BF$3,$E43&lt;=BF$3+6),$A43,"")))</f>
        <v/>
      </c>
      <c r="BG43" s="47" t="str">
        <f aca="false">IF($A43="","",IF(AND(INDEX(工程マスタ!$I$5:$I$154,$A43)="○",$E43&gt;=BG$3,$E43&lt;=BG$3+6),"▼",IF(AND($E43&gt;=BG$3,$E43&lt;=BG$3+6),$A43,"")))</f>
        <v/>
      </c>
      <c r="BH43" s="47" t="str">
        <f aca="false">IF($A43="","",IF(AND(INDEX(工程マスタ!$I$5:$I$154,$A43)="○",$E43&gt;=BH$3,$E43&lt;=BH$3+6),"▼",IF(AND($E43&gt;=BH$3,$E43&lt;=BH$3+6),$A43,"")))</f>
        <v/>
      </c>
      <c r="BI43" s="47" t="str">
        <f aca="false">IF($A43="","",IF(AND(INDEX(工程マスタ!$I$5:$I$154,$A43)="○",$E43&gt;=BI$3,$E43&lt;=BI$3+6),"▼",IF(AND($E43&gt;=BI$3,$E43&lt;=BI$3+6),$A43,"")))</f>
        <v/>
      </c>
      <c r="BJ43" s="47" t="str">
        <f aca="false">IF($A43="","",IF(AND(INDEX(工程マスタ!$I$5:$I$154,$A43)="○",$E43&gt;=BJ$3,$E43&lt;=BJ$3+6),"▼",IF(AND($E43&gt;=BJ$3,$E43&lt;=BJ$3+6),$A43,"")))</f>
        <v/>
      </c>
    </row>
    <row r="44" customFormat="false" ht="15" hidden="false" customHeight="false" outlineLevel="0" collapsed="false">
      <c r="A44" s="28" t="n">
        <f aca="false">IF(工程マスタ!$C42="","",工程マスタ!$A42)</f>
        <v>38</v>
      </c>
      <c r="B44" s="46" t="str">
        <f aca="false">IF($A44="","",工程マスタ!$C42)</f>
        <v>舗装・植栽</v>
      </c>
      <c r="C44" s="28" t="n">
        <f aca="false">IF($A44="","",MAX(1,工程マスタ!$G42))</f>
        <v>19</v>
      </c>
      <c r="D44" s="28" t="str">
        <f aca="false">IF($A44="","",_xlfn.TEXTJOIN(",",TRUE(),工程マスタ!$N42:$P42))</f>
        <v>37</v>
      </c>
      <c r="E44" s="29" t="n">
        <f aca="false">IF($A44="","",IF(COUNT(工程マスタ!$N42:$P42)=0,設定!$B$8,MAX(IF(工程マスタ!$N42="",0,INDEX($F$7:$F$156,工程マスタ!$N42)),IF(工程マスタ!$O42="",0,INDEX($F$7:$F$156,工程マスタ!$O42)),IF(工程マスタ!$P42="",0,INDEX($F$7:$F$156,工程マスタ!$P42)))+1))</f>
        <v>46541</v>
      </c>
      <c r="F44" s="29" t="n">
        <f aca="false">IF($A44="","",$E44+$C44-1)</f>
        <v>46559</v>
      </c>
      <c r="G44" s="29" t="n">
        <f aca="false">IF($A44="","",$H44-$C44+1)</f>
        <v>46599</v>
      </c>
      <c r="H44" s="29" t="n">
        <f aca="false" t="array" ref="H44:H44">IF($A44="","",IF(SUMPRODUCT((工程マスタ!$N$43:$N$154=$A44)*1)+SUMPRODUCT((工程マスタ!$O$43:$O$154=$A44)*1)+SUMPRODUCT((工程マスタ!$P$43:$P$154=$A44)*1)=0,MAX($F$7:$F$156),MIN(IF((工程マスタ!$N$43:$N$154=$A44)+(工程マスタ!$O$43:$O$154=$A44)+(工程マスタ!$P$43:$P$154=$A44),$G45:$G$156))-1))</f>
        <v>46617</v>
      </c>
      <c r="I44" s="28" t="n">
        <f aca="false">IF($A44="","",$G44-$E44)</f>
        <v>58</v>
      </c>
      <c r="J44" s="28" t="str">
        <f aca="false">IF($A44="","",IF($I44&lt;=0,"●",""))</f>
        <v/>
      </c>
      <c r="K44" s="47" t="str">
        <f aca="false">IF($A44="","",IF(AND(INDEX(工程マスタ!$I$5:$I$154,$A44)="○",$E44&gt;=K$3,$E44&lt;=K$3+6),"▼",IF(AND($E44&gt;=K$3,$E44&lt;=K$3+6),$A44,"")))</f>
        <v/>
      </c>
      <c r="L44" s="47" t="str">
        <f aca="false">IF($A44="","",IF(AND(INDEX(工程マスタ!$I$5:$I$154,$A44)="○",$E44&gt;=L$3,$E44&lt;=L$3+6),"▼",IF(AND($E44&gt;=L$3,$E44&lt;=L$3+6),$A44,"")))</f>
        <v/>
      </c>
      <c r="M44" s="47" t="str">
        <f aca="false">IF($A44="","",IF(AND(INDEX(工程マスタ!$I$5:$I$154,$A44)="○",$E44&gt;=M$3,$E44&lt;=M$3+6),"▼",IF(AND($E44&gt;=M$3,$E44&lt;=M$3+6),$A44,"")))</f>
        <v/>
      </c>
      <c r="N44" s="47" t="str">
        <f aca="false">IF($A44="","",IF(AND(INDEX(工程マスタ!$I$5:$I$154,$A44)="○",$E44&gt;=N$3,$E44&lt;=N$3+6),"▼",IF(AND($E44&gt;=N$3,$E44&lt;=N$3+6),$A44,"")))</f>
        <v/>
      </c>
      <c r="O44" s="47" t="str">
        <f aca="false">IF($A44="","",IF(AND(INDEX(工程マスタ!$I$5:$I$154,$A44)="○",$E44&gt;=O$3,$E44&lt;=O$3+6),"▼",IF(AND($E44&gt;=O$3,$E44&lt;=O$3+6),$A44,"")))</f>
        <v/>
      </c>
      <c r="P44" s="47" t="str">
        <f aca="false">IF($A44="","",IF(AND(INDEX(工程マスタ!$I$5:$I$154,$A44)="○",$E44&gt;=P$3,$E44&lt;=P$3+6),"▼",IF(AND($E44&gt;=P$3,$E44&lt;=P$3+6),$A44,"")))</f>
        <v/>
      </c>
      <c r="Q44" s="47" t="str">
        <f aca="false">IF($A44="","",IF(AND(INDEX(工程マスタ!$I$5:$I$154,$A44)="○",$E44&gt;=Q$3,$E44&lt;=Q$3+6),"▼",IF(AND($E44&gt;=Q$3,$E44&lt;=Q$3+6),$A44,"")))</f>
        <v/>
      </c>
      <c r="R44" s="47" t="str">
        <f aca="false">IF($A44="","",IF(AND(INDEX(工程マスタ!$I$5:$I$154,$A44)="○",$E44&gt;=R$3,$E44&lt;=R$3+6),"▼",IF(AND($E44&gt;=R$3,$E44&lt;=R$3+6),$A44,"")))</f>
        <v/>
      </c>
      <c r="S44" s="47" t="str">
        <f aca="false">IF($A44="","",IF(AND(INDEX(工程マスタ!$I$5:$I$154,$A44)="○",$E44&gt;=S$3,$E44&lt;=S$3+6),"▼",IF(AND($E44&gt;=S$3,$E44&lt;=S$3+6),$A44,"")))</f>
        <v/>
      </c>
      <c r="T44" s="47" t="str">
        <f aca="false">IF($A44="","",IF(AND(INDEX(工程マスタ!$I$5:$I$154,$A44)="○",$E44&gt;=T$3,$E44&lt;=T$3+6),"▼",IF(AND($E44&gt;=T$3,$E44&lt;=T$3+6),$A44,"")))</f>
        <v/>
      </c>
      <c r="U44" s="47" t="str">
        <f aca="false">IF($A44="","",IF(AND(INDEX(工程マスタ!$I$5:$I$154,$A44)="○",$E44&gt;=U$3,$E44&lt;=U$3+6),"▼",IF(AND($E44&gt;=U$3,$E44&lt;=U$3+6),$A44,"")))</f>
        <v/>
      </c>
      <c r="V44" s="47" t="str">
        <f aca="false">IF($A44="","",IF(AND(INDEX(工程マスタ!$I$5:$I$154,$A44)="○",$E44&gt;=V$3,$E44&lt;=V$3+6),"▼",IF(AND($E44&gt;=V$3,$E44&lt;=V$3+6),$A44,"")))</f>
        <v/>
      </c>
      <c r="W44" s="47" t="str">
        <f aca="false">IF($A44="","",IF(AND(INDEX(工程マスタ!$I$5:$I$154,$A44)="○",$E44&gt;=W$3,$E44&lt;=W$3+6),"▼",IF(AND($E44&gt;=W$3,$E44&lt;=W$3+6),$A44,"")))</f>
        <v/>
      </c>
      <c r="X44" s="47" t="str">
        <f aca="false">IF($A44="","",IF(AND(INDEX(工程マスタ!$I$5:$I$154,$A44)="○",$E44&gt;=X$3,$E44&lt;=X$3+6),"▼",IF(AND($E44&gt;=X$3,$E44&lt;=X$3+6),$A44,"")))</f>
        <v/>
      </c>
      <c r="Y44" s="47" t="str">
        <f aca="false">IF($A44="","",IF(AND(INDEX(工程マスタ!$I$5:$I$154,$A44)="○",$E44&gt;=Y$3,$E44&lt;=Y$3+6),"▼",IF(AND($E44&gt;=Y$3,$E44&lt;=Y$3+6),$A44,"")))</f>
        <v/>
      </c>
      <c r="Z44" s="47" t="str">
        <f aca="false">IF($A44="","",IF(AND(INDEX(工程マスタ!$I$5:$I$154,$A44)="○",$E44&gt;=Z$3,$E44&lt;=Z$3+6),"▼",IF(AND($E44&gt;=Z$3,$E44&lt;=Z$3+6),$A44,"")))</f>
        <v/>
      </c>
      <c r="AA44" s="47" t="str">
        <f aca="false">IF($A44="","",IF(AND(INDEX(工程マスタ!$I$5:$I$154,$A44)="○",$E44&gt;=AA$3,$E44&lt;=AA$3+6),"▼",IF(AND($E44&gt;=AA$3,$E44&lt;=AA$3+6),$A44,"")))</f>
        <v/>
      </c>
      <c r="AB44" s="47" t="str">
        <f aca="false">IF($A44="","",IF(AND(INDEX(工程マスタ!$I$5:$I$154,$A44)="○",$E44&gt;=AB$3,$E44&lt;=AB$3+6),"▼",IF(AND($E44&gt;=AB$3,$E44&lt;=AB$3+6),$A44,"")))</f>
        <v/>
      </c>
      <c r="AC44" s="47" t="str">
        <f aca="false">IF($A44="","",IF(AND(INDEX(工程マスタ!$I$5:$I$154,$A44)="○",$E44&gt;=AC$3,$E44&lt;=AC$3+6),"▼",IF(AND($E44&gt;=AC$3,$E44&lt;=AC$3+6),$A44,"")))</f>
        <v/>
      </c>
      <c r="AD44" s="47" t="str">
        <f aca="false">IF($A44="","",IF(AND(INDEX(工程マスタ!$I$5:$I$154,$A44)="○",$E44&gt;=AD$3,$E44&lt;=AD$3+6),"▼",IF(AND($E44&gt;=AD$3,$E44&lt;=AD$3+6),$A44,"")))</f>
        <v/>
      </c>
      <c r="AE44" s="47" t="str">
        <f aca="false">IF($A44="","",IF(AND(INDEX(工程マスタ!$I$5:$I$154,$A44)="○",$E44&gt;=AE$3,$E44&lt;=AE$3+6),"▼",IF(AND($E44&gt;=AE$3,$E44&lt;=AE$3+6),$A44,"")))</f>
        <v/>
      </c>
      <c r="AF44" s="47" t="str">
        <f aca="false">IF($A44="","",IF(AND(INDEX(工程マスタ!$I$5:$I$154,$A44)="○",$E44&gt;=AF$3,$E44&lt;=AF$3+6),"▼",IF(AND($E44&gt;=AF$3,$E44&lt;=AF$3+6),$A44,"")))</f>
        <v/>
      </c>
      <c r="AG44" s="47" t="str">
        <f aca="false">IF($A44="","",IF(AND(INDEX(工程マスタ!$I$5:$I$154,$A44)="○",$E44&gt;=AG$3,$E44&lt;=AG$3+6),"▼",IF(AND($E44&gt;=AG$3,$E44&lt;=AG$3+6),$A44,"")))</f>
        <v/>
      </c>
      <c r="AH44" s="47" t="str">
        <f aca="false">IF($A44="","",IF(AND(INDEX(工程マスタ!$I$5:$I$154,$A44)="○",$E44&gt;=AH$3,$E44&lt;=AH$3+6),"▼",IF(AND($E44&gt;=AH$3,$E44&lt;=AH$3+6),$A44,"")))</f>
        <v/>
      </c>
      <c r="AI44" s="47" t="str">
        <f aca="false">IF($A44="","",IF(AND(INDEX(工程マスタ!$I$5:$I$154,$A44)="○",$E44&gt;=AI$3,$E44&lt;=AI$3+6),"▼",IF(AND($E44&gt;=AI$3,$E44&lt;=AI$3+6),$A44,"")))</f>
        <v/>
      </c>
      <c r="AJ44" s="47" t="str">
        <f aca="false">IF($A44="","",IF(AND(INDEX(工程マスタ!$I$5:$I$154,$A44)="○",$E44&gt;=AJ$3,$E44&lt;=AJ$3+6),"▼",IF(AND($E44&gt;=AJ$3,$E44&lt;=AJ$3+6),$A44,"")))</f>
        <v/>
      </c>
      <c r="AK44" s="47" t="str">
        <f aca="false">IF($A44="","",IF(AND(INDEX(工程マスタ!$I$5:$I$154,$A44)="○",$E44&gt;=AK$3,$E44&lt;=AK$3+6),"▼",IF(AND($E44&gt;=AK$3,$E44&lt;=AK$3+6),$A44,"")))</f>
        <v/>
      </c>
      <c r="AL44" s="47" t="str">
        <f aca="false">IF($A44="","",IF(AND(INDEX(工程マスタ!$I$5:$I$154,$A44)="○",$E44&gt;=AL$3,$E44&lt;=AL$3+6),"▼",IF(AND($E44&gt;=AL$3,$E44&lt;=AL$3+6),$A44,"")))</f>
        <v/>
      </c>
      <c r="AM44" s="47" t="str">
        <f aca="false">IF($A44="","",IF(AND(INDEX(工程マスタ!$I$5:$I$154,$A44)="○",$E44&gt;=AM$3,$E44&lt;=AM$3+6),"▼",IF(AND($E44&gt;=AM$3,$E44&lt;=AM$3+6),$A44,"")))</f>
        <v/>
      </c>
      <c r="AN44" s="47" t="str">
        <f aca="false">IF($A44="","",IF(AND(INDEX(工程マスタ!$I$5:$I$154,$A44)="○",$E44&gt;=AN$3,$E44&lt;=AN$3+6),"▼",IF(AND($E44&gt;=AN$3,$E44&lt;=AN$3+6),$A44,"")))</f>
        <v/>
      </c>
      <c r="AO44" s="47" t="str">
        <f aca="false">IF($A44="","",IF(AND(INDEX(工程マスタ!$I$5:$I$154,$A44)="○",$E44&gt;=AO$3,$E44&lt;=AO$3+6),"▼",IF(AND($E44&gt;=AO$3,$E44&lt;=AO$3+6),$A44,"")))</f>
        <v/>
      </c>
      <c r="AP44" s="47" t="str">
        <f aca="false">IF($A44="","",IF(AND(INDEX(工程マスタ!$I$5:$I$154,$A44)="○",$E44&gt;=AP$3,$E44&lt;=AP$3+6),"▼",IF(AND($E44&gt;=AP$3,$E44&lt;=AP$3+6),$A44,"")))</f>
        <v/>
      </c>
      <c r="AQ44" s="47" t="str">
        <f aca="false">IF($A44="","",IF(AND(INDEX(工程マスタ!$I$5:$I$154,$A44)="○",$E44&gt;=AQ$3,$E44&lt;=AQ$3+6),"▼",IF(AND($E44&gt;=AQ$3,$E44&lt;=AQ$3+6),$A44,"")))</f>
        <v/>
      </c>
      <c r="AR44" s="47" t="str">
        <f aca="false">IF($A44="","",IF(AND(INDEX(工程マスタ!$I$5:$I$154,$A44)="○",$E44&gt;=AR$3,$E44&lt;=AR$3+6),"▼",IF(AND($E44&gt;=AR$3,$E44&lt;=AR$3+6),$A44,"")))</f>
        <v/>
      </c>
      <c r="AS44" s="47" t="str">
        <f aca="false">IF($A44="","",IF(AND(INDEX(工程マスタ!$I$5:$I$154,$A44)="○",$E44&gt;=AS$3,$E44&lt;=AS$3+6),"▼",IF(AND($E44&gt;=AS$3,$E44&lt;=AS$3+6),$A44,"")))</f>
        <v/>
      </c>
      <c r="AT44" s="47" t="str">
        <f aca="false">IF($A44="","",IF(AND(INDEX(工程マスタ!$I$5:$I$154,$A44)="○",$E44&gt;=AT$3,$E44&lt;=AT$3+6),"▼",IF(AND($E44&gt;=AT$3,$E44&lt;=AT$3+6),$A44,"")))</f>
        <v/>
      </c>
      <c r="AU44" s="47" t="str">
        <f aca="false">IF($A44="","",IF(AND(INDEX(工程マスタ!$I$5:$I$154,$A44)="○",$E44&gt;=AU$3,$E44&lt;=AU$3+6),"▼",IF(AND($E44&gt;=AU$3,$E44&lt;=AU$3+6),$A44,"")))</f>
        <v/>
      </c>
      <c r="AV44" s="47" t="str">
        <f aca="false">IF($A44="","",IF(AND(INDEX(工程マスタ!$I$5:$I$154,$A44)="○",$E44&gt;=AV$3,$E44&lt;=AV$3+6),"▼",IF(AND($E44&gt;=AV$3,$E44&lt;=AV$3+6),$A44,"")))</f>
        <v/>
      </c>
      <c r="AW44" s="47" t="str">
        <f aca="false">IF($A44="","",IF(AND(INDEX(工程マスタ!$I$5:$I$154,$A44)="○",$E44&gt;=AW$3,$E44&lt;=AW$3+6),"▼",IF(AND($E44&gt;=AW$3,$E44&lt;=AW$3+6),$A44,"")))</f>
        <v/>
      </c>
      <c r="AX44" s="47" t="str">
        <f aca="false">IF($A44="","",IF(AND(INDEX(工程マスタ!$I$5:$I$154,$A44)="○",$E44&gt;=AX$3,$E44&lt;=AX$3+6),"▼",IF(AND($E44&gt;=AX$3,$E44&lt;=AX$3+6),$A44,"")))</f>
        <v/>
      </c>
      <c r="AY44" s="47" t="str">
        <f aca="false">IF($A44="","",IF(AND(INDEX(工程マスタ!$I$5:$I$154,$A44)="○",$E44&gt;=AY$3,$E44&lt;=AY$3+6),"▼",IF(AND($E44&gt;=AY$3,$E44&lt;=AY$3+6),$A44,"")))</f>
        <v/>
      </c>
      <c r="AZ44" s="47" t="str">
        <f aca="false">IF($A44="","",IF(AND(INDEX(工程マスタ!$I$5:$I$154,$A44)="○",$E44&gt;=AZ$3,$E44&lt;=AZ$3+6),"▼",IF(AND($E44&gt;=AZ$3,$E44&lt;=AZ$3+6),$A44,"")))</f>
        <v/>
      </c>
      <c r="BA44" s="47" t="str">
        <f aca="false">IF($A44="","",IF(AND(INDEX(工程マスタ!$I$5:$I$154,$A44)="○",$E44&gt;=BA$3,$E44&lt;=BA$3+6),"▼",IF(AND($E44&gt;=BA$3,$E44&lt;=BA$3+6),$A44,"")))</f>
        <v/>
      </c>
      <c r="BB44" s="47" t="str">
        <f aca="false">IF($A44="","",IF(AND(INDEX(工程マスタ!$I$5:$I$154,$A44)="○",$E44&gt;=BB$3,$E44&lt;=BB$3+6),"▼",IF(AND($E44&gt;=BB$3,$E44&lt;=BB$3+6),$A44,"")))</f>
        <v/>
      </c>
      <c r="BC44" s="47" t="str">
        <f aca="false">IF($A44="","",IF(AND(INDEX(工程マスタ!$I$5:$I$154,$A44)="○",$E44&gt;=BC$3,$E44&lt;=BC$3+6),"▼",IF(AND($E44&gt;=BC$3,$E44&lt;=BC$3+6),$A44,"")))</f>
        <v/>
      </c>
      <c r="BD44" s="47" t="str">
        <f aca="false">IF($A44="","",IF(AND(INDEX(工程マスタ!$I$5:$I$154,$A44)="○",$E44&gt;=BD$3,$E44&lt;=BD$3+6),"▼",IF(AND($E44&gt;=BD$3,$E44&lt;=BD$3+6),$A44,"")))</f>
        <v/>
      </c>
      <c r="BE44" s="47" t="str">
        <f aca="false">IF($A44="","",IF(AND(INDEX(工程マスタ!$I$5:$I$154,$A44)="○",$E44&gt;=BE$3,$E44&lt;=BE$3+6),"▼",IF(AND($E44&gt;=BE$3,$E44&lt;=BE$3+6),$A44,"")))</f>
        <v/>
      </c>
      <c r="BF44" s="47" t="str">
        <f aca="false">IF($A44="","",IF(AND(INDEX(工程マスタ!$I$5:$I$154,$A44)="○",$E44&gt;=BF$3,$E44&lt;=BF$3+6),"▼",IF(AND($E44&gt;=BF$3,$E44&lt;=BF$3+6),$A44,"")))</f>
        <v/>
      </c>
      <c r="BG44" s="47" t="n">
        <f aca="false">IF($A44="","",IF(AND(INDEX(工程マスタ!$I$5:$I$154,$A44)="○",$E44&gt;=BG$3,$E44&lt;=BG$3+6),"▼",IF(AND($E44&gt;=BG$3,$E44&lt;=BG$3+6),$A44,"")))</f>
        <v>38</v>
      </c>
      <c r="BH44" s="47" t="str">
        <f aca="false">IF($A44="","",IF(AND(INDEX(工程マスタ!$I$5:$I$154,$A44)="○",$E44&gt;=BH$3,$E44&lt;=BH$3+6),"▼",IF(AND($E44&gt;=BH$3,$E44&lt;=BH$3+6),$A44,"")))</f>
        <v/>
      </c>
      <c r="BI44" s="47" t="str">
        <f aca="false">IF($A44="","",IF(AND(INDEX(工程マスタ!$I$5:$I$154,$A44)="○",$E44&gt;=BI$3,$E44&lt;=BI$3+6),"▼",IF(AND($E44&gt;=BI$3,$E44&lt;=BI$3+6),$A44,"")))</f>
        <v/>
      </c>
      <c r="BJ44" s="47" t="str">
        <f aca="false">IF($A44="","",IF(AND(INDEX(工程マスタ!$I$5:$I$154,$A44)="○",$E44&gt;=BJ$3,$E44&lt;=BJ$3+6),"▼",IF(AND($E44&gt;=BJ$3,$E44&lt;=BJ$3+6),$A44,"")))</f>
        <v/>
      </c>
    </row>
    <row r="45" customFormat="false" ht="15" hidden="false" customHeight="false" outlineLevel="0" collapsed="false">
      <c r="A45" s="28" t="n">
        <f aca="false">IF(工程マスタ!$C43="","",工程マスタ!$A43)</f>
        <v>39</v>
      </c>
      <c r="B45" s="46" t="str">
        <f aca="false">IF($A45="","",工程マスタ!$C43)</f>
        <v>社内検査・是正</v>
      </c>
      <c r="C45" s="28" t="n">
        <f aca="false">IF($A45="","",MAX(1,工程マスタ!$G43))</f>
        <v>10</v>
      </c>
      <c r="D45" s="28" t="str">
        <f aca="false">IF($A45="","",_xlfn.TEXTJOIN(",",TRUE(),工程マスタ!$N43:$P43))</f>
        <v>34,35,36</v>
      </c>
      <c r="E45" s="29" t="n">
        <f aca="false">IF($A45="","",IF(COUNT(工程マスタ!$N43:$P43)=0,設定!$B$8,MAX(IF(工程マスタ!$N43="",0,INDEX($F$7:$F$156,工程マスタ!$N43)),IF(工程マスタ!$O43="",0,INDEX($F$7:$F$156,工程マスタ!$O43)),IF(工程マスタ!$P43="",0,INDEX($F$7:$F$156,工程マスタ!$P43)))+1))</f>
        <v>46586</v>
      </c>
      <c r="F45" s="29" t="n">
        <f aca="false">IF($A45="","",$E45+$C45-1)</f>
        <v>46595</v>
      </c>
      <c r="G45" s="29" t="n">
        <f aca="false">IF($A45="","",$H45-$C45+1)</f>
        <v>46586</v>
      </c>
      <c r="H45" s="29" t="n">
        <f aca="false" t="array" ref="H45:H45">IF($A45="","",IF(SUMPRODUCT((工程マスタ!$N$44:$N$154=$A45)*1)+SUMPRODUCT((工程マスタ!$O$44:$O$154=$A45)*1)+SUMPRODUCT((工程マスタ!$P$44:$P$154=$A45)*1)=0,MAX($F$7:$F$156),MIN(IF((工程マスタ!$N$44:$N$154=$A45)+(工程マスタ!$O$44:$O$154=$A45)+(工程マスタ!$P$44:$P$154=$A45),$G46:$G$156))-1))</f>
        <v>46595</v>
      </c>
      <c r="I45" s="28" t="n">
        <f aca="false">IF($A45="","",$G45-$E45)</f>
        <v>0</v>
      </c>
      <c r="J45" s="28" t="str">
        <f aca="false">IF($A45="","",IF($I45&lt;=0,"●",""))</f>
        <v>●</v>
      </c>
      <c r="K45" s="47" t="str">
        <f aca="false">IF($A45="","",IF(AND(INDEX(工程マスタ!$I$5:$I$154,$A45)="○",$E45&gt;=K$3,$E45&lt;=K$3+6),"▼",IF(AND($E45&gt;=K$3,$E45&lt;=K$3+6),$A45,"")))</f>
        <v/>
      </c>
      <c r="L45" s="47" t="str">
        <f aca="false">IF($A45="","",IF(AND(INDEX(工程マスタ!$I$5:$I$154,$A45)="○",$E45&gt;=L$3,$E45&lt;=L$3+6),"▼",IF(AND($E45&gt;=L$3,$E45&lt;=L$3+6),$A45,"")))</f>
        <v/>
      </c>
      <c r="M45" s="47" t="str">
        <f aca="false">IF($A45="","",IF(AND(INDEX(工程マスタ!$I$5:$I$154,$A45)="○",$E45&gt;=M$3,$E45&lt;=M$3+6),"▼",IF(AND($E45&gt;=M$3,$E45&lt;=M$3+6),$A45,"")))</f>
        <v/>
      </c>
      <c r="N45" s="47" t="str">
        <f aca="false">IF($A45="","",IF(AND(INDEX(工程マスタ!$I$5:$I$154,$A45)="○",$E45&gt;=N$3,$E45&lt;=N$3+6),"▼",IF(AND($E45&gt;=N$3,$E45&lt;=N$3+6),$A45,"")))</f>
        <v/>
      </c>
      <c r="O45" s="47" t="str">
        <f aca="false">IF($A45="","",IF(AND(INDEX(工程マスタ!$I$5:$I$154,$A45)="○",$E45&gt;=O$3,$E45&lt;=O$3+6),"▼",IF(AND($E45&gt;=O$3,$E45&lt;=O$3+6),$A45,"")))</f>
        <v/>
      </c>
      <c r="P45" s="47" t="str">
        <f aca="false">IF($A45="","",IF(AND(INDEX(工程マスタ!$I$5:$I$154,$A45)="○",$E45&gt;=P$3,$E45&lt;=P$3+6),"▼",IF(AND($E45&gt;=P$3,$E45&lt;=P$3+6),$A45,"")))</f>
        <v/>
      </c>
      <c r="Q45" s="47" t="str">
        <f aca="false">IF($A45="","",IF(AND(INDEX(工程マスタ!$I$5:$I$154,$A45)="○",$E45&gt;=Q$3,$E45&lt;=Q$3+6),"▼",IF(AND($E45&gt;=Q$3,$E45&lt;=Q$3+6),$A45,"")))</f>
        <v/>
      </c>
      <c r="R45" s="47" t="str">
        <f aca="false">IF($A45="","",IF(AND(INDEX(工程マスタ!$I$5:$I$154,$A45)="○",$E45&gt;=R$3,$E45&lt;=R$3+6),"▼",IF(AND($E45&gt;=R$3,$E45&lt;=R$3+6),$A45,"")))</f>
        <v/>
      </c>
      <c r="S45" s="47" t="str">
        <f aca="false">IF($A45="","",IF(AND(INDEX(工程マスタ!$I$5:$I$154,$A45)="○",$E45&gt;=S$3,$E45&lt;=S$3+6),"▼",IF(AND($E45&gt;=S$3,$E45&lt;=S$3+6),$A45,"")))</f>
        <v/>
      </c>
      <c r="T45" s="47" t="str">
        <f aca="false">IF($A45="","",IF(AND(INDEX(工程マスタ!$I$5:$I$154,$A45)="○",$E45&gt;=T$3,$E45&lt;=T$3+6),"▼",IF(AND($E45&gt;=T$3,$E45&lt;=T$3+6),$A45,"")))</f>
        <v/>
      </c>
      <c r="U45" s="47" t="str">
        <f aca="false">IF($A45="","",IF(AND(INDEX(工程マスタ!$I$5:$I$154,$A45)="○",$E45&gt;=U$3,$E45&lt;=U$3+6),"▼",IF(AND($E45&gt;=U$3,$E45&lt;=U$3+6),$A45,"")))</f>
        <v/>
      </c>
      <c r="V45" s="47" t="str">
        <f aca="false">IF($A45="","",IF(AND(INDEX(工程マスタ!$I$5:$I$154,$A45)="○",$E45&gt;=V$3,$E45&lt;=V$3+6),"▼",IF(AND($E45&gt;=V$3,$E45&lt;=V$3+6),$A45,"")))</f>
        <v/>
      </c>
      <c r="W45" s="47" t="str">
        <f aca="false">IF($A45="","",IF(AND(INDEX(工程マスタ!$I$5:$I$154,$A45)="○",$E45&gt;=W$3,$E45&lt;=W$3+6),"▼",IF(AND($E45&gt;=W$3,$E45&lt;=W$3+6),$A45,"")))</f>
        <v/>
      </c>
      <c r="X45" s="47" t="str">
        <f aca="false">IF($A45="","",IF(AND(INDEX(工程マスタ!$I$5:$I$154,$A45)="○",$E45&gt;=X$3,$E45&lt;=X$3+6),"▼",IF(AND($E45&gt;=X$3,$E45&lt;=X$3+6),$A45,"")))</f>
        <v/>
      </c>
      <c r="Y45" s="47" t="str">
        <f aca="false">IF($A45="","",IF(AND(INDEX(工程マスタ!$I$5:$I$154,$A45)="○",$E45&gt;=Y$3,$E45&lt;=Y$3+6),"▼",IF(AND($E45&gt;=Y$3,$E45&lt;=Y$3+6),$A45,"")))</f>
        <v/>
      </c>
      <c r="Z45" s="47" t="str">
        <f aca="false">IF($A45="","",IF(AND(INDEX(工程マスタ!$I$5:$I$154,$A45)="○",$E45&gt;=Z$3,$E45&lt;=Z$3+6),"▼",IF(AND($E45&gt;=Z$3,$E45&lt;=Z$3+6),$A45,"")))</f>
        <v/>
      </c>
      <c r="AA45" s="47" t="str">
        <f aca="false">IF($A45="","",IF(AND(INDEX(工程マスタ!$I$5:$I$154,$A45)="○",$E45&gt;=AA$3,$E45&lt;=AA$3+6),"▼",IF(AND($E45&gt;=AA$3,$E45&lt;=AA$3+6),$A45,"")))</f>
        <v/>
      </c>
      <c r="AB45" s="47" t="str">
        <f aca="false">IF($A45="","",IF(AND(INDEX(工程マスタ!$I$5:$I$154,$A45)="○",$E45&gt;=AB$3,$E45&lt;=AB$3+6),"▼",IF(AND($E45&gt;=AB$3,$E45&lt;=AB$3+6),$A45,"")))</f>
        <v/>
      </c>
      <c r="AC45" s="47" t="str">
        <f aca="false">IF($A45="","",IF(AND(INDEX(工程マスタ!$I$5:$I$154,$A45)="○",$E45&gt;=AC$3,$E45&lt;=AC$3+6),"▼",IF(AND($E45&gt;=AC$3,$E45&lt;=AC$3+6),$A45,"")))</f>
        <v/>
      </c>
      <c r="AD45" s="47" t="str">
        <f aca="false">IF($A45="","",IF(AND(INDEX(工程マスタ!$I$5:$I$154,$A45)="○",$E45&gt;=AD$3,$E45&lt;=AD$3+6),"▼",IF(AND($E45&gt;=AD$3,$E45&lt;=AD$3+6),$A45,"")))</f>
        <v/>
      </c>
      <c r="AE45" s="47" t="str">
        <f aca="false">IF($A45="","",IF(AND(INDEX(工程マスタ!$I$5:$I$154,$A45)="○",$E45&gt;=AE$3,$E45&lt;=AE$3+6),"▼",IF(AND($E45&gt;=AE$3,$E45&lt;=AE$3+6),$A45,"")))</f>
        <v/>
      </c>
      <c r="AF45" s="47" t="str">
        <f aca="false">IF($A45="","",IF(AND(INDEX(工程マスタ!$I$5:$I$154,$A45)="○",$E45&gt;=AF$3,$E45&lt;=AF$3+6),"▼",IF(AND($E45&gt;=AF$3,$E45&lt;=AF$3+6),$A45,"")))</f>
        <v/>
      </c>
      <c r="AG45" s="47" t="str">
        <f aca="false">IF($A45="","",IF(AND(INDEX(工程マスタ!$I$5:$I$154,$A45)="○",$E45&gt;=AG$3,$E45&lt;=AG$3+6),"▼",IF(AND($E45&gt;=AG$3,$E45&lt;=AG$3+6),$A45,"")))</f>
        <v/>
      </c>
      <c r="AH45" s="47" t="str">
        <f aca="false">IF($A45="","",IF(AND(INDEX(工程マスタ!$I$5:$I$154,$A45)="○",$E45&gt;=AH$3,$E45&lt;=AH$3+6),"▼",IF(AND($E45&gt;=AH$3,$E45&lt;=AH$3+6),$A45,"")))</f>
        <v/>
      </c>
      <c r="AI45" s="47" t="str">
        <f aca="false">IF($A45="","",IF(AND(INDEX(工程マスタ!$I$5:$I$154,$A45)="○",$E45&gt;=AI$3,$E45&lt;=AI$3+6),"▼",IF(AND($E45&gt;=AI$3,$E45&lt;=AI$3+6),$A45,"")))</f>
        <v/>
      </c>
      <c r="AJ45" s="47" t="str">
        <f aca="false">IF($A45="","",IF(AND(INDEX(工程マスタ!$I$5:$I$154,$A45)="○",$E45&gt;=AJ$3,$E45&lt;=AJ$3+6),"▼",IF(AND($E45&gt;=AJ$3,$E45&lt;=AJ$3+6),$A45,"")))</f>
        <v/>
      </c>
      <c r="AK45" s="47" t="str">
        <f aca="false">IF($A45="","",IF(AND(INDEX(工程マスタ!$I$5:$I$154,$A45)="○",$E45&gt;=AK$3,$E45&lt;=AK$3+6),"▼",IF(AND($E45&gt;=AK$3,$E45&lt;=AK$3+6),$A45,"")))</f>
        <v/>
      </c>
      <c r="AL45" s="47" t="str">
        <f aca="false">IF($A45="","",IF(AND(INDEX(工程マスタ!$I$5:$I$154,$A45)="○",$E45&gt;=AL$3,$E45&lt;=AL$3+6),"▼",IF(AND($E45&gt;=AL$3,$E45&lt;=AL$3+6),$A45,"")))</f>
        <v/>
      </c>
      <c r="AM45" s="47" t="str">
        <f aca="false">IF($A45="","",IF(AND(INDEX(工程マスタ!$I$5:$I$154,$A45)="○",$E45&gt;=AM$3,$E45&lt;=AM$3+6),"▼",IF(AND($E45&gt;=AM$3,$E45&lt;=AM$3+6),$A45,"")))</f>
        <v/>
      </c>
      <c r="AN45" s="47" t="str">
        <f aca="false">IF($A45="","",IF(AND(INDEX(工程マスタ!$I$5:$I$154,$A45)="○",$E45&gt;=AN$3,$E45&lt;=AN$3+6),"▼",IF(AND($E45&gt;=AN$3,$E45&lt;=AN$3+6),$A45,"")))</f>
        <v/>
      </c>
      <c r="AO45" s="47" t="str">
        <f aca="false">IF($A45="","",IF(AND(INDEX(工程マスタ!$I$5:$I$154,$A45)="○",$E45&gt;=AO$3,$E45&lt;=AO$3+6),"▼",IF(AND($E45&gt;=AO$3,$E45&lt;=AO$3+6),$A45,"")))</f>
        <v/>
      </c>
      <c r="AP45" s="47" t="str">
        <f aca="false">IF($A45="","",IF(AND(INDEX(工程マスタ!$I$5:$I$154,$A45)="○",$E45&gt;=AP$3,$E45&lt;=AP$3+6),"▼",IF(AND($E45&gt;=AP$3,$E45&lt;=AP$3+6),$A45,"")))</f>
        <v/>
      </c>
      <c r="AQ45" s="47" t="str">
        <f aca="false">IF($A45="","",IF(AND(INDEX(工程マスタ!$I$5:$I$154,$A45)="○",$E45&gt;=AQ$3,$E45&lt;=AQ$3+6),"▼",IF(AND($E45&gt;=AQ$3,$E45&lt;=AQ$3+6),$A45,"")))</f>
        <v/>
      </c>
      <c r="AR45" s="47" t="str">
        <f aca="false">IF($A45="","",IF(AND(INDEX(工程マスタ!$I$5:$I$154,$A45)="○",$E45&gt;=AR$3,$E45&lt;=AR$3+6),"▼",IF(AND($E45&gt;=AR$3,$E45&lt;=AR$3+6),$A45,"")))</f>
        <v/>
      </c>
      <c r="AS45" s="47" t="str">
        <f aca="false">IF($A45="","",IF(AND(INDEX(工程マスタ!$I$5:$I$154,$A45)="○",$E45&gt;=AS$3,$E45&lt;=AS$3+6),"▼",IF(AND($E45&gt;=AS$3,$E45&lt;=AS$3+6),$A45,"")))</f>
        <v/>
      </c>
      <c r="AT45" s="47" t="str">
        <f aca="false">IF($A45="","",IF(AND(INDEX(工程マスタ!$I$5:$I$154,$A45)="○",$E45&gt;=AT$3,$E45&lt;=AT$3+6),"▼",IF(AND($E45&gt;=AT$3,$E45&lt;=AT$3+6),$A45,"")))</f>
        <v/>
      </c>
      <c r="AU45" s="47" t="str">
        <f aca="false">IF($A45="","",IF(AND(INDEX(工程マスタ!$I$5:$I$154,$A45)="○",$E45&gt;=AU$3,$E45&lt;=AU$3+6),"▼",IF(AND($E45&gt;=AU$3,$E45&lt;=AU$3+6),$A45,"")))</f>
        <v/>
      </c>
      <c r="AV45" s="47" t="str">
        <f aca="false">IF($A45="","",IF(AND(INDEX(工程マスタ!$I$5:$I$154,$A45)="○",$E45&gt;=AV$3,$E45&lt;=AV$3+6),"▼",IF(AND($E45&gt;=AV$3,$E45&lt;=AV$3+6),$A45,"")))</f>
        <v/>
      </c>
      <c r="AW45" s="47" t="str">
        <f aca="false">IF($A45="","",IF(AND(INDEX(工程マスタ!$I$5:$I$154,$A45)="○",$E45&gt;=AW$3,$E45&lt;=AW$3+6),"▼",IF(AND($E45&gt;=AW$3,$E45&lt;=AW$3+6),$A45,"")))</f>
        <v/>
      </c>
      <c r="AX45" s="47" t="str">
        <f aca="false">IF($A45="","",IF(AND(INDEX(工程マスタ!$I$5:$I$154,$A45)="○",$E45&gt;=AX$3,$E45&lt;=AX$3+6),"▼",IF(AND($E45&gt;=AX$3,$E45&lt;=AX$3+6),$A45,"")))</f>
        <v/>
      </c>
      <c r="AY45" s="47" t="str">
        <f aca="false">IF($A45="","",IF(AND(INDEX(工程マスタ!$I$5:$I$154,$A45)="○",$E45&gt;=AY$3,$E45&lt;=AY$3+6),"▼",IF(AND($E45&gt;=AY$3,$E45&lt;=AY$3+6),$A45,"")))</f>
        <v/>
      </c>
      <c r="AZ45" s="47" t="str">
        <f aca="false">IF($A45="","",IF(AND(INDEX(工程マスタ!$I$5:$I$154,$A45)="○",$E45&gt;=AZ$3,$E45&lt;=AZ$3+6),"▼",IF(AND($E45&gt;=AZ$3,$E45&lt;=AZ$3+6),$A45,"")))</f>
        <v/>
      </c>
      <c r="BA45" s="47" t="str">
        <f aca="false">IF($A45="","",IF(AND(INDEX(工程マスタ!$I$5:$I$154,$A45)="○",$E45&gt;=BA$3,$E45&lt;=BA$3+6),"▼",IF(AND($E45&gt;=BA$3,$E45&lt;=BA$3+6),$A45,"")))</f>
        <v/>
      </c>
      <c r="BB45" s="47" t="str">
        <f aca="false">IF($A45="","",IF(AND(INDEX(工程マスタ!$I$5:$I$154,$A45)="○",$E45&gt;=BB$3,$E45&lt;=BB$3+6),"▼",IF(AND($E45&gt;=BB$3,$E45&lt;=BB$3+6),$A45,"")))</f>
        <v/>
      </c>
      <c r="BC45" s="47" t="str">
        <f aca="false">IF($A45="","",IF(AND(INDEX(工程マスタ!$I$5:$I$154,$A45)="○",$E45&gt;=BC$3,$E45&lt;=BC$3+6),"▼",IF(AND($E45&gt;=BC$3,$E45&lt;=BC$3+6),$A45,"")))</f>
        <v/>
      </c>
      <c r="BD45" s="47" t="str">
        <f aca="false">IF($A45="","",IF(AND(INDEX(工程マスタ!$I$5:$I$154,$A45)="○",$E45&gt;=BD$3,$E45&lt;=BD$3+6),"▼",IF(AND($E45&gt;=BD$3,$E45&lt;=BD$3+6),$A45,"")))</f>
        <v/>
      </c>
      <c r="BE45" s="47" t="str">
        <f aca="false">IF($A45="","",IF(AND(INDEX(工程マスタ!$I$5:$I$154,$A45)="○",$E45&gt;=BE$3,$E45&lt;=BE$3+6),"▼",IF(AND($E45&gt;=BE$3,$E45&lt;=BE$3+6),$A45,"")))</f>
        <v/>
      </c>
      <c r="BF45" s="47" t="str">
        <f aca="false">IF($A45="","",IF(AND(INDEX(工程マスタ!$I$5:$I$154,$A45)="○",$E45&gt;=BF$3,$E45&lt;=BF$3+6),"▼",IF(AND($E45&gt;=BF$3,$E45&lt;=BF$3+6),$A45,"")))</f>
        <v/>
      </c>
      <c r="BG45" s="47" t="str">
        <f aca="false">IF($A45="","",IF(AND(INDEX(工程マスタ!$I$5:$I$154,$A45)="○",$E45&gt;=BG$3,$E45&lt;=BG$3+6),"▼",IF(AND($E45&gt;=BG$3,$E45&lt;=BG$3+6),$A45,"")))</f>
        <v/>
      </c>
      <c r="BH45" s="47" t="str">
        <f aca="false">IF($A45="","",IF(AND(INDEX(工程マスタ!$I$5:$I$154,$A45)="○",$E45&gt;=BH$3,$E45&lt;=BH$3+6),"▼",IF(AND($E45&gt;=BH$3,$E45&lt;=BH$3+6),$A45,"")))</f>
        <v/>
      </c>
      <c r="BI45" s="47" t="str">
        <f aca="false">IF($A45="","",IF(AND(INDEX(工程マスタ!$I$5:$I$154,$A45)="○",$E45&gt;=BI$3,$E45&lt;=BI$3+6),"▼",IF(AND($E45&gt;=BI$3,$E45&lt;=BI$3+6),$A45,"")))</f>
        <v/>
      </c>
      <c r="BJ45" s="47" t="str">
        <f aca="false">IF($A45="","",IF(AND(INDEX(工程マスタ!$I$5:$I$154,$A45)="○",$E45&gt;=BJ$3,$E45&lt;=BJ$3+6),"▼",IF(AND($E45&gt;=BJ$3,$E45&lt;=BJ$3+6),$A45,"")))</f>
        <v/>
      </c>
    </row>
    <row r="46" customFormat="false" ht="15" hidden="false" customHeight="false" outlineLevel="0" collapsed="false">
      <c r="A46" s="28" t="n">
        <f aca="false">IF(工程マスタ!$C44="","",工程マスタ!$A44)</f>
        <v>40</v>
      </c>
      <c r="B46" s="46" t="str">
        <f aca="false">IF($A46="","",工程マスタ!$C44)</f>
        <v>消防・完了検査</v>
      </c>
      <c r="C46" s="28" t="n">
        <f aca="false">IF($A46="","",MAX(1,工程マスタ!$G44))</f>
        <v>1</v>
      </c>
      <c r="D46" s="28" t="str">
        <f aca="false">IF($A46="","",_xlfn.TEXTJOIN(",",TRUE(),工程マスタ!$N44:$P44))</f>
        <v>39</v>
      </c>
      <c r="E46" s="29" t="n">
        <f aca="false">IF($A46="","",IF(COUNT(工程マスタ!$N44:$P44)=0,設定!$B$8,MAX(IF(工程マスタ!$N44="",0,INDEX($F$7:$F$156,工程マスタ!$N44)),IF(工程マスタ!$O44="",0,INDEX($F$7:$F$156,工程マスタ!$O44)),IF(工程マスタ!$P44="",0,INDEX($F$7:$F$156,工程マスタ!$P44)))+1))</f>
        <v>46596</v>
      </c>
      <c r="F46" s="29" t="n">
        <f aca="false">IF($A46="","",$E46+$C46-1)</f>
        <v>46596</v>
      </c>
      <c r="G46" s="29" t="n">
        <f aca="false">IF($A46="","",$H46-$C46+1)</f>
        <v>46605</v>
      </c>
      <c r="H46" s="29" t="n">
        <f aca="false" t="array" ref="H46:H46">IF($A46="","",IF(SUMPRODUCT((工程マスタ!$N$45:$N$154=$A46)*1)+SUMPRODUCT((工程マスタ!$O$45:$O$154=$A46)*1)+SUMPRODUCT((工程マスタ!$P$45:$P$154=$A46)*1)=0,MAX($F$7:$F$156),MIN(IF((工程マスタ!$N$45:$N$154=$A46)+(工程マスタ!$O$45:$O$154=$A46)+(工程マスタ!$P$45:$P$154=$A46),$G47:$G$156))-1))</f>
        <v>46605</v>
      </c>
      <c r="I46" s="28" t="n">
        <f aca="false">IF($A46="","",$G46-$E46)</f>
        <v>9</v>
      </c>
      <c r="J46" s="28" t="str">
        <f aca="false">IF($A46="","",IF($I46&lt;=0,"●",""))</f>
        <v/>
      </c>
      <c r="K46" s="47" t="str">
        <f aca="false">IF($A46="","",IF(AND(INDEX(工程マスタ!$I$5:$I$154,$A46)="○",$E46&gt;=K$3,$E46&lt;=K$3+6),"▼",IF(AND($E46&gt;=K$3,$E46&lt;=K$3+6),$A46,"")))</f>
        <v/>
      </c>
      <c r="L46" s="47" t="str">
        <f aca="false">IF($A46="","",IF(AND(INDEX(工程マスタ!$I$5:$I$154,$A46)="○",$E46&gt;=L$3,$E46&lt;=L$3+6),"▼",IF(AND($E46&gt;=L$3,$E46&lt;=L$3+6),$A46,"")))</f>
        <v/>
      </c>
      <c r="M46" s="47" t="str">
        <f aca="false">IF($A46="","",IF(AND(INDEX(工程マスタ!$I$5:$I$154,$A46)="○",$E46&gt;=M$3,$E46&lt;=M$3+6),"▼",IF(AND($E46&gt;=M$3,$E46&lt;=M$3+6),$A46,"")))</f>
        <v/>
      </c>
      <c r="N46" s="47" t="str">
        <f aca="false">IF($A46="","",IF(AND(INDEX(工程マスタ!$I$5:$I$154,$A46)="○",$E46&gt;=N$3,$E46&lt;=N$3+6),"▼",IF(AND($E46&gt;=N$3,$E46&lt;=N$3+6),$A46,"")))</f>
        <v/>
      </c>
      <c r="O46" s="47" t="str">
        <f aca="false">IF($A46="","",IF(AND(INDEX(工程マスタ!$I$5:$I$154,$A46)="○",$E46&gt;=O$3,$E46&lt;=O$3+6),"▼",IF(AND($E46&gt;=O$3,$E46&lt;=O$3+6),$A46,"")))</f>
        <v/>
      </c>
      <c r="P46" s="47" t="str">
        <f aca="false">IF($A46="","",IF(AND(INDEX(工程マスタ!$I$5:$I$154,$A46)="○",$E46&gt;=P$3,$E46&lt;=P$3+6),"▼",IF(AND($E46&gt;=P$3,$E46&lt;=P$3+6),$A46,"")))</f>
        <v/>
      </c>
      <c r="Q46" s="47" t="str">
        <f aca="false">IF($A46="","",IF(AND(INDEX(工程マスタ!$I$5:$I$154,$A46)="○",$E46&gt;=Q$3,$E46&lt;=Q$3+6),"▼",IF(AND($E46&gt;=Q$3,$E46&lt;=Q$3+6),$A46,"")))</f>
        <v/>
      </c>
      <c r="R46" s="47" t="str">
        <f aca="false">IF($A46="","",IF(AND(INDEX(工程マスタ!$I$5:$I$154,$A46)="○",$E46&gt;=R$3,$E46&lt;=R$3+6),"▼",IF(AND($E46&gt;=R$3,$E46&lt;=R$3+6),$A46,"")))</f>
        <v/>
      </c>
      <c r="S46" s="47" t="str">
        <f aca="false">IF($A46="","",IF(AND(INDEX(工程マスタ!$I$5:$I$154,$A46)="○",$E46&gt;=S$3,$E46&lt;=S$3+6),"▼",IF(AND($E46&gt;=S$3,$E46&lt;=S$3+6),$A46,"")))</f>
        <v/>
      </c>
      <c r="T46" s="47" t="str">
        <f aca="false">IF($A46="","",IF(AND(INDEX(工程マスタ!$I$5:$I$154,$A46)="○",$E46&gt;=T$3,$E46&lt;=T$3+6),"▼",IF(AND($E46&gt;=T$3,$E46&lt;=T$3+6),$A46,"")))</f>
        <v/>
      </c>
      <c r="U46" s="47" t="str">
        <f aca="false">IF($A46="","",IF(AND(INDEX(工程マスタ!$I$5:$I$154,$A46)="○",$E46&gt;=U$3,$E46&lt;=U$3+6),"▼",IF(AND($E46&gt;=U$3,$E46&lt;=U$3+6),$A46,"")))</f>
        <v/>
      </c>
      <c r="V46" s="47" t="str">
        <f aca="false">IF($A46="","",IF(AND(INDEX(工程マスタ!$I$5:$I$154,$A46)="○",$E46&gt;=V$3,$E46&lt;=V$3+6),"▼",IF(AND($E46&gt;=V$3,$E46&lt;=V$3+6),$A46,"")))</f>
        <v/>
      </c>
      <c r="W46" s="47" t="str">
        <f aca="false">IF($A46="","",IF(AND(INDEX(工程マスタ!$I$5:$I$154,$A46)="○",$E46&gt;=W$3,$E46&lt;=W$3+6),"▼",IF(AND($E46&gt;=W$3,$E46&lt;=W$3+6),$A46,"")))</f>
        <v/>
      </c>
      <c r="X46" s="47" t="str">
        <f aca="false">IF($A46="","",IF(AND(INDEX(工程マスタ!$I$5:$I$154,$A46)="○",$E46&gt;=X$3,$E46&lt;=X$3+6),"▼",IF(AND($E46&gt;=X$3,$E46&lt;=X$3+6),$A46,"")))</f>
        <v/>
      </c>
      <c r="Y46" s="47" t="str">
        <f aca="false">IF($A46="","",IF(AND(INDEX(工程マスタ!$I$5:$I$154,$A46)="○",$E46&gt;=Y$3,$E46&lt;=Y$3+6),"▼",IF(AND($E46&gt;=Y$3,$E46&lt;=Y$3+6),$A46,"")))</f>
        <v/>
      </c>
      <c r="Z46" s="47" t="str">
        <f aca="false">IF($A46="","",IF(AND(INDEX(工程マスタ!$I$5:$I$154,$A46)="○",$E46&gt;=Z$3,$E46&lt;=Z$3+6),"▼",IF(AND($E46&gt;=Z$3,$E46&lt;=Z$3+6),$A46,"")))</f>
        <v/>
      </c>
      <c r="AA46" s="47" t="str">
        <f aca="false">IF($A46="","",IF(AND(INDEX(工程マスタ!$I$5:$I$154,$A46)="○",$E46&gt;=AA$3,$E46&lt;=AA$3+6),"▼",IF(AND($E46&gt;=AA$3,$E46&lt;=AA$3+6),$A46,"")))</f>
        <v/>
      </c>
      <c r="AB46" s="47" t="str">
        <f aca="false">IF($A46="","",IF(AND(INDEX(工程マスタ!$I$5:$I$154,$A46)="○",$E46&gt;=AB$3,$E46&lt;=AB$3+6),"▼",IF(AND($E46&gt;=AB$3,$E46&lt;=AB$3+6),$A46,"")))</f>
        <v/>
      </c>
      <c r="AC46" s="47" t="str">
        <f aca="false">IF($A46="","",IF(AND(INDEX(工程マスタ!$I$5:$I$154,$A46)="○",$E46&gt;=AC$3,$E46&lt;=AC$3+6),"▼",IF(AND($E46&gt;=AC$3,$E46&lt;=AC$3+6),$A46,"")))</f>
        <v/>
      </c>
      <c r="AD46" s="47" t="str">
        <f aca="false">IF($A46="","",IF(AND(INDEX(工程マスタ!$I$5:$I$154,$A46)="○",$E46&gt;=AD$3,$E46&lt;=AD$3+6),"▼",IF(AND($E46&gt;=AD$3,$E46&lt;=AD$3+6),$A46,"")))</f>
        <v/>
      </c>
      <c r="AE46" s="47" t="str">
        <f aca="false">IF($A46="","",IF(AND(INDEX(工程マスタ!$I$5:$I$154,$A46)="○",$E46&gt;=AE$3,$E46&lt;=AE$3+6),"▼",IF(AND($E46&gt;=AE$3,$E46&lt;=AE$3+6),$A46,"")))</f>
        <v/>
      </c>
      <c r="AF46" s="47" t="str">
        <f aca="false">IF($A46="","",IF(AND(INDEX(工程マスタ!$I$5:$I$154,$A46)="○",$E46&gt;=AF$3,$E46&lt;=AF$3+6),"▼",IF(AND($E46&gt;=AF$3,$E46&lt;=AF$3+6),$A46,"")))</f>
        <v/>
      </c>
      <c r="AG46" s="47" t="str">
        <f aca="false">IF($A46="","",IF(AND(INDEX(工程マスタ!$I$5:$I$154,$A46)="○",$E46&gt;=AG$3,$E46&lt;=AG$3+6),"▼",IF(AND($E46&gt;=AG$3,$E46&lt;=AG$3+6),$A46,"")))</f>
        <v/>
      </c>
      <c r="AH46" s="47" t="str">
        <f aca="false">IF($A46="","",IF(AND(INDEX(工程マスタ!$I$5:$I$154,$A46)="○",$E46&gt;=AH$3,$E46&lt;=AH$3+6),"▼",IF(AND($E46&gt;=AH$3,$E46&lt;=AH$3+6),$A46,"")))</f>
        <v/>
      </c>
      <c r="AI46" s="47" t="str">
        <f aca="false">IF($A46="","",IF(AND(INDEX(工程マスタ!$I$5:$I$154,$A46)="○",$E46&gt;=AI$3,$E46&lt;=AI$3+6),"▼",IF(AND($E46&gt;=AI$3,$E46&lt;=AI$3+6),$A46,"")))</f>
        <v/>
      </c>
      <c r="AJ46" s="47" t="str">
        <f aca="false">IF($A46="","",IF(AND(INDEX(工程マスタ!$I$5:$I$154,$A46)="○",$E46&gt;=AJ$3,$E46&lt;=AJ$3+6),"▼",IF(AND($E46&gt;=AJ$3,$E46&lt;=AJ$3+6),$A46,"")))</f>
        <v/>
      </c>
      <c r="AK46" s="47" t="str">
        <f aca="false">IF($A46="","",IF(AND(INDEX(工程マスタ!$I$5:$I$154,$A46)="○",$E46&gt;=AK$3,$E46&lt;=AK$3+6),"▼",IF(AND($E46&gt;=AK$3,$E46&lt;=AK$3+6),$A46,"")))</f>
        <v/>
      </c>
      <c r="AL46" s="47" t="str">
        <f aca="false">IF($A46="","",IF(AND(INDEX(工程マスタ!$I$5:$I$154,$A46)="○",$E46&gt;=AL$3,$E46&lt;=AL$3+6),"▼",IF(AND($E46&gt;=AL$3,$E46&lt;=AL$3+6),$A46,"")))</f>
        <v/>
      </c>
      <c r="AM46" s="47" t="str">
        <f aca="false">IF($A46="","",IF(AND(INDEX(工程マスタ!$I$5:$I$154,$A46)="○",$E46&gt;=AM$3,$E46&lt;=AM$3+6),"▼",IF(AND($E46&gt;=AM$3,$E46&lt;=AM$3+6),$A46,"")))</f>
        <v/>
      </c>
      <c r="AN46" s="47" t="str">
        <f aca="false">IF($A46="","",IF(AND(INDEX(工程マスタ!$I$5:$I$154,$A46)="○",$E46&gt;=AN$3,$E46&lt;=AN$3+6),"▼",IF(AND($E46&gt;=AN$3,$E46&lt;=AN$3+6),$A46,"")))</f>
        <v/>
      </c>
      <c r="AO46" s="47" t="str">
        <f aca="false">IF($A46="","",IF(AND(INDEX(工程マスタ!$I$5:$I$154,$A46)="○",$E46&gt;=AO$3,$E46&lt;=AO$3+6),"▼",IF(AND($E46&gt;=AO$3,$E46&lt;=AO$3+6),$A46,"")))</f>
        <v/>
      </c>
      <c r="AP46" s="47" t="str">
        <f aca="false">IF($A46="","",IF(AND(INDEX(工程マスタ!$I$5:$I$154,$A46)="○",$E46&gt;=AP$3,$E46&lt;=AP$3+6),"▼",IF(AND($E46&gt;=AP$3,$E46&lt;=AP$3+6),$A46,"")))</f>
        <v/>
      </c>
      <c r="AQ46" s="47" t="str">
        <f aca="false">IF($A46="","",IF(AND(INDEX(工程マスタ!$I$5:$I$154,$A46)="○",$E46&gt;=AQ$3,$E46&lt;=AQ$3+6),"▼",IF(AND($E46&gt;=AQ$3,$E46&lt;=AQ$3+6),$A46,"")))</f>
        <v/>
      </c>
      <c r="AR46" s="47" t="str">
        <f aca="false">IF($A46="","",IF(AND(INDEX(工程マスタ!$I$5:$I$154,$A46)="○",$E46&gt;=AR$3,$E46&lt;=AR$3+6),"▼",IF(AND($E46&gt;=AR$3,$E46&lt;=AR$3+6),$A46,"")))</f>
        <v/>
      </c>
      <c r="AS46" s="47" t="str">
        <f aca="false">IF($A46="","",IF(AND(INDEX(工程マスタ!$I$5:$I$154,$A46)="○",$E46&gt;=AS$3,$E46&lt;=AS$3+6),"▼",IF(AND($E46&gt;=AS$3,$E46&lt;=AS$3+6),$A46,"")))</f>
        <v/>
      </c>
      <c r="AT46" s="47" t="str">
        <f aca="false">IF($A46="","",IF(AND(INDEX(工程マスタ!$I$5:$I$154,$A46)="○",$E46&gt;=AT$3,$E46&lt;=AT$3+6),"▼",IF(AND($E46&gt;=AT$3,$E46&lt;=AT$3+6),$A46,"")))</f>
        <v/>
      </c>
      <c r="AU46" s="47" t="str">
        <f aca="false">IF($A46="","",IF(AND(INDEX(工程マスタ!$I$5:$I$154,$A46)="○",$E46&gt;=AU$3,$E46&lt;=AU$3+6),"▼",IF(AND($E46&gt;=AU$3,$E46&lt;=AU$3+6),$A46,"")))</f>
        <v/>
      </c>
      <c r="AV46" s="47" t="str">
        <f aca="false">IF($A46="","",IF(AND(INDEX(工程マスタ!$I$5:$I$154,$A46)="○",$E46&gt;=AV$3,$E46&lt;=AV$3+6),"▼",IF(AND($E46&gt;=AV$3,$E46&lt;=AV$3+6),$A46,"")))</f>
        <v/>
      </c>
      <c r="AW46" s="47" t="str">
        <f aca="false">IF($A46="","",IF(AND(INDEX(工程マスタ!$I$5:$I$154,$A46)="○",$E46&gt;=AW$3,$E46&lt;=AW$3+6),"▼",IF(AND($E46&gt;=AW$3,$E46&lt;=AW$3+6),$A46,"")))</f>
        <v/>
      </c>
      <c r="AX46" s="47" t="str">
        <f aca="false">IF($A46="","",IF(AND(INDEX(工程マスタ!$I$5:$I$154,$A46)="○",$E46&gt;=AX$3,$E46&lt;=AX$3+6),"▼",IF(AND($E46&gt;=AX$3,$E46&lt;=AX$3+6),$A46,"")))</f>
        <v/>
      </c>
      <c r="AY46" s="47" t="str">
        <f aca="false">IF($A46="","",IF(AND(INDEX(工程マスタ!$I$5:$I$154,$A46)="○",$E46&gt;=AY$3,$E46&lt;=AY$3+6),"▼",IF(AND($E46&gt;=AY$3,$E46&lt;=AY$3+6),$A46,"")))</f>
        <v/>
      </c>
      <c r="AZ46" s="47" t="str">
        <f aca="false">IF($A46="","",IF(AND(INDEX(工程マスタ!$I$5:$I$154,$A46)="○",$E46&gt;=AZ$3,$E46&lt;=AZ$3+6),"▼",IF(AND($E46&gt;=AZ$3,$E46&lt;=AZ$3+6),$A46,"")))</f>
        <v/>
      </c>
      <c r="BA46" s="47" t="str">
        <f aca="false">IF($A46="","",IF(AND(INDEX(工程マスタ!$I$5:$I$154,$A46)="○",$E46&gt;=BA$3,$E46&lt;=BA$3+6),"▼",IF(AND($E46&gt;=BA$3,$E46&lt;=BA$3+6),$A46,"")))</f>
        <v/>
      </c>
      <c r="BB46" s="47" t="str">
        <f aca="false">IF($A46="","",IF(AND(INDEX(工程マスタ!$I$5:$I$154,$A46)="○",$E46&gt;=BB$3,$E46&lt;=BB$3+6),"▼",IF(AND($E46&gt;=BB$3,$E46&lt;=BB$3+6),$A46,"")))</f>
        <v/>
      </c>
      <c r="BC46" s="47" t="str">
        <f aca="false">IF($A46="","",IF(AND(INDEX(工程マスタ!$I$5:$I$154,$A46)="○",$E46&gt;=BC$3,$E46&lt;=BC$3+6),"▼",IF(AND($E46&gt;=BC$3,$E46&lt;=BC$3+6),$A46,"")))</f>
        <v/>
      </c>
      <c r="BD46" s="47" t="str">
        <f aca="false">IF($A46="","",IF(AND(INDEX(工程マスタ!$I$5:$I$154,$A46)="○",$E46&gt;=BD$3,$E46&lt;=BD$3+6),"▼",IF(AND($E46&gt;=BD$3,$E46&lt;=BD$3+6),$A46,"")))</f>
        <v/>
      </c>
      <c r="BE46" s="47" t="str">
        <f aca="false">IF($A46="","",IF(AND(INDEX(工程マスタ!$I$5:$I$154,$A46)="○",$E46&gt;=BE$3,$E46&lt;=BE$3+6),"▼",IF(AND($E46&gt;=BE$3,$E46&lt;=BE$3+6),$A46,"")))</f>
        <v/>
      </c>
      <c r="BF46" s="47" t="str">
        <f aca="false">IF($A46="","",IF(AND(INDEX(工程マスタ!$I$5:$I$154,$A46)="○",$E46&gt;=BF$3,$E46&lt;=BF$3+6),"▼",IF(AND($E46&gt;=BF$3,$E46&lt;=BF$3+6),$A46,"")))</f>
        <v/>
      </c>
      <c r="BG46" s="47" t="str">
        <f aca="false">IF($A46="","",IF(AND(INDEX(工程マスタ!$I$5:$I$154,$A46)="○",$E46&gt;=BG$3,$E46&lt;=BG$3+6),"▼",IF(AND($E46&gt;=BG$3,$E46&lt;=BG$3+6),$A46,"")))</f>
        <v/>
      </c>
      <c r="BH46" s="47" t="str">
        <f aca="false">IF($A46="","",IF(AND(INDEX(工程マスタ!$I$5:$I$154,$A46)="○",$E46&gt;=BH$3,$E46&lt;=BH$3+6),"▼",IF(AND($E46&gt;=BH$3,$E46&lt;=BH$3+6),$A46,"")))</f>
        <v/>
      </c>
      <c r="BI46" s="47" t="str">
        <f aca="false">IF($A46="","",IF(AND(INDEX(工程マスタ!$I$5:$I$154,$A46)="○",$E46&gt;=BI$3,$E46&lt;=BI$3+6),"▼",IF(AND($E46&gt;=BI$3,$E46&lt;=BI$3+6),$A46,"")))</f>
        <v/>
      </c>
      <c r="BJ46" s="47" t="str">
        <f aca="false">IF($A46="","",IF(AND(INDEX(工程マスタ!$I$5:$I$154,$A46)="○",$E46&gt;=BJ$3,$E46&lt;=BJ$3+6),"▼",IF(AND($E46&gt;=BJ$3,$E46&lt;=BJ$3+6),$A46,"")))</f>
        <v/>
      </c>
    </row>
    <row r="47" customFormat="false" ht="15" hidden="false" customHeight="false" outlineLevel="0" collapsed="false">
      <c r="A47" s="28" t="n">
        <f aca="false">IF(工程マスタ!$C45="","",工程マスタ!$A45)</f>
        <v>41</v>
      </c>
      <c r="B47" s="46" t="str">
        <f aca="false">IF($A47="","",工程マスタ!$C45)</f>
        <v>美装クリーニング</v>
      </c>
      <c r="C47" s="28" t="n">
        <f aca="false">IF($A47="","",MAX(1,工程マスタ!$G45))</f>
        <v>10</v>
      </c>
      <c r="D47" s="28" t="str">
        <f aca="false">IF($A47="","",_xlfn.TEXTJOIN(",",TRUE(),工程マスタ!$N45:$P45))</f>
        <v>39</v>
      </c>
      <c r="E47" s="29" t="n">
        <f aca="false">IF($A47="","",IF(COUNT(工程マスタ!$N45:$P45)=0,設定!$B$8,MAX(IF(工程マスタ!$N45="",0,INDEX($F$7:$F$156,工程マスタ!$N45)),IF(工程マスタ!$O45="",0,INDEX($F$7:$F$156,工程マスタ!$O45)),IF(工程マスタ!$P45="",0,INDEX($F$7:$F$156,工程マスタ!$P45)))+1))</f>
        <v>46596</v>
      </c>
      <c r="F47" s="29" t="n">
        <f aca="false">IF($A47="","",$E47+$C47-1)</f>
        <v>46605</v>
      </c>
      <c r="G47" s="29" t="n">
        <f aca="false">IF($A47="","",$H47-$C47+1)</f>
        <v>46596</v>
      </c>
      <c r="H47" s="29" t="n">
        <f aca="false" t="array" ref="H47:H47">IF($A47="","",IF(SUMPRODUCT((工程マスタ!$N$46:$N$154=$A47)*1)+SUMPRODUCT((工程マスタ!$O$46:$O$154=$A47)*1)+SUMPRODUCT((工程マスタ!$P$46:$P$154=$A47)*1)=0,MAX($F$7:$F$156),MIN(IF((工程マスタ!$N$46:$N$154=$A47)+(工程マスタ!$O$46:$O$154=$A47)+(工程マスタ!$P$46:$P$154=$A47),$G48:$G$156))-1))</f>
        <v>46605</v>
      </c>
      <c r="I47" s="28" t="n">
        <f aca="false">IF($A47="","",$G47-$E47)</f>
        <v>0</v>
      </c>
      <c r="J47" s="28" t="str">
        <f aca="false">IF($A47="","",IF($I47&lt;=0,"●",""))</f>
        <v>●</v>
      </c>
      <c r="K47" s="47" t="str">
        <f aca="false">IF($A47="","",IF(AND(INDEX(工程マスタ!$I$5:$I$154,$A47)="○",$E47&gt;=K$3,$E47&lt;=K$3+6),"▼",IF(AND($E47&gt;=K$3,$E47&lt;=K$3+6),$A47,"")))</f>
        <v/>
      </c>
      <c r="L47" s="47" t="str">
        <f aca="false">IF($A47="","",IF(AND(INDEX(工程マスタ!$I$5:$I$154,$A47)="○",$E47&gt;=L$3,$E47&lt;=L$3+6),"▼",IF(AND($E47&gt;=L$3,$E47&lt;=L$3+6),$A47,"")))</f>
        <v/>
      </c>
      <c r="M47" s="47" t="str">
        <f aca="false">IF($A47="","",IF(AND(INDEX(工程マスタ!$I$5:$I$154,$A47)="○",$E47&gt;=M$3,$E47&lt;=M$3+6),"▼",IF(AND($E47&gt;=M$3,$E47&lt;=M$3+6),$A47,"")))</f>
        <v/>
      </c>
      <c r="N47" s="47" t="str">
        <f aca="false">IF($A47="","",IF(AND(INDEX(工程マスタ!$I$5:$I$154,$A47)="○",$E47&gt;=N$3,$E47&lt;=N$3+6),"▼",IF(AND($E47&gt;=N$3,$E47&lt;=N$3+6),$A47,"")))</f>
        <v/>
      </c>
      <c r="O47" s="47" t="str">
        <f aca="false">IF($A47="","",IF(AND(INDEX(工程マスタ!$I$5:$I$154,$A47)="○",$E47&gt;=O$3,$E47&lt;=O$3+6),"▼",IF(AND($E47&gt;=O$3,$E47&lt;=O$3+6),$A47,"")))</f>
        <v/>
      </c>
      <c r="P47" s="47" t="str">
        <f aca="false">IF($A47="","",IF(AND(INDEX(工程マスタ!$I$5:$I$154,$A47)="○",$E47&gt;=P$3,$E47&lt;=P$3+6),"▼",IF(AND($E47&gt;=P$3,$E47&lt;=P$3+6),$A47,"")))</f>
        <v/>
      </c>
      <c r="Q47" s="47" t="str">
        <f aca="false">IF($A47="","",IF(AND(INDEX(工程マスタ!$I$5:$I$154,$A47)="○",$E47&gt;=Q$3,$E47&lt;=Q$3+6),"▼",IF(AND($E47&gt;=Q$3,$E47&lt;=Q$3+6),$A47,"")))</f>
        <v/>
      </c>
      <c r="R47" s="47" t="str">
        <f aca="false">IF($A47="","",IF(AND(INDEX(工程マスタ!$I$5:$I$154,$A47)="○",$E47&gt;=R$3,$E47&lt;=R$3+6),"▼",IF(AND($E47&gt;=R$3,$E47&lt;=R$3+6),$A47,"")))</f>
        <v/>
      </c>
      <c r="S47" s="47" t="str">
        <f aca="false">IF($A47="","",IF(AND(INDEX(工程マスタ!$I$5:$I$154,$A47)="○",$E47&gt;=S$3,$E47&lt;=S$3+6),"▼",IF(AND($E47&gt;=S$3,$E47&lt;=S$3+6),$A47,"")))</f>
        <v/>
      </c>
      <c r="T47" s="47" t="str">
        <f aca="false">IF($A47="","",IF(AND(INDEX(工程マスタ!$I$5:$I$154,$A47)="○",$E47&gt;=T$3,$E47&lt;=T$3+6),"▼",IF(AND($E47&gt;=T$3,$E47&lt;=T$3+6),$A47,"")))</f>
        <v/>
      </c>
      <c r="U47" s="47" t="str">
        <f aca="false">IF($A47="","",IF(AND(INDEX(工程マスタ!$I$5:$I$154,$A47)="○",$E47&gt;=U$3,$E47&lt;=U$3+6),"▼",IF(AND($E47&gt;=U$3,$E47&lt;=U$3+6),$A47,"")))</f>
        <v/>
      </c>
      <c r="V47" s="47" t="str">
        <f aca="false">IF($A47="","",IF(AND(INDEX(工程マスタ!$I$5:$I$154,$A47)="○",$E47&gt;=V$3,$E47&lt;=V$3+6),"▼",IF(AND($E47&gt;=V$3,$E47&lt;=V$3+6),$A47,"")))</f>
        <v/>
      </c>
      <c r="W47" s="47" t="str">
        <f aca="false">IF($A47="","",IF(AND(INDEX(工程マスタ!$I$5:$I$154,$A47)="○",$E47&gt;=W$3,$E47&lt;=W$3+6),"▼",IF(AND($E47&gt;=W$3,$E47&lt;=W$3+6),$A47,"")))</f>
        <v/>
      </c>
      <c r="X47" s="47" t="str">
        <f aca="false">IF($A47="","",IF(AND(INDEX(工程マスタ!$I$5:$I$154,$A47)="○",$E47&gt;=X$3,$E47&lt;=X$3+6),"▼",IF(AND($E47&gt;=X$3,$E47&lt;=X$3+6),$A47,"")))</f>
        <v/>
      </c>
      <c r="Y47" s="47" t="str">
        <f aca="false">IF($A47="","",IF(AND(INDEX(工程マスタ!$I$5:$I$154,$A47)="○",$E47&gt;=Y$3,$E47&lt;=Y$3+6),"▼",IF(AND($E47&gt;=Y$3,$E47&lt;=Y$3+6),$A47,"")))</f>
        <v/>
      </c>
      <c r="Z47" s="47" t="str">
        <f aca="false">IF($A47="","",IF(AND(INDEX(工程マスタ!$I$5:$I$154,$A47)="○",$E47&gt;=Z$3,$E47&lt;=Z$3+6),"▼",IF(AND($E47&gt;=Z$3,$E47&lt;=Z$3+6),$A47,"")))</f>
        <v/>
      </c>
      <c r="AA47" s="47" t="str">
        <f aca="false">IF($A47="","",IF(AND(INDEX(工程マスタ!$I$5:$I$154,$A47)="○",$E47&gt;=AA$3,$E47&lt;=AA$3+6),"▼",IF(AND($E47&gt;=AA$3,$E47&lt;=AA$3+6),$A47,"")))</f>
        <v/>
      </c>
      <c r="AB47" s="47" t="str">
        <f aca="false">IF($A47="","",IF(AND(INDEX(工程マスタ!$I$5:$I$154,$A47)="○",$E47&gt;=AB$3,$E47&lt;=AB$3+6),"▼",IF(AND($E47&gt;=AB$3,$E47&lt;=AB$3+6),$A47,"")))</f>
        <v/>
      </c>
      <c r="AC47" s="47" t="str">
        <f aca="false">IF($A47="","",IF(AND(INDEX(工程マスタ!$I$5:$I$154,$A47)="○",$E47&gt;=AC$3,$E47&lt;=AC$3+6),"▼",IF(AND($E47&gt;=AC$3,$E47&lt;=AC$3+6),$A47,"")))</f>
        <v/>
      </c>
      <c r="AD47" s="47" t="str">
        <f aca="false">IF($A47="","",IF(AND(INDEX(工程マスタ!$I$5:$I$154,$A47)="○",$E47&gt;=AD$3,$E47&lt;=AD$3+6),"▼",IF(AND($E47&gt;=AD$3,$E47&lt;=AD$3+6),$A47,"")))</f>
        <v/>
      </c>
      <c r="AE47" s="47" t="str">
        <f aca="false">IF($A47="","",IF(AND(INDEX(工程マスタ!$I$5:$I$154,$A47)="○",$E47&gt;=AE$3,$E47&lt;=AE$3+6),"▼",IF(AND($E47&gt;=AE$3,$E47&lt;=AE$3+6),$A47,"")))</f>
        <v/>
      </c>
      <c r="AF47" s="47" t="str">
        <f aca="false">IF($A47="","",IF(AND(INDEX(工程マスタ!$I$5:$I$154,$A47)="○",$E47&gt;=AF$3,$E47&lt;=AF$3+6),"▼",IF(AND($E47&gt;=AF$3,$E47&lt;=AF$3+6),$A47,"")))</f>
        <v/>
      </c>
      <c r="AG47" s="47" t="str">
        <f aca="false">IF($A47="","",IF(AND(INDEX(工程マスタ!$I$5:$I$154,$A47)="○",$E47&gt;=AG$3,$E47&lt;=AG$3+6),"▼",IF(AND($E47&gt;=AG$3,$E47&lt;=AG$3+6),$A47,"")))</f>
        <v/>
      </c>
      <c r="AH47" s="47" t="str">
        <f aca="false">IF($A47="","",IF(AND(INDEX(工程マスタ!$I$5:$I$154,$A47)="○",$E47&gt;=AH$3,$E47&lt;=AH$3+6),"▼",IF(AND($E47&gt;=AH$3,$E47&lt;=AH$3+6),$A47,"")))</f>
        <v/>
      </c>
      <c r="AI47" s="47" t="str">
        <f aca="false">IF($A47="","",IF(AND(INDEX(工程マスタ!$I$5:$I$154,$A47)="○",$E47&gt;=AI$3,$E47&lt;=AI$3+6),"▼",IF(AND($E47&gt;=AI$3,$E47&lt;=AI$3+6),$A47,"")))</f>
        <v/>
      </c>
      <c r="AJ47" s="47" t="str">
        <f aca="false">IF($A47="","",IF(AND(INDEX(工程マスタ!$I$5:$I$154,$A47)="○",$E47&gt;=AJ$3,$E47&lt;=AJ$3+6),"▼",IF(AND($E47&gt;=AJ$3,$E47&lt;=AJ$3+6),$A47,"")))</f>
        <v/>
      </c>
      <c r="AK47" s="47" t="str">
        <f aca="false">IF($A47="","",IF(AND(INDEX(工程マスタ!$I$5:$I$154,$A47)="○",$E47&gt;=AK$3,$E47&lt;=AK$3+6),"▼",IF(AND($E47&gt;=AK$3,$E47&lt;=AK$3+6),$A47,"")))</f>
        <v/>
      </c>
      <c r="AL47" s="47" t="str">
        <f aca="false">IF($A47="","",IF(AND(INDEX(工程マスタ!$I$5:$I$154,$A47)="○",$E47&gt;=AL$3,$E47&lt;=AL$3+6),"▼",IF(AND($E47&gt;=AL$3,$E47&lt;=AL$3+6),$A47,"")))</f>
        <v/>
      </c>
      <c r="AM47" s="47" t="str">
        <f aca="false">IF($A47="","",IF(AND(INDEX(工程マスタ!$I$5:$I$154,$A47)="○",$E47&gt;=AM$3,$E47&lt;=AM$3+6),"▼",IF(AND($E47&gt;=AM$3,$E47&lt;=AM$3+6),$A47,"")))</f>
        <v/>
      </c>
      <c r="AN47" s="47" t="str">
        <f aca="false">IF($A47="","",IF(AND(INDEX(工程マスタ!$I$5:$I$154,$A47)="○",$E47&gt;=AN$3,$E47&lt;=AN$3+6),"▼",IF(AND($E47&gt;=AN$3,$E47&lt;=AN$3+6),$A47,"")))</f>
        <v/>
      </c>
      <c r="AO47" s="47" t="str">
        <f aca="false">IF($A47="","",IF(AND(INDEX(工程マスタ!$I$5:$I$154,$A47)="○",$E47&gt;=AO$3,$E47&lt;=AO$3+6),"▼",IF(AND($E47&gt;=AO$3,$E47&lt;=AO$3+6),$A47,"")))</f>
        <v/>
      </c>
      <c r="AP47" s="47" t="str">
        <f aca="false">IF($A47="","",IF(AND(INDEX(工程マスタ!$I$5:$I$154,$A47)="○",$E47&gt;=AP$3,$E47&lt;=AP$3+6),"▼",IF(AND($E47&gt;=AP$3,$E47&lt;=AP$3+6),$A47,"")))</f>
        <v/>
      </c>
      <c r="AQ47" s="47" t="str">
        <f aca="false">IF($A47="","",IF(AND(INDEX(工程マスタ!$I$5:$I$154,$A47)="○",$E47&gt;=AQ$3,$E47&lt;=AQ$3+6),"▼",IF(AND($E47&gt;=AQ$3,$E47&lt;=AQ$3+6),$A47,"")))</f>
        <v/>
      </c>
      <c r="AR47" s="47" t="str">
        <f aca="false">IF($A47="","",IF(AND(INDEX(工程マスタ!$I$5:$I$154,$A47)="○",$E47&gt;=AR$3,$E47&lt;=AR$3+6),"▼",IF(AND($E47&gt;=AR$3,$E47&lt;=AR$3+6),$A47,"")))</f>
        <v/>
      </c>
      <c r="AS47" s="47" t="str">
        <f aca="false">IF($A47="","",IF(AND(INDEX(工程マスタ!$I$5:$I$154,$A47)="○",$E47&gt;=AS$3,$E47&lt;=AS$3+6),"▼",IF(AND($E47&gt;=AS$3,$E47&lt;=AS$3+6),$A47,"")))</f>
        <v/>
      </c>
      <c r="AT47" s="47" t="str">
        <f aca="false">IF($A47="","",IF(AND(INDEX(工程マスタ!$I$5:$I$154,$A47)="○",$E47&gt;=AT$3,$E47&lt;=AT$3+6),"▼",IF(AND($E47&gt;=AT$3,$E47&lt;=AT$3+6),$A47,"")))</f>
        <v/>
      </c>
      <c r="AU47" s="47" t="str">
        <f aca="false">IF($A47="","",IF(AND(INDEX(工程マスタ!$I$5:$I$154,$A47)="○",$E47&gt;=AU$3,$E47&lt;=AU$3+6),"▼",IF(AND($E47&gt;=AU$3,$E47&lt;=AU$3+6),$A47,"")))</f>
        <v/>
      </c>
      <c r="AV47" s="47" t="str">
        <f aca="false">IF($A47="","",IF(AND(INDEX(工程マスタ!$I$5:$I$154,$A47)="○",$E47&gt;=AV$3,$E47&lt;=AV$3+6),"▼",IF(AND($E47&gt;=AV$3,$E47&lt;=AV$3+6),$A47,"")))</f>
        <v/>
      </c>
      <c r="AW47" s="47" t="str">
        <f aca="false">IF($A47="","",IF(AND(INDEX(工程マスタ!$I$5:$I$154,$A47)="○",$E47&gt;=AW$3,$E47&lt;=AW$3+6),"▼",IF(AND($E47&gt;=AW$3,$E47&lt;=AW$3+6),$A47,"")))</f>
        <v/>
      </c>
      <c r="AX47" s="47" t="str">
        <f aca="false">IF($A47="","",IF(AND(INDEX(工程マスタ!$I$5:$I$154,$A47)="○",$E47&gt;=AX$3,$E47&lt;=AX$3+6),"▼",IF(AND($E47&gt;=AX$3,$E47&lt;=AX$3+6),$A47,"")))</f>
        <v/>
      </c>
      <c r="AY47" s="47" t="str">
        <f aca="false">IF($A47="","",IF(AND(INDEX(工程マスタ!$I$5:$I$154,$A47)="○",$E47&gt;=AY$3,$E47&lt;=AY$3+6),"▼",IF(AND($E47&gt;=AY$3,$E47&lt;=AY$3+6),$A47,"")))</f>
        <v/>
      </c>
      <c r="AZ47" s="47" t="str">
        <f aca="false">IF($A47="","",IF(AND(INDEX(工程マスタ!$I$5:$I$154,$A47)="○",$E47&gt;=AZ$3,$E47&lt;=AZ$3+6),"▼",IF(AND($E47&gt;=AZ$3,$E47&lt;=AZ$3+6),$A47,"")))</f>
        <v/>
      </c>
      <c r="BA47" s="47" t="str">
        <f aca="false">IF($A47="","",IF(AND(INDEX(工程マスタ!$I$5:$I$154,$A47)="○",$E47&gt;=BA$3,$E47&lt;=BA$3+6),"▼",IF(AND($E47&gt;=BA$3,$E47&lt;=BA$3+6),$A47,"")))</f>
        <v/>
      </c>
      <c r="BB47" s="47" t="str">
        <f aca="false">IF($A47="","",IF(AND(INDEX(工程マスタ!$I$5:$I$154,$A47)="○",$E47&gt;=BB$3,$E47&lt;=BB$3+6),"▼",IF(AND($E47&gt;=BB$3,$E47&lt;=BB$3+6),$A47,"")))</f>
        <v/>
      </c>
      <c r="BC47" s="47" t="str">
        <f aca="false">IF($A47="","",IF(AND(INDEX(工程マスタ!$I$5:$I$154,$A47)="○",$E47&gt;=BC$3,$E47&lt;=BC$3+6),"▼",IF(AND($E47&gt;=BC$3,$E47&lt;=BC$3+6),$A47,"")))</f>
        <v/>
      </c>
      <c r="BD47" s="47" t="str">
        <f aca="false">IF($A47="","",IF(AND(INDEX(工程マスタ!$I$5:$I$154,$A47)="○",$E47&gt;=BD$3,$E47&lt;=BD$3+6),"▼",IF(AND($E47&gt;=BD$3,$E47&lt;=BD$3+6),$A47,"")))</f>
        <v/>
      </c>
      <c r="BE47" s="47" t="str">
        <f aca="false">IF($A47="","",IF(AND(INDEX(工程マスタ!$I$5:$I$154,$A47)="○",$E47&gt;=BE$3,$E47&lt;=BE$3+6),"▼",IF(AND($E47&gt;=BE$3,$E47&lt;=BE$3+6),$A47,"")))</f>
        <v/>
      </c>
      <c r="BF47" s="47" t="str">
        <f aca="false">IF($A47="","",IF(AND(INDEX(工程マスタ!$I$5:$I$154,$A47)="○",$E47&gt;=BF$3,$E47&lt;=BF$3+6),"▼",IF(AND($E47&gt;=BF$3,$E47&lt;=BF$3+6),$A47,"")))</f>
        <v/>
      </c>
      <c r="BG47" s="47" t="str">
        <f aca="false">IF($A47="","",IF(AND(INDEX(工程マスタ!$I$5:$I$154,$A47)="○",$E47&gt;=BG$3,$E47&lt;=BG$3+6),"▼",IF(AND($E47&gt;=BG$3,$E47&lt;=BG$3+6),$A47,"")))</f>
        <v/>
      </c>
      <c r="BH47" s="47" t="str">
        <f aca="false">IF($A47="","",IF(AND(INDEX(工程マスタ!$I$5:$I$154,$A47)="○",$E47&gt;=BH$3,$E47&lt;=BH$3+6),"▼",IF(AND($E47&gt;=BH$3,$E47&lt;=BH$3+6),$A47,"")))</f>
        <v/>
      </c>
      <c r="BI47" s="47" t="str">
        <f aca="false">IF($A47="","",IF(AND(INDEX(工程マスタ!$I$5:$I$154,$A47)="○",$E47&gt;=BI$3,$E47&lt;=BI$3+6),"▼",IF(AND($E47&gt;=BI$3,$E47&lt;=BI$3+6),$A47,"")))</f>
        <v/>
      </c>
      <c r="BJ47" s="47" t="str">
        <f aca="false">IF($A47="","",IF(AND(INDEX(工程マスタ!$I$5:$I$154,$A47)="○",$E47&gt;=BJ$3,$E47&lt;=BJ$3+6),"▼",IF(AND($E47&gt;=BJ$3,$E47&lt;=BJ$3+6),$A47,"")))</f>
        <v/>
      </c>
    </row>
    <row r="48" customFormat="false" ht="15" hidden="false" customHeight="false" outlineLevel="0" collapsed="false">
      <c r="A48" s="28" t="n">
        <f aca="false">IF(工程マスタ!$C46="","",工程マスタ!$A46)</f>
        <v>42</v>
      </c>
      <c r="B48" s="46" t="str">
        <f aca="false">IF($A48="","",工程マスタ!$C46)</f>
        <v>施主検査</v>
      </c>
      <c r="C48" s="28" t="n">
        <f aca="false">IF($A48="","",MAX(1,工程マスタ!$G46))</f>
        <v>1</v>
      </c>
      <c r="D48" s="28" t="str">
        <f aca="false">IF($A48="","",_xlfn.TEXTJOIN(",",TRUE(),工程マスタ!$N46:$P46))</f>
        <v>40,41</v>
      </c>
      <c r="E48" s="29" t="n">
        <f aca="false">IF($A48="","",IF(COUNT(工程マスタ!$N46:$P46)=0,設定!$B$8,MAX(IF(工程マスタ!$N46="",0,INDEX($F$7:$F$156,工程マスタ!$N46)),IF(工程マスタ!$O46="",0,INDEX($F$7:$F$156,工程マスタ!$O46)),IF(工程マスタ!$P46="",0,INDEX($F$7:$F$156,工程マスタ!$P46)))+1))</f>
        <v>46606</v>
      </c>
      <c r="F48" s="29" t="n">
        <f aca="false">IF($A48="","",$E48+$C48-1)</f>
        <v>46606</v>
      </c>
      <c r="G48" s="29" t="n">
        <f aca="false">IF($A48="","",$H48-$C48+1)</f>
        <v>46606</v>
      </c>
      <c r="H48" s="29" t="n">
        <f aca="false" t="array" ref="H48:H48">IF($A48="","",IF(SUMPRODUCT((工程マスタ!$N$47:$N$154=$A48)*1)+SUMPRODUCT((工程マスタ!$O$47:$O$154=$A48)*1)+SUMPRODUCT((工程マスタ!$P$47:$P$154=$A48)*1)=0,MAX($F$7:$F$156),MIN(IF((工程マスタ!$N$47:$N$154=$A48)+(工程マスタ!$O$47:$O$154=$A48)+(工程マスタ!$P$47:$P$154=$A48),$G49:$G$156))-1))</f>
        <v>46606</v>
      </c>
      <c r="I48" s="28" t="n">
        <f aca="false">IF($A48="","",$G48-$E48)</f>
        <v>0</v>
      </c>
      <c r="J48" s="28" t="str">
        <f aca="false">IF($A48="","",IF($I48&lt;=0,"●",""))</f>
        <v>●</v>
      </c>
      <c r="K48" s="47" t="str">
        <f aca="false">IF($A48="","",IF(AND(INDEX(工程マスタ!$I$5:$I$154,$A48)="○",$E48&gt;=K$3,$E48&lt;=K$3+6),"▼",IF(AND($E48&gt;=K$3,$E48&lt;=K$3+6),$A48,"")))</f>
        <v/>
      </c>
      <c r="L48" s="47" t="str">
        <f aca="false">IF($A48="","",IF(AND(INDEX(工程マスタ!$I$5:$I$154,$A48)="○",$E48&gt;=L$3,$E48&lt;=L$3+6),"▼",IF(AND($E48&gt;=L$3,$E48&lt;=L$3+6),$A48,"")))</f>
        <v/>
      </c>
      <c r="M48" s="47" t="str">
        <f aca="false">IF($A48="","",IF(AND(INDEX(工程マスタ!$I$5:$I$154,$A48)="○",$E48&gt;=M$3,$E48&lt;=M$3+6),"▼",IF(AND($E48&gt;=M$3,$E48&lt;=M$3+6),$A48,"")))</f>
        <v/>
      </c>
      <c r="N48" s="47" t="str">
        <f aca="false">IF($A48="","",IF(AND(INDEX(工程マスタ!$I$5:$I$154,$A48)="○",$E48&gt;=N$3,$E48&lt;=N$3+6),"▼",IF(AND($E48&gt;=N$3,$E48&lt;=N$3+6),$A48,"")))</f>
        <v/>
      </c>
      <c r="O48" s="47" t="str">
        <f aca="false">IF($A48="","",IF(AND(INDEX(工程マスタ!$I$5:$I$154,$A48)="○",$E48&gt;=O$3,$E48&lt;=O$3+6),"▼",IF(AND($E48&gt;=O$3,$E48&lt;=O$3+6),$A48,"")))</f>
        <v/>
      </c>
      <c r="P48" s="47" t="str">
        <f aca="false">IF($A48="","",IF(AND(INDEX(工程マスタ!$I$5:$I$154,$A48)="○",$E48&gt;=P$3,$E48&lt;=P$3+6),"▼",IF(AND($E48&gt;=P$3,$E48&lt;=P$3+6),$A48,"")))</f>
        <v/>
      </c>
      <c r="Q48" s="47" t="str">
        <f aca="false">IF($A48="","",IF(AND(INDEX(工程マスタ!$I$5:$I$154,$A48)="○",$E48&gt;=Q$3,$E48&lt;=Q$3+6),"▼",IF(AND($E48&gt;=Q$3,$E48&lt;=Q$3+6),$A48,"")))</f>
        <v/>
      </c>
      <c r="R48" s="47" t="str">
        <f aca="false">IF($A48="","",IF(AND(INDEX(工程マスタ!$I$5:$I$154,$A48)="○",$E48&gt;=R$3,$E48&lt;=R$3+6),"▼",IF(AND($E48&gt;=R$3,$E48&lt;=R$3+6),$A48,"")))</f>
        <v/>
      </c>
      <c r="S48" s="47" t="str">
        <f aca="false">IF($A48="","",IF(AND(INDEX(工程マスタ!$I$5:$I$154,$A48)="○",$E48&gt;=S$3,$E48&lt;=S$3+6),"▼",IF(AND($E48&gt;=S$3,$E48&lt;=S$3+6),$A48,"")))</f>
        <v/>
      </c>
      <c r="T48" s="47" t="str">
        <f aca="false">IF($A48="","",IF(AND(INDEX(工程マスタ!$I$5:$I$154,$A48)="○",$E48&gt;=T$3,$E48&lt;=T$3+6),"▼",IF(AND($E48&gt;=T$3,$E48&lt;=T$3+6),$A48,"")))</f>
        <v/>
      </c>
      <c r="U48" s="47" t="str">
        <f aca="false">IF($A48="","",IF(AND(INDEX(工程マスタ!$I$5:$I$154,$A48)="○",$E48&gt;=U$3,$E48&lt;=U$3+6),"▼",IF(AND($E48&gt;=U$3,$E48&lt;=U$3+6),$A48,"")))</f>
        <v/>
      </c>
      <c r="V48" s="47" t="str">
        <f aca="false">IF($A48="","",IF(AND(INDEX(工程マスタ!$I$5:$I$154,$A48)="○",$E48&gt;=V$3,$E48&lt;=V$3+6),"▼",IF(AND($E48&gt;=V$3,$E48&lt;=V$3+6),$A48,"")))</f>
        <v/>
      </c>
      <c r="W48" s="47" t="str">
        <f aca="false">IF($A48="","",IF(AND(INDEX(工程マスタ!$I$5:$I$154,$A48)="○",$E48&gt;=W$3,$E48&lt;=W$3+6),"▼",IF(AND($E48&gt;=W$3,$E48&lt;=W$3+6),$A48,"")))</f>
        <v/>
      </c>
      <c r="X48" s="47" t="str">
        <f aca="false">IF($A48="","",IF(AND(INDEX(工程マスタ!$I$5:$I$154,$A48)="○",$E48&gt;=X$3,$E48&lt;=X$3+6),"▼",IF(AND($E48&gt;=X$3,$E48&lt;=X$3+6),$A48,"")))</f>
        <v/>
      </c>
      <c r="Y48" s="47" t="str">
        <f aca="false">IF($A48="","",IF(AND(INDEX(工程マスタ!$I$5:$I$154,$A48)="○",$E48&gt;=Y$3,$E48&lt;=Y$3+6),"▼",IF(AND($E48&gt;=Y$3,$E48&lt;=Y$3+6),$A48,"")))</f>
        <v/>
      </c>
      <c r="Z48" s="47" t="str">
        <f aca="false">IF($A48="","",IF(AND(INDEX(工程マスタ!$I$5:$I$154,$A48)="○",$E48&gt;=Z$3,$E48&lt;=Z$3+6),"▼",IF(AND($E48&gt;=Z$3,$E48&lt;=Z$3+6),$A48,"")))</f>
        <v/>
      </c>
      <c r="AA48" s="47" t="str">
        <f aca="false">IF($A48="","",IF(AND(INDEX(工程マスタ!$I$5:$I$154,$A48)="○",$E48&gt;=AA$3,$E48&lt;=AA$3+6),"▼",IF(AND($E48&gt;=AA$3,$E48&lt;=AA$3+6),$A48,"")))</f>
        <v/>
      </c>
      <c r="AB48" s="47" t="str">
        <f aca="false">IF($A48="","",IF(AND(INDEX(工程マスタ!$I$5:$I$154,$A48)="○",$E48&gt;=AB$3,$E48&lt;=AB$3+6),"▼",IF(AND($E48&gt;=AB$3,$E48&lt;=AB$3+6),$A48,"")))</f>
        <v/>
      </c>
      <c r="AC48" s="47" t="str">
        <f aca="false">IF($A48="","",IF(AND(INDEX(工程マスタ!$I$5:$I$154,$A48)="○",$E48&gt;=AC$3,$E48&lt;=AC$3+6),"▼",IF(AND($E48&gt;=AC$3,$E48&lt;=AC$3+6),$A48,"")))</f>
        <v/>
      </c>
      <c r="AD48" s="47" t="str">
        <f aca="false">IF($A48="","",IF(AND(INDEX(工程マスタ!$I$5:$I$154,$A48)="○",$E48&gt;=AD$3,$E48&lt;=AD$3+6),"▼",IF(AND($E48&gt;=AD$3,$E48&lt;=AD$3+6),$A48,"")))</f>
        <v/>
      </c>
      <c r="AE48" s="47" t="str">
        <f aca="false">IF($A48="","",IF(AND(INDEX(工程マスタ!$I$5:$I$154,$A48)="○",$E48&gt;=AE$3,$E48&lt;=AE$3+6),"▼",IF(AND($E48&gt;=AE$3,$E48&lt;=AE$3+6),$A48,"")))</f>
        <v/>
      </c>
      <c r="AF48" s="47" t="str">
        <f aca="false">IF($A48="","",IF(AND(INDEX(工程マスタ!$I$5:$I$154,$A48)="○",$E48&gt;=AF$3,$E48&lt;=AF$3+6),"▼",IF(AND($E48&gt;=AF$3,$E48&lt;=AF$3+6),$A48,"")))</f>
        <v/>
      </c>
      <c r="AG48" s="47" t="str">
        <f aca="false">IF($A48="","",IF(AND(INDEX(工程マスタ!$I$5:$I$154,$A48)="○",$E48&gt;=AG$3,$E48&lt;=AG$3+6),"▼",IF(AND($E48&gt;=AG$3,$E48&lt;=AG$3+6),$A48,"")))</f>
        <v/>
      </c>
      <c r="AH48" s="47" t="str">
        <f aca="false">IF($A48="","",IF(AND(INDEX(工程マスタ!$I$5:$I$154,$A48)="○",$E48&gt;=AH$3,$E48&lt;=AH$3+6),"▼",IF(AND($E48&gt;=AH$3,$E48&lt;=AH$3+6),$A48,"")))</f>
        <v/>
      </c>
      <c r="AI48" s="47" t="str">
        <f aca="false">IF($A48="","",IF(AND(INDEX(工程マスタ!$I$5:$I$154,$A48)="○",$E48&gt;=AI$3,$E48&lt;=AI$3+6),"▼",IF(AND($E48&gt;=AI$3,$E48&lt;=AI$3+6),$A48,"")))</f>
        <v/>
      </c>
      <c r="AJ48" s="47" t="str">
        <f aca="false">IF($A48="","",IF(AND(INDEX(工程マスタ!$I$5:$I$154,$A48)="○",$E48&gt;=AJ$3,$E48&lt;=AJ$3+6),"▼",IF(AND($E48&gt;=AJ$3,$E48&lt;=AJ$3+6),$A48,"")))</f>
        <v/>
      </c>
      <c r="AK48" s="47" t="str">
        <f aca="false">IF($A48="","",IF(AND(INDEX(工程マスタ!$I$5:$I$154,$A48)="○",$E48&gt;=AK$3,$E48&lt;=AK$3+6),"▼",IF(AND($E48&gt;=AK$3,$E48&lt;=AK$3+6),$A48,"")))</f>
        <v/>
      </c>
      <c r="AL48" s="47" t="str">
        <f aca="false">IF($A48="","",IF(AND(INDEX(工程マスタ!$I$5:$I$154,$A48)="○",$E48&gt;=AL$3,$E48&lt;=AL$3+6),"▼",IF(AND($E48&gt;=AL$3,$E48&lt;=AL$3+6),$A48,"")))</f>
        <v/>
      </c>
      <c r="AM48" s="47" t="str">
        <f aca="false">IF($A48="","",IF(AND(INDEX(工程マスタ!$I$5:$I$154,$A48)="○",$E48&gt;=AM$3,$E48&lt;=AM$3+6),"▼",IF(AND($E48&gt;=AM$3,$E48&lt;=AM$3+6),$A48,"")))</f>
        <v/>
      </c>
      <c r="AN48" s="47" t="str">
        <f aca="false">IF($A48="","",IF(AND(INDEX(工程マスタ!$I$5:$I$154,$A48)="○",$E48&gt;=AN$3,$E48&lt;=AN$3+6),"▼",IF(AND($E48&gt;=AN$3,$E48&lt;=AN$3+6),$A48,"")))</f>
        <v/>
      </c>
      <c r="AO48" s="47" t="str">
        <f aca="false">IF($A48="","",IF(AND(INDEX(工程マスタ!$I$5:$I$154,$A48)="○",$E48&gt;=AO$3,$E48&lt;=AO$3+6),"▼",IF(AND($E48&gt;=AO$3,$E48&lt;=AO$3+6),$A48,"")))</f>
        <v/>
      </c>
      <c r="AP48" s="47" t="str">
        <f aca="false">IF($A48="","",IF(AND(INDEX(工程マスタ!$I$5:$I$154,$A48)="○",$E48&gt;=AP$3,$E48&lt;=AP$3+6),"▼",IF(AND($E48&gt;=AP$3,$E48&lt;=AP$3+6),$A48,"")))</f>
        <v/>
      </c>
      <c r="AQ48" s="47" t="str">
        <f aca="false">IF($A48="","",IF(AND(INDEX(工程マスタ!$I$5:$I$154,$A48)="○",$E48&gt;=AQ$3,$E48&lt;=AQ$3+6),"▼",IF(AND($E48&gt;=AQ$3,$E48&lt;=AQ$3+6),$A48,"")))</f>
        <v/>
      </c>
      <c r="AR48" s="47" t="str">
        <f aca="false">IF($A48="","",IF(AND(INDEX(工程マスタ!$I$5:$I$154,$A48)="○",$E48&gt;=AR$3,$E48&lt;=AR$3+6),"▼",IF(AND($E48&gt;=AR$3,$E48&lt;=AR$3+6),$A48,"")))</f>
        <v/>
      </c>
      <c r="AS48" s="47" t="str">
        <f aca="false">IF($A48="","",IF(AND(INDEX(工程マスタ!$I$5:$I$154,$A48)="○",$E48&gt;=AS$3,$E48&lt;=AS$3+6),"▼",IF(AND($E48&gt;=AS$3,$E48&lt;=AS$3+6),$A48,"")))</f>
        <v/>
      </c>
      <c r="AT48" s="47" t="str">
        <f aca="false">IF($A48="","",IF(AND(INDEX(工程マスタ!$I$5:$I$154,$A48)="○",$E48&gt;=AT$3,$E48&lt;=AT$3+6),"▼",IF(AND($E48&gt;=AT$3,$E48&lt;=AT$3+6),$A48,"")))</f>
        <v/>
      </c>
      <c r="AU48" s="47" t="str">
        <f aca="false">IF($A48="","",IF(AND(INDEX(工程マスタ!$I$5:$I$154,$A48)="○",$E48&gt;=AU$3,$E48&lt;=AU$3+6),"▼",IF(AND($E48&gt;=AU$3,$E48&lt;=AU$3+6),$A48,"")))</f>
        <v/>
      </c>
      <c r="AV48" s="47" t="str">
        <f aca="false">IF($A48="","",IF(AND(INDEX(工程マスタ!$I$5:$I$154,$A48)="○",$E48&gt;=AV$3,$E48&lt;=AV$3+6),"▼",IF(AND($E48&gt;=AV$3,$E48&lt;=AV$3+6),$A48,"")))</f>
        <v/>
      </c>
      <c r="AW48" s="47" t="str">
        <f aca="false">IF($A48="","",IF(AND(INDEX(工程マスタ!$I$5:$I$154,$A48)="○",$E48&gt;=AW$3,$E48&lt;=AW$3+6),"▼",IF(AND($E48&gt;=AW$3,$E48&lt;=AW$3+6),$A48,"")))</f>
        <v/>
      </c>
      <c r="AX48" s="47" t="str">
        <f aca="false">IF($A48="","",IF(AND(INDEX(工程マスタ!$I$5:$I$154,$A48)="○",$E48&gt;=AX$3,$E48&lt;=AX$3+6),"▼",IF(AND($E48&gt;=AX$3,$E48&lt;=AX$3+6),$A48,"")))</f>
        <v/>
      </c>
      <c r="AY48" s="47" t="str">
        <f aca="false">IF($A48="","",IF(AND(INDEX(工程マスタ!$I$5:$I$154,$A48)="○",$E48&gt;=AY$3,$E48&lt;=AY$3+6),"▼",IF(AND($E48&gt;=AY$3,$E48&lt;=AY$3+6),$A48,"")))</f>
        <v/>
      </c>
      <c r="AZ48" s="47" t="str">
        <f aca="false">IF($A48="","",IF(AND(INDEX(工程マスタ!$I$5:$I$154,$A48)="○",$E48&gt;=AZ$3,$E48&lt;=AZ$3+6),"▼",IF(AND($E48&gt;=AZ$3,$E48&lt;=AZ$3+6),$A48,"")))</f>
        <v/>
      </c>
      <c r="BA48" s="47" t="str">
        <f aca="false">IF($A48="","",IF(AND(INDEX(工程マスタ!$I$5:$I$154,$A48)="○",$E48&gt;=BA$3,$E48&lt;=BA$3+6),"▼",IF(AND($E48&gt;=BA$3,$E48&lt;=BA$3+6),$A48,"")))</f>
        <v/>
      </c>
      <c r="BB48" s="47" t="str">
        <f aca="false">IF($A48="","",IF(AND(INDEX(工程マスタ!$I$5:$I$154,$A48)="○",$E48&gt;=BB$3,$E48&lt;=BB$3+6),"▼",IF(AND($E48&gt;=BB$3,$E48&lt;=BB$3+6),$A48,"")))</f>
        <v/>
      </c>
      <c r="BC48" s="47" t="str">
        <f aca="false">IF($A48="","",IF(AND(INDEX(工程マスタ!$I$5:$I$154,$A48)="○",$E48&gt;=BC$3,$E48&lt;=BC$3+6),"▼",IF(AND($E48&gt;=BC$3,$E48&lt;=BC$3+6),$A48,"")))</f>
        <v/>
      </c>
      <c r="BD48" s="47" t="str">
        <f aca="false">IF($A48="","",IF(AND(INDEX(工程マスタ!$I$5:$I$154,$A48)="○",$E48&gt;=BD$3,$E48&lt;=BD$3+6),"▼",IF(AND($E48&gt;=BD$3,$E48&lt;=BD$3+6),$A48,"")))</f>
        <v/>
      </c>
      <c r="BE48" s="47" t="str">
        <f aca="false">IF($A48="","",IF(AND(INDEX(工程マスタ!$I$5:$I$154,$A48)="○",$E48&gt;=BE$3,$E48&lt;=BE$3+6),"▼",IF(AND($E48&gt;=BE$3,$E48&lt;=BE$3+6),$A48,"")))</f>
        <v/>
      </c>
      <c r="BF48" s="47" t="str">
        <f aca="false">IF($A48="","",IF(AND(INDEX(工程マスタ!$I$5:$I$154,$A48)="○",$E48&gt;=BF$3,$E48&lt;=BF$3+6),"▼",IF(AND($E48&gt;=BF$3,$E48&lt;=BF$3+6),$A48,"")))</f>
        <v/>
      </c>
      <c r="BG48" s="47" t="str">
        <f aca="false">IF($A48="","",IF(AND(INDEX(工程マスタ!$I$5:$I$154,$A48)="○",$E48&gt;=BG$3,$E48&lt;=BG$3+6),"▼",IF(AND($E48&gt;=BG$3,$E48&lt;=BG$3+6),$A48,"")))</f>
        <v/>
      </c>
      <c r="BH48" s="47" t="str">
        <f aca="false">IF($A48="","",IF(AND(INDEX(工程マスタ!$I$5:$I$154,$A48)="○",$E48&gt;=BH$3,$E48&lt;=BH$3+6),"▼",IF(AND($E48&gt;=BH$3,$E48&lt;=BH$3+6),$A48,"")))</f>
        <v/>
      </c>
      <c r="BI48" s="47" t="str">
        <f aca="false">IF($A48="","",IF(AND(INDEX(工程マスタ!$I$5:$I$154,$A48)="○",$E48&gt;=BI$3,$E48&lt;=BI$3+6),"▼",IF(AND($E48&gt;=BI$3,$E48&lt;=BI$3+6),$A48,"")))</f>
        <v/>
      </c>
      <c r="BJ48" s="47" t="str">
        <f aca="false">IF($A48="","",IF(AND(INDEX(工程マスタ!$I$5:$I$154,$A48)="○",$E48&gt;=BJ$3,$E48&lt;=BJ$3+6),"▼",IF(AND($E48&gt;=BJ$3,$E48&lt;=BJ$3+6),$A48,"")))</f>
        <v/>
      </c>
    </row>
    <row r="49" customFormat="false" ht="15" hidden="false" customHeight="false" outlineLevel="0" collapsed="false">
      <c r="A49" s="28" t="n">
        <f aca="false">IF(工程マスタ!$C47="","",工程マスタ!$A47)</f>
        <v>43</v>
      </c>
      <c r="B49" s="46" t="str">
        <f aca="false">IF($A49="","",工程マスタ!$C47)</f>
        <v>是正・手直し</v>
      </c>
      <c r="C49" s="28" t="n">
        <f aca="false">IF($A49="","",MAX(1,工程マスタ!$G47))</f>
        <v>11</v>
      </c>
      <c r="D49" s="28" t="str">
        <f aca="false">IF($A49="","",_xlfn.TEXTJOIN(",",TRUE(),工程マスタ!$N47:$P47))</f>
        <v>42</v>
      </c>
      <c r="E49" s="29" t="n">
        <f aca="false">IF($A49="","",IF(COUNT(工程マスタ!$N47:$P47)=0,設定!$B$8,MAX(IF(工程マスタ!$N47="",0,INDEX($F$7:$F$156,工程マスタ!$N47)),IF(工程マスタ!$O47="",0,INDEX($F$7:$F$156,工程マスタ!$O47)),IF(工程マスタ!$P47="",0,INDEX($F$7:$F$156,工程マスタ!$P47)))+1))</f>
        <v>46607</v>
      </c>
      <c r="F49" s="29" t="n">
        <f aca="false">IF($A49="","",$E49+$C49-1)</f>
        <v>46617</v>
      </c>
      <c r="G49" s="29" t="n">
        <f aca="false">IF($A49="","",$H49-$C49+1)</f>
        <v>46607</v>
      </c>
      <c r="H49" s="29" t="n">
        <f aca="false" t="array" ref="H49:H49">IF($A49="","",IF(SUMPRODUCT((工程マスタ!$N$48:$N$154=$A49)*1)+SUMPRODUCT((工程マスタ!$O$48:$O$154=$A49)*1)+SUMPRODUCT((工程マスタ!$P$48:$P$154=$A49)*1)=0,MAX($F$7:$F$156),MIN(IF((工程マスタ!$N$48:$N$154=$A49)+(工程マスタ!$O$48:$O$154=$A49)+(工程マスタ!$P$48:$P$154=$A49),$G50:$G$156))-1))</f>
        <v>46617</v>
      </c>
      <c r="I49" s="28" t="n">
        <f aca="false">IF($A49="","",$G49-$E49)</f>
        <v>0</v>
      </c>
      <c r="J49" s="28" t="str">
        <f aca="false">IF($A49="","",IF($I49&lt;=0,"●",""))</f>
        <v>●</v>
      </c>
      <c r="K49" s="47" t="str">
        <f aca="false">IF($A49="","",IF(AND(INDEX(工程マスタ!$I$5:$I$154,$A49)="○",$E49&gt;=K$3,$E49&lt;=K$3+6),"▼",IF(AND($E49&gt;=K$3,$E49&lt;=K$3+6),$A49,"")))</f>
        <v/>
      </c>
      <c r="L49" s="47" t="str">
        <f aca="false">IF($A49="","",IF(AND(INDEX(工程マスタ!$I$5:$I$154,$A49)="○",$E49&gt;=L$3,$E49&lt;=L$3+6),"▼",IF(AND($E49&gt;=L$3,$E49&lt;=L$3+6),$A49,"")))</f>
        <v/>
      </c>
      <c r="M49" s="47" t="str">
        <f aca="false">IF($A49="","",IF(AND(INDEX(工程マスタ!$I$5:$I$154,$A49)="○",$E49&gt;=M$3,$E49&lt;=M$3+6),"▼",IF(AND($E49&gt;=M$3,$E49&lt;=M$3+6),$A49,"")))</f>
        <v/>
      </c>
      <c r="N49" s="47" t="str">
        <f aca="false">IF($A49="","",IF(AND(INDEX(工程マスタ!$I$5:$I$154,$A49)="○",$E49&gt;=N$3,$E49&lt;=N$3+6),"▼",IF(AND($E49&gt;=N$3,$E49&lt;=N$3+6),$A49,"")))</f>
        <v/>
      </c>
      <c r="O49" s="47" t="str">
        <f aca="false">IF($A49="","",IF(AND(INDEX(工程マスタ!$I$5:$I$154,$A49)="○",$E49&gt;=O$3,$E49&lt;=O$3+6),"▼",IF(AND($E49&gt;=O$3,$E49&lt;=O$3+6),$A49,"")))</f>
        <v/>
      </c>
      <c r="P49" s="47" t="str">
        <f aca="false">IF($A49="","",IF(AND(INDEX(工程マスタ!$I$5:$I$154,$A49)="○",$E49&gt;=P$3,$E49&lt;=P$3+6),"▼",IF(AND($E49&gt;=P$3,$E49&lt;=P$3+6),$A49,"")))</f>
        <v/>
      </c>
      <c r="Q49" s="47" t="str">
        <f aca="false">IF($A49="","",IF(AND(INDEX(工程マスタ!$I$5:$I$154,$A49)="○",$E49&gt;=Q$3,$E49&lt;=Q$3+6),"▼",IF(AND($E49&gt;=Q$3,$E49&lt;=Q$3+6),$A49,"")))</f>
        <v/>
      </c>
      <c r="R49" s="47" t="str">
        <f aca="false">IF($A49="","",IF(AND(INDEX(工程マスタ!$I$5:$I$154,$A49)="○",$E49&gt;=R$3,$E49&lt;=R$3+6),"▼",IF(AND($E49&gt;=R$3,$E49&lt;=R$3+6),$A49,"")))</f>
        <v/>
      </c>
      <c r="S49" s="47" t="str">
        <f aca="false">IF($A49="","",IF(AND(INDEX(工程マスタ!$I$5:$I$154,$A49)="○",$E49&gt;=S$3,$E49&lt;=S$3+6),"▼",IF(AND($E49&gt;=S$3,$E49&lt;=S$3+6),$A49,"")))</f>
        <v/>
      </c>
      <c r="T49" s="47" t="str">
        <f aca="false">IF($A49="","",IF(AND(INDEX(工程マスタ!$I$5:$I$154,$A49)="○",$E49&gt;=T$3,$E49&lt;=T$3+6),"▼",IF(AND($E49&gt;=T$3,$E49&lt;=T$3+6),$A49,"")))</f>
        <v/>
      </c>
      <c r="U49" s="47" t="str">
        <f aca="false">IF($A49="","",IF(AND(INDEX(工程マスタ!$I$5:$I$154,$A49)="○",$E49&gt;=U$3,$E49&lt;=U$3+6),"▼",IF(AND($E49&gt;=U$3,$E49&lt;=U$3+6),$A49,"")))</f>
        <v/>
      </c>
      <c r="V49" s="47" t="str">
        <f aca="false">IF($A49="","",IF(AND(INDEX(工程マスタ!$I$5:$I$154,$A49)="○",$E49&gt;=V$3,$E49&lt;=V$3+6),"▼",IF(AND($E49&gt;=V$3,$E49&lt;=V$3+6),$A49,"")))</f>
        <v/>
      </c>
      <c r="W49" s="47" t="str">
        <f aca="false">IF($A49="","",IF(AND(INDEX(工程マスタ!$I$5:$I$154,$A49)="○",$E49&gt;=W$3,$E49&lt;=W$3+6),"▼",IF(AND($E49&gt;=W$3,$E49&lt;=W$3+6),$A49,"")))</f>
        <v/>
      </c>
      <c r="X49" s="47" t="str">
        <f aca="false">IF($A49="","",IF(AND(INDEX(工程マスタ!$I$5:$I$154,$A49)="○",$E49&gt;=X$3,$E49&lt;=X$3+6),"▼",IF(AND($E49&gt;=X$3,$E49&lt;=X$3+6),$A49,"")))</f>
        <v/>
      </c>
      <c r="Y49" s="47" t="str">
        <f aca="false">IF($A49="","",IF(AND(INDEX(工程マスタ!$I$5:$I$154,$A49)="○",$E49&gt;=Y$3,$E49&lt;=Y$3+6),"▼",IF(AND($E49&gt;=Y$3,$E49&lt;=Y$3+6),$A49,"")))</f>
        <v/>
      </c>
      <c r="Z49" s="47" t="str">
        <f aca="false">IF($A49="","",IF(AND(INDEX(工程マスタ!$I$5:$I$154,$A49)="○",$E49&gt;=Z$3,$E49&lt;=Z$3+6),"▼",IF(AND($E49&gt;=Z$3,$E49&lt;=Z$3+6),$A49,"")))</f>
        <v/>
      </c>
      <c r="AA49" s="47" t="str">
        <f aca="false">IF($A49="","",IF(AND(INDEX(工程マスタ!$I$5:$I$154,$A49)="○",$E49&gt;=AA$3,$E49&lt;=AA$3+6),"▼",IF(AND($E49&gt;=AA$3,$E49&lt;=AA$3+6),$A49,"")))</f>
        <v/>
      </c>
      <c r="AB49" s="47" t="str">
        <f aca="false">IF($A49="","",IF(AND(INDEX(工程マスタ!$I$5:$I$154,$A49)="○",$E49&gt;=AB$3,$E49&lt;=AB$3+6),"▼",IF(AND($E49&gt;=AB$3,$E49&lt;=AB$3+6),$A49,"")))</f>
        <v/>
      </c>
      <c r="AC49" s="47" t="str">
        <f aca="false">IF($A49="","",IF(AND(INDEX(工程マスタ!$I$5:$I$154,$A49)="○",$E49&gt;=AC$3,$E49&lt;=AC$3+6),"▼",IF(AND($E49&gt;=AC$3,$E49&lt;=AC$3+6),$A49,"")))</f>
        <v/>
      </c>
      <c r="AD49" s="47" t="str">
        <f aca="false">IF($A49="","",IF(AND(INDEX(工程マスタ!$I$5:$I$154,$A49)="○",$E49&gt;=AD$3,$E49&lt;=AD$3+6),"▼",IF(AND($E49&gt;=AD$3,$E49&lt;=AD$3+6),$A49,"")))</f>
        <v/>
      </c>
      <c r="AE49" s="47" t="str">
        <f aca="false">IF($A49="","",IF(AND(INDEX(工程マスタ!$I$5:$I$154,$A49)="○",$E49&gt;=AE$3,$E49&lt;=AE$3+6),"▼",IF(AND($E49&gt;=AE$3,$E49&lt;=AE$3+6),$A49,"")))</f>
        <v/>
      </c>
      <c r="AF49" s="47" t="str">
        <f aca="false">IF($A49="","",IF(AND(INDEX(工程マスタ!$I$5:$I$154,$A49)="○",$E49&gt;=AF$3,$E49&lt;=AF$3+6),"▼",IF(AND($E49&gt;=AF$3,$E49&lt;=AF$3+6),$A49,"")))</f>
        <v/>
      </c>
      <c r="AG49" s="47" t="str">
        <f aca="false">IF($A49="","",IF(AND(INDEX(工程マスタ!$I$5:$I$154,$A49)="○",$E49&gt;=AG$3,$E49&lt;=AG$3+6),"▼",IF(AND($E49&gt;=AG$3,$E49&lt;=AG$3+6),$A49,"")))</f>
        <v/>
      </c>
      <c r="AH49" s="47" t="str">
        <f aca="false">IF($A49="","",IF(AND(INDEX(工程マスタ!$I$5:$I$154,$A49)="○",$E49&gt;=AH$3,$E49&lt;=AH$3+6),"▼",IF(AND($E49&gt;=AH$3,$E49&lt;=AH$3+6),$A49,"")))</f>
        <v/>
      </c>
      <c r="AI49" s="47" t="str">
        <f aca="false">IF($A49="","",IF(AND(INDEX(工程マスタ!$I$5:$I$154,$A49)="○",$E49&gt;=AI$3,$E49&lt;=AI$3+6),"▼",IF(AND($E49&gt;=AI$3,$E49&lt;=AI$3+6),$A49,"")))</f>
        <v/>
      </c>
      <c r="AJ49" s="47" t="str">
        <f aca="false">IF($A49="","",IF(AND(INDEX(工程マスタ!$I$5:$I$154,$A49)="○",$E49&gt;=AJ$3,$E49&lt;=AJ$3+6),"▼",IF(AND($E49&gt;=AJ$3,$E49&lt;=AJ$3+6),$A49,"")))</f>
        <v/>
      </c>
      <c r="AK49" s="47" t="str">
        <f aca="false">IF($A49="","",IF(AND(INDEX(工程マスタ!$I$5:$I$154,$A49)="○",$E49&gt;=AK$3,$E49&lt;=AK$3+6),"▼",IF(AND($E49&gt;=AK$3,$E49&lt;=AK$3+6),$A49,"")))</f>
        <v/>
      </c>
      <c r="AL49" s="47" t="str">
        <f aca="false">IF($A49="","",IF(AND(INDEX(工程マスタ!$I$5:$I$154,$A49)="○",$E49&gt;=AL$3,$E49&lt;=AL$3+6),"▼",IF(AND($E49&gt;=AL$3,$E49&lt;=AL$3+6),$A49,"")))</f>
        <v/>
      </c>
      <c r="AM49" s="47" t="str">
        <f aca="false">IF($A49="","",IF(AND(INDEX(工程マスタ!$I$5:$I$154,$A49)="○",$E49&gt;=AM$3,$E49&lt;=AM$3+6),"▼",IF(AND($E49&gt;=AM$3,$E49&lt;=AM$3+6),$A49,"")))</f>
        <v/>
      </c>
      <c r="AN49" s="47" t="str">
        <f aca="false">IF($A49="","",IF(AND(INDEX(工程マスタ!$I$5:$I$154,$A49)="○",$E49&gt;=AN$3,$E49&lt;=AN$3+6),"▼",IF(AND($E49&gt;=AN$3,$E49&lt;=AN$3+6),$A49,"")))</f>
        <v/>
      </c>
      <c r="AO49" s="47" t="str">
        <f aca="false">IF($A49="","",IF(AND(INDEX(工程マスタ!$I$5:$I$154,$A49)="○",$E49&gt;=AO$3,$E49&lt;=AO$3+6),"▼",IF(AND($E49&gt;=AO$3,$E49&lt;=AO$3+6),$A49,"")))</f>
        <v/>
      </c>
      <c r="AP49" s="47" t="str">
        <f aca="false">IF($A49="","",IF(AND(INDEX(工程マスタ!$I$5:$I$154,$A49)="○",$E49&gt;=AP$3,$E49&lt;=AP$3+6),"▼",IF(AND($E49&gt;=AP$3,$E49&lt;=AP$3+6),$A49,"")))</f>
        <v/>
      </c>
      <c r="AQ49" s="47" t="str">
        <f aca="false">IF($A49="","",IF(AND(INDEX(工程マスタ!$I$5:$I$154,$A49)="○",$E49&gt;=AQ$3,$E49&lt;=AQ$3+6),"▼",IF(AND($E49&gt;=AQ$3,$E49&lt;=AQ$3+6),$A49,"")))</f>
        <v/>
      </c>
      <c r="AR49" s="47" t="str">
        <f aca="false">IF($A49="","",IF(AND(INDEX(工程マスタ!$I$5:$I$154,$A49)="○",$E49&gt;=AR$3,$E49&lt;=AR$3+6),"▼",IF(AND($E49&gt;=AR$3,$E49&lt;=AR$3+6),$A49,"")))</f>
        <v/>
      </c>
      <c r="AS49" s="47" t="str">
        <f aca="false">IF($A49="","",IF(AND(INDEX(工程マスタ!$I$5:$I$154,$A49)="○",$E49&gt;=AS$3,$E49&lt;=AS$3+6),"▼",IF(AND($E49&gt;=AS$3,$E49&lt;=AS$3+6),$A49,"")))</f>
        <v/>
      </c>
      <c r="AT49" s="47" t="str">
        <f aca="false">IF($A49="","",IF(AND(INDEX(工程マスタ!$I$5:$I$154,$A49)="○",$E49&gt;=AT$3,$E49&lt;=AT$3+6),"▼",IF(AND($E49&gt;=AT$3,$E49&lt;=AT$3+6),$A49,"")))</f>
        <v/>
      </c>
      <c r="AU49" s="47" t="str">
        <f aca="false">IF($A49="","",IF(AND(INDEX(工程マスタ!$I$5:$I$154,$A49)="○",$E49&gt;=AU$3,$E49&lt;=AU$3+6),"▼",IF(AND($E49&gt;=AU$3,$E49&lt;=AU$3+6),$A49,"")))</f>
        <v/>
      </c>
      <c r="AV49" s="47" t="str">
        <f aca="false">IF($A49="","",IF(AND(INDEX(工程マスタ!$I$5:$I$154,$A49)="○",$E49&gt;=AV$3,$E49&lt;=AV$3+6),"▼",IF(AND($E49&gt;=AV$3,$E49&lt;=AV$3+6),$A49,"")))</f>
        <v/>
      </c>
      <c r="AW49" s="47" t="str">
        <f aca="false">IF($A49="","",IF(AND(INDEX(工程マスタ!$I$5:$I$154,$A49)="○",$E49&gt;=AW$3,$E49&lt;=AW$3+6),"▼",IF(AND($E49&gt;=AW$3,$E49&lt;=AW$3+6),$A49,"")))</f>
        <v/>
      </c>
      <c r="AX49" s="47" t="str">
        <f aca="false">IF($A49="","",IF(AND(INDEX(工程マスタ!$I$5:$I$154,$A49)="○",$E49&gt;=AX$3,$E49&lt;=AX$3+6),"▼",IF(AND($E49&gt;=AX$3,$E49&lt;=AX$3+6),$A49,"")))</f>
        <v/>
      </c>
      <c r="AY49" s="47" t="str">
        <f aca="false">IF($A49="","",IF(AND(INDEX(工程マスタ!$I$5:$I$154,$A49)="○",$E49&gt;=AY$3,$E49&lt;=AY$3+6),"▼",IF(AND($E49&gt;=AY$3,$E49&lt;=AY$3+6),$A49,"")))</f>
        <v/>
      </c>
      <c r="AZ49" s="47" t="str">
        <f aca="false">IF($A49="","",IF(AND(INDEX(工程マスタ!$I$5:$I$154,$A49)="○",$E49&gt;=AZ$3,$E49&lt;=AZ$3+6),"▼",IF(AND($E49&gt;=AZ$3,$E49&lt;=AZ$3+6),$A49,"")))</f>
        <v/>
      </c>
      <c r="BA49" s="47" t="str">
        <f aca="false">IF($A49="","",IF(AND(INDEX(工程マスタ!$I$5:$I$154,$A49)="○",$E49&gt;=BA$3,$E49&lt;=BA$3+6),"▼",IF(AND($E49&gt;=BA$3,$E49&lt;=BA$3+6),$A49,"")))</f>
        <v/>
      </c>
      <c r="BB49" s="47" t="str">
        <f aca="false">IF($A49="","",IF(AND(INDEX(工程マスタ!$I$5:$I$154,$A49)="○",$E49&gt;=BB$3,$E49&lt;=BB$3+6),"▼",IF(AND($E49&gt;=BB$3,$E49&lt;=BB$3+6),$A49,"")))</f>
        <v/>
      </c>
      <c r="BC49" s="47" t="str">
        <f aca="false">IF($A49="","",IF(AND(INDEX(工程マスタ!$I$5:$I$154,$A49)="○",$E49&gt;=BC$3,$E49&lt;=BC$3+6),"▼",IF(AND($E49&gt;=BC$3,$E49&lt;=BC$3+6),$A49,"")))</f>
        <v/>
      </c>
      <c r="BD49" s="47" t="str">
        <f aca="false">IF($A49="","",IF(AND(INDEX(工程マスタ!$I$5:$I$154,$A49)="○",$E49&gt;=BD$3,$E49&lt;=BD$3+6),"▼",IF(AND($E49&gt;=BD$3,$E49&lt;=BD$3+6),$A49,"")))</f>
        <v/>
      </c>
      <c r="BE49" s="47" t="str">
        <f aca="false">IF($A49="","",IF(AND(INDEX(工程マスタ!$I$5:$I$154,$A49)="○",$E49&gt;=BE$3,$E49&lt;=BE$3+6),"▼",IF(AND($E49&gt;=BE$3,$E49&lt;=BE$3+6),$A49,"")))</f>
        <v/>
      </c>
      <c r="BF49" s="47" t="str">
        <f aca="false">IF($A49="","",IF(AND(INDEX(工程マスタ!$I$5:$I$154,$A49)="○",$E49&gt;=BF$3,$E49&lt;=BF$3+6),"▼",IF(AND($E49&gt;=BF$3,$E49&lt;=BF$3+6),$A49,"")))</f>
        <v/>
      </c>
      <c r="BG49" s="47" t="str">
        <f aca="false">IF($A49="","",IF(AND(INDEX(工程マスタ!$I$5:$I$154,$A49)="○",$E49&gt;=BG$3,$E49&lt;=BG$3+6),"▼",IF(AND($E49&gt;=BG$3,$E49&lt;=BG$3+6),$A49,"")))</f>
        <v/>
      </c>
      <c r="BH49" s="47" t="str">
        <f aca="false">IF($A49="","",IF(AND(INDEX(工程マスタ!$I$5:$I$154,$A49)="○",$E49&gt;=BH$3,$E49&lt;=BH$3+6),"▼",IF(AND($E49&gt;=BH$3,$E49&lt;=BH$3+6),$A49,"")))</f>
        <v/>
      </c>
      <c r="BI49" s="47" t="str">
        <f aca="false">IF($A49="","",IF(AND(INDEX(工程マスタ!$I$5:$I$154,$A49)="○",$E49&gt;=BI$3,$E49&lt;=BI$3+6),"▼",IF(AND($E49&gt;=BI$3,$E49&lt;=BI$3+6),$A49,"")))</f>
        <v/>
      </c>
      <c r="BJ49" s="47" t="str">
        <f aca="false">IF($A49="","",IF(AND(INDEX(工程マスタ!$I$5:$I$154,$A49)="○",$E49&gt;=BJ$3,$E49&lt;=BJ$3+6),"▼",IF(AND($E49&gt;=BJ$3,$E49&lt;=BJ$3+6),$A49,"")))</f>
        <v/>
      </c>
    </row>
    <row r="50" customFormat="false" ht="15" hidden="false" customHeight="false" outlineLevel="0" collapsed="false">
      <c r="A50" s="28" t="n">
        <f aca="false">IF(工程マスタ!$C48="","",工程マスタ!$A48)</f>
        <v>44</v>
      </c>
      <c r="B50" s="46" t="str">
        <f aca="false">IF($A50="","",工程マスタ!$C48)</f>
        <v>仮囲い・事務所撤去</v>
      </c>
      <c r="C50" s="28" t="n">
        <f aca="false">IF($A50="","",MAX(1,工程マスタ!$G48))</f>
        <v>6</v>
      </c>
      <c r="D50" s="28" t="str">
        <f aca="false">IF($A50="","",_xlfn.TEXTJOIN(",",TRUE(),工程マスタ!$N48:$P48))</f>
        <v>38,43</v>
      </c>
      <c r="E50" s="29" t="n">
        <f aca="false">IF($A50="","",IF(COUNT(工程マスタ!$N48:$P48)=0,設定!$B$8,MAX(IF(工程マスタ!$N48="",0,INDEX($F$7:$F$156,工程マスタ!$N48)),IF(工程マスタ!$O48="",0,INDEX($F$7:$F$156,工程マスタ!$O48)),IF(工程マスタ!$P48="",0,INDEX($F$7:$F$156,工程マスタ!$P48)))+1))</f>
        <v>46618</v>
      </c>
      <c r="F50" s="29" t="n">
        <f aca="false">IF($A50="","",$E50+$C50-1)</f>
        <v>46623</v>
      </c>
      <c r="G50" s="29" t="n">
        <f aca="false">IF($A50="","",$H50-$C50+1)</f>
        <v>46618</v>
      </c>
      <c r="H50" s="29" t="n">
        <f aca="false" t="array" ref="H50:H50">IF($A50="","",IF(SUMPRODUCT((工程マスタ!$N$49:$N$154=$A50)*1)+SUMPRODUCT((工程マスタ!$O$49:$O$154=$A50)*1)+SUMPRODUCT((工程マスタ!$P$49:$P$154=$A50)*1)=0,MAX($F$7:$F$156),MIN(IF((工程マスタ!$N$49:$N$154=$A50)+(工程マスタ!$O$49:$O$154=$A50)+(工程マスタ!$P$49:$P$154=$A50),$G51:$G$156))-1))</f>
        <v>46623</v>
      </c>
      <c r="I50" s="28" t="n">
        <f aca="false">IF($A50="","",$G50-$E50)</f>
        <v>0</v>
      </c>
      <c r="J50" s="28" t="str">
        <f aca="false">IF($A50="","",IF($I50&lt;=0,"●",""))</f>
        <v>●</v>
      </c>
      <c r="K50" s="47" t="str">
        <f aca="false">IF($A50="","",IF(AND(INDEX(工程マスタ!$I$5:$I$154,$A50)="○",$E50&gt;=K$3,$E50&lt;=K$3+6),"▼",IF(AND($E50&gt;=K$3,$E50&lt;=K$3+6),$A50,"")))</f>
        <v/>
      </c>
      <c r="L50" s="47" t="str">
        <f aca="false">IF($A50="","",IF(AND(INDEX(工程マスタ!$I$5:$I$154,$A50)="○",$E50&gt;=L$3,$E50&lt;=L$3+6),"▼",IF(AND($E50&gt;=L$3,$E50&lt;=L$3+6),$A50,"")))</f>
        <v/>
      </c>
      <c r="M50" s="47" t="str">
        <f aca="false">IF($A50="","",IF(AND(INDEX(工程マスタ!$I$5:$I$154,$A50)="○",$E50&gt;=M$3,$E50&lt;=M$3+6),"▼",IF(AND($E50&gt;=M$3,$E50&lt;=M$3+6),$A50,"")))</f>
        <v/>
      </c>
      <c r="N50" s="47" t="str">
        <f aca="false">IF($A50="","",IF(AND(INDEX(工程マスタ!$I$5:$I$154,$A50)="○",$E50&gt;=N$3,$E50&lt;=N$3+6),"▼",IF(AND($E50&gt;=N$3,$E50&lt;=N$3+6),$A50,"")))</f>
        <v/>
      </c>
      <c r="O50" s="47" t="str">
        <f aca="false">IF($A50="","",IF(AND(INDEX(工程マスタ!$I$5:$I$154,$A50)="○",$E50&gt;=O$3,$E50&lt;=O$3+6),"▼",IF(AND($E50&gt;=O$3,$E50&lt;=O$3+6),$A50,"")))</f>
        <v/>
      </c>
      <c r="P50" s="47" t="str">
        <f aca="false">IF($A50="","",IF(AND(INDEX(工程マスタ!$I$5:$I$154,$A50)="○",$E50&gt;=P$3,$E50&lt;=P$3+6),"▼",IF(AND($E50&gt;=P$3,$E50&lt;=P$3+6),$A50,"")))</f>
        <v/>
      </c>
      <c r="Q50" s="47" t="str">
        <f aca="false">IF($A50="","",IF(AND(INDEX(工程マスタ!$I$5:$I$154,$A50)="○",$E50&gt;=Q$3,$E50&lt;=Q$3+6),"▼",IF(AND($E50&gt;=Q$3,$E50&lt;=Q$3+6),$A50,"")))</f>
        <v/>
      </c>
      <c r="R50" s="47" t="str">
        <f aca="false">IF($A50="","",IF(AND(INDEX(工程マスタ!$I$5:$I$154,$A50)="○",$E50&gt;=R$3,$E50&lt;=R$3+6),"▼",IF(AND($E50&gt;=R$3,$E50&lt;=R$3+6),$A50,"")))</f>
        <v/>
      </c>
      <c r="S50" s="47" t="str">
        <f aca="false">IF($A50="","",IF(AND(INDEX(工程マスタ!$I$5:$I$154,$A50)="○",$E50&gt;=S$3,$E50&lt;=S$3+6),"▼",IF(AND($E50&gt;=S$3,$E50&lt;=S$3+6),$A50,"")))</f>
        <v/>
      </c>
      <c r="T50" s="47" t="str">
        <f aca="false">IF($A50="","",IF(AND(INDEX(工程マスタ!$I$5:$I$154,$A50)="○",$E50&gt;=T$3,$E50&lt;=T$3+6),"▼",IF(AND($E50&gt;=T$3,$E50&lt;=T$3+6),$A50,"")))</f>
        <v/>
      </c>
      <c r="U50" s="47" t="str">
        <f aca="false">IF($A50="","",IF(AND(INDEX(工程マスタ!$I$5:$I$154,$A50)="○",$E50&gt;=U$3,$E50&lt;=U$3+6),"▼",IF(AND($E50&gt;=U$3,$E50&lt;=U$3+6),$A50,"")))</f>
        <v/>
      </c>
      <c r="V50" s="47" t="str">
        <f aca="false">IF($A50="","",IF(AND(INDEX(工程マスタ!$I$5:$I$154,$A50)="○",$E50&gt;=V$3,$E50&lt;=V$3+6),"▼",IF(AND($E50&gt;=V$3,$E50&lt;=V$3+6),$A50,"")))</f>
        <v/>
      </c>
      <c r="W50" s="47" t="str">
        <f aca="false">IF($A50="","",IF(AND(INDEX(工程マスタ!$I$5:$I$154,$A50)="○",$E50&gt;=W$3,$E50&lt;=W$3+6),"▼",IF(AND($E50&gt;=W$3,$E50&lt;=W$3+6),$A50,"")))</f>
        <v/>
      </c>
      <c r="X50" s="47" t="str">
        <f aca="false">IF($A50="","",IF(AND(INDEX(工程マスタ!$I$5:$I$154,$A50)="○",$E50&gt;=X$3,$E50&lt;=X$3+6),"▼",IF(AND($E50&gt;=X$3,$E50&lt;=X$3+6),$A50,"")))</f>
        <v/>
      </c>
      <c r="Y50" s="47" t="str">
        <f aca="false">IF($A50="","",IF(AND(INDEX(工程マスタ!$I$5:$I$154,$A50)="○",$E50&gt;=Y$3,$E50&lt;=Y$3+6),"▼",IF(AND($E50&gt;=Y$3,$E50&lt;=Y$3+6),$A50,"")))</f>
        <v/>
      </c>
      <c r="Z50" s="47" t="str">
        <f aca="false">IF($A50="","",IF(AND(INDEX(工程マスタ!$I$5:$I$154,$A50)="○",$E50&gt;=Z$3,$E50&lt;=Z$3+6),"▼",IF(AND($E50&gt;=Z$3,$E50&lt;=Z$3+6),$A50,"")))</f>
        <v/>
      </c>
      <c r="AA50" s="47" t="str">
        <f aca="false">IF($A50="","",IF(AND(INDEX(工程マスタ!$I$5:$I$154,$A50)="○",$E50&gt;=AA$3,$E50&lt;=AA$3+6),"▼",IF(AND($E50&gt;=AA$3,$E50&lt;=AA$3+6),$A50,"")))</f>
        <v/>
      </c>
      <c r="AB50" s="47" t="str">
        <f aca="false">IF($A50="","",IF(AND(INDEX(工程マスタ!$I$5:$I$154,$A50)="○",$E50&gt;=AB$3,$E50&lt;=AB$3+6),"▼",IF(AND($E50&gt;=AB$3,$E50&lt;=AB$3+6),$A50,"")))</f>
        <v/>
      </c>
      <c r="AC50" s="47" t="str">
        <f aca="false">IF($A50="","",IF(AND(INDEX(工程マスタ!$I$5:$I$154,$A50)="○",$E50&gt;=AC$3,$E50&lt;=AC$3+6),"▼",IF(AND($E50&gt;=AC$3,$E50&lt;=AC$3+6),$A50,"")))</f>
        <v/>
      </c>
      <c r="AD50" s="47" t="str">
        <f aca="false">IF($A50="","",IF(AND(INDEX(工程マスタ!$I$5:$I$154,$A50)="○",$E50&gt;=AD$3,$E50&lt;=AD$3+6),"▼",IF(AND($E50&gt;=AD$3,$E50&lt;=AD$3+6),$A50,"")))</f>
        <v/>
      </c>
      <c r="AE50" s="47" t="str">
        <f aca="false">IF($A50="","",IF(AND(INDEX(工程マスタ!$I$5:$I$154,$A50)="○",$E50&gt;=AE$3,$E50&lt;=AE$3+6),"▼",IF(AND($E50&gt;=AE$3,$E50&lt;=AE$3+6),$A50,"")))</f>
        <v/>
      </c>
      <c r="AF50" s="47" t="str">
        <f aca="false">IF($A50="","",IF(AND(INDEX(工程マスタ!$I$5:$I$154,$A50)="○",$E50&gt;=AF$3,$E50&lt;=AF$3+6),"▼",IF(AND($E50&gt;=AF$3,$E50&lt;=AF$3+6),$A50,"")))</f>
        <v/>
      </c>
      <c r="AG50" s="47" t="str">
        <f aca="false">IF($A50="","",IF(AND(INDEX(工程マスタ!$I$5:$I$154,$A50)="○",$E50&gt;=AG$3,$E50&lt;=AG$3+6),"▼",IF(AND($E50&gt;=AG$3,$E50&lt;=AG$3+6),$A50,"")))</f>
        <v/>
      </c>
      <c r="AH50" s="47" t="str">
        <f aca="false">IF($A50="","",IF(AND(INDEX(工程マスタ!$I$5:$I$154,$A50)="○",$E50&gt;=AH$3,$E50&lt;=AH$3+6),"▼",IF(AND($E50&gt;=AH$3,$E50&lt;=AH$3+6),$A50,"")))</f>
        <v/>
      </c>
      <c r="AI50" s="47" t="str">
        <f aca="false">IF($A50="","",IF(AND(INDEX(工程マスタ!$I$5:$I$154,$A50)="○",$E50&gt;=AI$3,$E50&lt;=AI$3+6),"▼",IF(AND($E50&gt;=AI$3,$E50&lt;=AI$3+6),$A50,"")))</f>
        <v/>
      </c>
      <c r="AJ50" s="47" t="str">
        <f aca="false">IF($A50="","",IF(AND(INDEX(工程マスタ!$I$5:$I$154,$A50)="○",$E50&gt;=AJ$3,$E50&lt;=AJ$3+6),"▼",IF(AND($E50&gt;=AJ$3,$E50&lt;=AJ$3+6),$A50,"")))</f>
        <v/>
      </c>
      <c r="AK50" s="47" t="str">
        <f aca="false">IF($A50="","",IF(AND(INDEX(工程マスタ!$I$5:$I$154,$A50)="○",$E50&gt;=AK$3,$E50&lt;=AK$3+6),"▼",IF(AND($E50&gt;=AK$3,$E50&lt;=AK$3+6),$A50,"")))</f>
        <v/>
      </c>
      <c r="AL50" s="47" t="str">
        <f aca="false">IF($A50="","",IF(AND(INDEX(工程マスタ!$I$5:$I$154,$A50)="○",$E50&gt;=AL$3,$E50&lt;=AL$3+6),"▼",IF(AND($E50&gt;=AL$3,$E50&lt;=AL$3+6),$A50,"")))</f>
        <v/>
      </c>
      <c r="AM50" s="47" t="str">
        <f aca="false">IF($A50="","",IF(AND(INDEX(工程マスタ!$I$5:$I$154,$A50)="○",$E50&gt;=AM$3,$E50&lt;=AM$3+6),"▼",IF(AND($E50&gt;=AM$3,$E50&lt;=AM$3+6),$A50,"")))</f>
        <v/>
      </c>
      <c r="AN50" s="47" t="str">
        <f aca="false">IF($A50="","",IF(AND(INDEX(工程マスタ!$I$5:$I$154,$A50)="○",$E50&gt;=AN$3,$E50&lt;=AN$3+6),"▼",IF(AND($E50&gt;=AN$3,$E50&lt;=AN$3+6),$A50,"")))</f>
        <v/>
      </c>
      <c r="AO50" s="47" t="str">
        <f aca="false">IF($A50="","",IF(AND(INDEX(工程マスタ!$I$5:$I$154,$A50)="○",$E50&gt;=AO$3,$E50&lt;=AO$3+6),"▼",IF(AND($E50&gt;=AO$3,$E50&lt;=AO$3+6),$A50,"")))</f>
        <v/>
      </c>
      <c r="AP50" s="47" t="str">
        <f aca="false">IF($A50="","",IF(AND(INDEX(工程マスタ!$I$5:$I$154,$A50)="○",$E50&gt;=AP$3,$E50&lt;=AP$3+6),"▼",IF(AND($E50&gt;=AP$3,$E50&lt;=AP$3+6),$A50,"")))</f>
        <v/>
      </c>
      <c r="AQ50" s="47" t="str">
        <f aca="false">IF($A50="","",IF(AND(INDEX(工程マスタ!$I$5:$I$154,$A50)="○",$E50&gt;=AQ$3,$E50&lt;=AQ$3+6),"▼",IF(AND($E50&gt;=AQ$3,$E50&lt;=AQ$3+6),$A50,"")))</f>
        <v/>
      </c>
      <c r="AR50" s="47" t="str">
        <f aca="false">IF($A50="","",IF(AND(INDEX(工程マスタ!$I$5:$I$154,$A50)="○",$E50&gt;=AR$3,$E50&lt;=AR$3+6),"▼",IF(AND($E50&gt;=AR$3,$E50&lt;=AR$3+6),$A50,"")))</f>
        <v/>
      </c>
      <c r="AS50" s="47" t="str">
        <f aca="false">IF($A50="","",IF(AND(INDEX(工程マスタ!$I$5:$I$154,$A50)="○",$E50&gt;=AS$3,$E50&lt;=AS$3+6),"▼",IF(AND($E50&gt;=AS$3,$E50&lt;=AS$3+6),$A50,"")))</f>
        <v/>
      </c>
      <c r="AT50" s="47" t="str">
        <f aca="false">IF($A50="","",IF(AND(INDEX(工程マスタ!$I$5:$I$154,$A50)="○",$E50&gt;=AT$3,$E50&lt;=AT$3+6),"▼",IF(AND($E50&gt;=AT$3,$E50&lt;=AT$3+6),$A50,"")))</f>
        <v/>
      </c>
      <c r="AU50" s="47" t="str">
        <f aca="false">IF($A50="","",IF(AND(INDEX(工程マスタ!$I$5:$I$154,$A50)="○",$E50&gt;=AU$3,$E50&lt;=AU$3+6),"▼",IF(AND($E50&gt;=AU$3,$E50&lt;=AU$3+6),$A50,"")))</f>
        <v/>
      </c>
      <c r="AV50" s="47" t="str">
        <f aca="false">IF($A50="","",IF(AND(INDEX(工程マスタ!$I$5:$I$154,$A50)="○",$E50&gt;=AV$3,$E50&lt;=AV$3+6),"▼",IF(AND($E50&gt;=AV$3,$E50&lt;=AV$3+6),$A50,"")))</f>
        <v/>
      </c>
      <c r="AW50" s="47" t="str">
        <f aca="false">IF($A50="","",IF(AND(INDEX(工程マスタ!$I$5:$I$154,$A50)="○",$E50&gt;=AW$3,$E50&lt;=AW$3+6),"▼",IF(AND($E50&gt;=AW$3,$E50&lt;=AW$3+6),$A50,"")))</f>
        <v/>
      </c>
      <c r="AX50" s="47" t="str">
        <f aca="false">IF($A50="","",IF(AND(INDEX(工程マスタ!$I$5:$I$154,$A50)="○",$E50&gt;=AX$3,$E50&lt;=AX$3+6),"▼",IF(AND($E50&gt;=AX$3,$E50&lt;=AX$3+6),$A50,"")))</f>
        <v/>
      </c>
      <c r="AY50" s="47" t="str">
        <f aca="false">IF($A50="","",IF(AND(INDEX(工程マスタ!$I$5:$I$154,$A50)="○",$E50&gt;=AY$3,$E50&lt;=AY$3+6),"▼",IF(AND($E50&gt;=AY$3,$E50&lt;=AY$3+6),$A50,"")))</f>
        <v/>
      </c>
      <c r="AZ50" s="47" t="str">
        <f aca="false">IF($A50="","",IF(AND(INDEX(工程マスタ!$I$5:$I$154,$A50)="○",$E50&gt;=AZ$3,$E50&lt;=AZ$3+6),"▼",IF(AND($E50&gt;=AZ$3,$E50&lt;=AZ$3+6),$A50,"")))</f>
        <v/>
      </c>
      <c r="BA50" s="47" t="str">
        <f aca="false">IF($A50="","",IF(AND(INDEX(工程マスタ!$I$5:$I$154,$A50)="○",$E50&gt;=BA$3,$E50&lt;=BA$3+6),"▼",IF(AND($E50&gt;=BA$3,$E50&lt;=BA$3+6),$A50,"")))</f>
        <v/>
      </c>
      <c r="BB50" s="47" t="str">
        <f aca="false">IF($A50="","",IF(AND(INDEX(工程マスタ!$I$5:$I$154,$A50)="○",$E50&gt;=BB$3,$E50&lt;=BB$3+6),"▼",IF(AND($E50&gt;=BB$3,$E50&lt;=BB$3+6),$A50,"")))</f>
        <v/>
      </c>
      <c r="BC50" s="47" t="str">
        <f aca="false">IF($A50="","",IF(AND(INDEX(工程マスタ!$I$5:$I$154,$A50)="○",$E50&gt;=BC$3,$E50&lt;=BC$3+6),"▼",IF(AND($E50&gt;=BC$3,$E50&lt;=BC$3+6),$A50,"")))</f>
        <v/>
      </c>
      <c r="BD50" s="47" t="str">
        <f aca="false">IF($A50="","",IF(AND(INDEX(工程マスタ!$I$5:$I$154,$A50)="○",$E50&gt;=BD$3,$E50&lt;=BD$3+6),"▼",IF(AND($E50&gt;=BD$3,$E50&lt;=BD$3+6),$A50,"")))</f>
        <v/>
      </c>
      <c r="BE50" s="47" t="str">
        <f aca="false">IF($A50="","",IF(AND(INDEX(工程マスタ!$I$5:$I$154,$A50)="○",$E50&gt;=BE$3,$E50&lt;=BE$3+6),"▼",IF(AND($E50&gt;=BE$3,$E50&lt;=BE$3+6),$A50,"")))</f>
        <v/>
      </c>
      <c r="BF50" s="47" t="str">
        <f aca="false">IF($A50="","",IF(AND(INDEX(工程マスタ!$I$5:$I$154,$A50)="○",$E50&gt;=BF$3,$E50&lt;=BF$3+6),"▼",IF(AND($E50&gt;=BF$3,$E50&lt;=BF$3+6),$A50,"")))</f>
        <v/>
      </c>
      <c r="BG50" s="47" t="str">
        <f aca="false">IF($A50="","",IF(AND(INDEX(工程マスタ!$I$5:$I$154,$A50)="○",$E50&gt;=BG$3,$E50&lt;=BG$3+6),"▼",IF(AND($E50&gt;=BG$3,$E50&lt;=BG$3+6),$A50,"")))</f>
        <v/>
      </c>
      <c r="BH50" s="47" t="str">
        <f aca="false">IF($A50="","",IF(AND(INDEX(工程マスタ!$I$5:$I$154,$A50)="○",$E50&gt;=BH$3,$E50&lt;=BH$3+6),"▼",IF(AND($E50&gt;=BH$3,$E50&lt;=BH$3+6),$A50,"")))</f>
        <v/>
      </c>
      <c r="BI50" s="47" t="str">
        <f aca="false">IF($A50="","",IF(AND(INDEX(工程マスタ!$I$5:$I$154,$A50)="○",$E50&gt;=BI$3,$E50&lt;=BI$3+6),"▼",IF(AND($E50&gt;=BI$3,$E50&lt;=BI$3+6),$A50,"")))</f>
        <v/>
      </c>
      <c r="BJ50" s="47" t="str">
        <f aca="false">IF($A50="","",IF(AND(INDEX(工程マスタ!$I$5:$I$154,$A50)="○",$E50&gt;=BJ$3,$E50&lt;=BJ$3+6),"▼",IF(AND($E50&gt;=BJ$3,$E50&lt;=BJ$3+6),$A50,"")))</f>
        <v/>
      </c>
    </row>
    <row r="51" customFormat="false" ht="15" hidden="false" customHeight="false" outlineLevel="0" collapsed="false">
      <c r="A51" s="28" t="n">
        <f aca="false">IF(工程マスタ!$C49="","",工程マスタ!$A49)</f>
        <v>45</v>
      </c>
      <c r="B51" s="46" t="str">
        <f aca="false">IF($A51="","",工程マスタ!$C49)</f>
        <v>竣工・引渡し</v>
      </c>
      <c r="C51" s="28" t="n">
        <f aca="false">IF($A51="","",MAX(1,工程マスタ!$G49))</f>
        <v>1</v>
      </c>
      <c r="D51" s="28" t="str">
        <f aca="false">IF($A51="","",_xlfn.TEXTJOIN(",",TRUE(),工程マスタ!$N49:$P49))</f>
        <v>43,44</v>
      </c>
      <c r="E51" s="29" t="n">
        <f aca="false">IF($A51="","",IF(COUNT(工程マスタ!$N49:$P49)=0,設定!$B$8,MAX(IF(工程マスタ!$N49="",0,INDEX($F$7:$F$156,工程マスタ!$N49)),IF(工程マスタ!$O49="",0,INDEX($F$7:$F$156,工程マスタ!$O49)),IF(工程マスタ!$P49="",0,INDEX($F$7:$F$156,工程マスタ!$P49)))+1))</f>
        <v>46624</v>
      </c>
      <c r="F51" s="29" t="n">
        <f aca="false">IF($A51="","",$E51+$C51-1)</f>
        <v>46624</v>
      </c>
      <c r="G51" s="29" t="n">
        <f aca="false">IF($A51="","",$H51-$C51+1)</f>
        <v>46624</v>
      </c>
      <c r="H51" s="29" t="n">
        <f aca="false" t="array" ref="H51:H51">IF($A51="","",IF(SUMPRODUCT((工程マスタ!$N$50:$N$154=$A51)*1)+SUMPRODUCT((工程マスタ!$O$50:$O$154=$A51)*1)+SUMPRODUCT((工程マスタ!$P$50:$P$154=$A51)*1)=0,MAX($F$7:$F$156),MIN(IF((工程マスタ!$N$50:$N$154=$A51)+(工程マスタ!$O$50:$O$154=$A51)+(工程マスタ!$P$50:$P$154=$A51),$G52:$G$156))-1))</f>
        <v>46624</v>
      </c>
      <c r="I51" s="28" t="n">
        <f aca="false">IF($A51="","",$G51-$E51)</f>
        <v>0</v>
      </c>
      <c r="J51" s="28" t="str">
        <f aca="false">IF($A51="","",IF($I51&lt;=0,"●",""))</f>
        <v>●</v>
      </c>
      <c r="K51" s="47" t="str">
        <f aca="false">IF($A51="","",IF(AND(INDEX(工程マスタ!$I$5:$I$154,$A51)="○",$E51&gt;=K$3,$E51&lt;=K$3+6),"▼",IF(AND($E51&gt;=K$3,$E51&lt;=K$3+6),$A51,"")))</f>
        <v/>
      </c>
      <c r="L51" s="47" t="str">
        <f aca="false">IF($A51="","",IF(AND(INDEX(工程マスタ!$I$5:$I$154,$A51)="○",$E51&gt;=L$3,$E51&lt;=L$3+6),"▼",IF(AND($E51&gt;=L$3,$E51&lt;=L$3+6),$A51,"")))</f>
        <v/>
      </c>
      <c r="M51" s="47" t="str">
        <f aca="false">IF($A51="","",IF(AND(INDEX(工程マスタ!$I$5:$I$154,$A51)="○",$E51&gt;=M$3,$E51&lt;=M$3+6),"▼",IF(AND($E51&gt;=M$3,$E51&lt;=M$3+6),$A51,"")))</f>
        <v/>
      </c>
      <c r="N51" s="47" t="str">
        <f aca="false">IF($A51="","",IF(AND(INDEX(工程マスタ!$I$5:$I$154,$A51)="○",$E51&gt;=N$3,$E51&lt;=N$3+6),"▼",IF(AND($E51&gt;=N$3,$E51&lt;=N$3+6),$A51,"")))</f>
        <v/>
      </c>
      <c r="O51" s="47" t="str">
        <f aca="false">IF($A51="","",IF(AND(INDEX(工程マスタ!$I$5:$I$154,$A51)="○",$E51&gt;=O$3,$E51&lt;=O$3+6),"▼",IF(AND($E51&gt;=O$3,$E51&lt;=O$3+6),$A51,"")))</f>
        <v/>
      </c>
      <c r="P51" s="47" t="str">
        <f aca="false">IF($A51="","",IF(AND(INDEX(工程マスタ!$I$5:$I$154,$A51)="○",$E51&gt;=P$3,$E51&lt;=P$3+6),"▼",IF(AND($E51&gt;=P$3,$E51&lt;=P$3+6),$A51,"")))</f>
        <v/>
      </c>
      <c r="Q51" s="47" t="str">
        <f aca="false">IF($A51="","",IF(AND(INDEX(工程マスタ!$I$5:$I$154,$A51)="○",$E51&gt;=Q$3,$E51&lt;=Q$3+6),"▼",IF(AND($E51&gt;=Q$3,$E51&lt;=Q$3+6),$A51,"")))</f>
        <v/>
      </c>
      <c r="R51" s="47" t="str">
        <f aca="false">IF($A51="","",IF(AND(INDEX(工程マスタ!$I$5:$I$154,$A51)="○",$E51&gt;=R$3,$E51&lt;=R$3+6),"▼",IF(AND($E51&gt;=R$3,$E51&lt;=R$3+6),$A51,"")))</f>
        <v/>
      </c>
      <c r="S51" s="47" t="str">
        <f aca="false">IF($A51="","",IF(AND(INDEX(工程マスタ!$I$5:$I$154,$A51)="○",$E51&gt;=S$3,$E51&lt;=S$3+6),"▼",IF(AND($E51&gt;=S$3,$E51&lt;=S$3+6),$A51,"")))</f>
        <v/>
      </c>
      <c r="T51" s="47" t="str">
        <f aca="false">IF($A51="","",IF(AND(INDEX(工程マスタ!$I$5:$I$154,$A51)="○",$E51&gt;=T$3,$E51&lt;=T$3+6),"▼",IF(AND($E51&gt;=T$3,$E51&lt;=T$3+6),$A51,"")))</f>
        <v/>
      </c>
      <c r="U51" s="47" t="str">
        <f aca="false">IF($A51="","",IF(AND(INDEX(工程マスタ!$I$5:$I$154,$A51)="○",$E51&gt;=U$3,$E51&lt;=U$3+6),"▼",IF(AND($E51&gt;=U$3,$E51&lt;=U$3+6),$A51,"")))</f>
        <v/>
      </c>
      <c r="V51" s="47" t="str">
        <f aca="false">IF($A51="","",IF(AND(INDEX(工程マスタ!$I$5:$I$154,$A51)="○",$E51&gt;=V$3,$E51&lt;=V$3+6),"▼",IF(AND($E51&gt;=V$3,$E51&lt;=V$3+6),$A51,"")))</f>
        <v/>
      </c>
      <c r="W51" s="47" t="str">
        <f aca="false">IF($A51="","",IF(AND(INDEX(工程マスタ!$I$5:$I$154,$A51)="○",$E51&gt;=W$3,$E51&lt;=W$3+6),"▼",IF(AND($E51&gt;=W$3,$E51&lt;=W$3+6),$A51,"")))</f>
        <v/>
      </c>
      <c r="X51" s="47" t="str">
        <f aca="false">IF($A51="","",IF(AND(INDEX(工程マスタ!$I$5:$I$154,$A51)="○",$E51&gt;=X$3,$E51&lt;=X$3+6),"▼",IF(AND($E51&gt;=X$3,$E51&lt;=X$3+6),$A51,"")))</f>
        <v/>
      </c>
      <c r="Y51" s="47" t="str">
        <f aca="false">IF($A51="","",IF(AND(INDEX(工程マスタ!$I$5:$I$154,$A51)="○",$E51&gt;=Y$3,$E51&lt;=Y$3+6),"▼",IF(AND($E51&gt;=Y$3,$E51&lt;=Y$3+6),$A51,"")))</f>
        <v/>
      </c>
      <c r="Z51" s="47" t="str">
        <f aca="false">IF($A51="","",IF(AND(INDEX(工程マスタ!$I$5:$I$154,$A51)="○",$E51&gt;=Z$3,$E51&lt;=Z$3+6),"▼",IF(AND($E51&gt;=Z$3,$E51&lt;=Z$3+6),$A51,"")))</f>
        <v/>
      </c>
      <c r="AA51" s="47" t="str">
        <f aca="false">IF($A51="","",IF(AND(INDEX(工程マスタ!$I$5:$I$154,$A51)="○",$E51&gt;=AA$3,$E51&lt;=AA$3+6),"▼",IF(AND($E51&gt;=AA$3,$E51&lt;=AA$3+6),$A51,"")))</f>
        <v/>
      </c>
      <c r="AB51" s="47" t="str">
        <f aca="false">IF($A51="","",IF(AND(INDEX(工程マスタ!$I$5:$I$154,$A51)="○",$E51&gt;=AB$3,$E51&lt;=AB$3+6),"▼",IF(AND($E51&gt;=AB$3,$E51&lt;=AB$3+6),$A51,"")))</f>
        <v/>
      </c>
      <c r="AC51" s="47" t="str">
        <f aca="false">IF($A51="","",IF(AND(INDEX(工程マスタ!$I$5:$I$154,$A51)="○",$E51&gt;=AC$3,$E51&lt;=AC$3+6),"▼",IF(AND($E51&gt;=AC$3,$E51&lt;=AC$3+6),$A51,"")))</f>
        <v/>
      </c>
      <c r="AD51" s="47" t="str">
        <f aca="false">IF($A51="","",IF(AND(INDEX(工程マスタ!$I$5:$I$154,$A51)="○",$E51&gt;=AD$3,$E51&lt;=AD$3+6),"▼",IF(AND($E51&gt;=AD$3,$E51&lt;=AD$3+6),$A51,"")))</f>
        <v/>
      </c>
      <c r="AE51" s="47" t="str">
        <f aca="false">IF($A51="","",IF(AND(INDEX(工程マスタ!$I$5:$I$154,$A51)="○",$E51&gt;=AE$3,$E51&lt;=AE$3+6),"▼",IF(AND($E51&gt;=AE$3,$E51&lt;=AE$3+6),$A51,"")))</f>
        <v/>
      </c>
      <c r="AF51" s="47" t="str">
        <f aca="false">IF($A51="","",IF(AND(INDEX(工程マスタ!$I$5:$I$154,$A51)="○",$E51&gt;=AF$3,$E51&lt;=AF$3+6),"▼",IF(AND($E51&gt;=AF$3,$E51&lt;=AF$3+6),$A51,"")))</f>
        <v/>
      </c>
      <c r="AG51" s="47" t="str">
        <f aca="false">IF($A51="","",IF(AND(INDEX(工程マスタ!$I$5:$I$154,$A51)="○",$E51&gt;=AG$3,$E51&lt;=AG$3+6),"▼",IF(AND($E51&gt;=AG$3,$E51&lt;=AG$3+6),$A51,"")))</f>
        <v/>
      </c>
      <c r="AH51" s="47" t="str">
        <f aca="false">IF($A51="","",IF(AND(INDEX(工程マスタ!$I$5:$I$154,$A51)="○",$E51&gt;=AH$3,$E51&lt;=AH$3+6),"▼",IF(AND($E51&gt;=AH$3,$E51&lt;=AH$3+6),$A51,"")))</f>
        <v/>
      </c>
      <c r="AI51" s="47" t="str">
        <f aca="false">IF($A51="","",IF(AND(INDEX(工程マスタ!$I$5:$I$154,$A51)="○",$E51&gt;=AI$3,$E51&lt;=AI$3+6),"▼",IF(AND($E51&gt;=AI$3,$E51&lt;=AI$3+6),$A51,"")))</f>
        <v/>
      </c>
      <c r="AJ51" s="47" t="str">
        <f aca="false">IF($A51="","",IF(AND(INDEX(工程マスタ!$I$5:$I$154,$A51)="○",$E51&gt;=AJ$3,$E51&lt;=AJ$3+6),"▼",IF(AND($E51&gt;=AJ$3,$E51&lt;=AJ$3+6),$A51,"")))</f>
        <v/>
      </c>
      <c r="AK51" s="47" t="str">
        <f aca="false">IF($A51="","",IF(AND(INDEX(工程マスタ!$I$5:$I$154,$A51)="○",$E51&gt;=AK$3,$E51&lt;=AK$3+6),"▼",IF(AND($E51&gt;=AK$3,$E51&lt;=AK$3+6),$A51,"")))</f>
        <v/>
      </c>
      <c r="AL51" s="47" t="str">
        <f aca="false">IF($A51="","",IF(AND(INDEX(工程マスタ!$I$5:$I$154,$A51)="○",$E51&gt;=AL$3,$E51&lt;=AL$3+6),"▼",IF(AND($E51&gt;=AL$3,$E51&lt;=AL$3+6),$A51,"")))</f>
        <v/>
      </c>
      <c r="AM51" s="47" t="str">
        <f aca="false">IF($A51="","",IF(AND(INDEX(工程マスタ!$I$5:$I$154,$A51)="○",$E51&gt;=AM$3,$E51&lt;=AM$3+6),"▼",IF(AND($E51&gt;=AM$3,$E51&lt;=AM$3+6),$A51,"")))</f>
        <v/>
      </c>
      <c r="AN51" s="47" t="str">
        <f aca="false">IF($A51="","",IF(AND(INDEX(工程マスタ!$I$5:$I$154,$A51)="○",$E51&gt;=AN$3,$E51&lt;=AN$3+6),"▼",IF(AND($E51&gt;=AN$3,$E51&lt;=AN$3+6),$A51,"")))</f>
        <v/>
      </c>
      <c r="AO51" s="47" t="str">
        <f aca="false">IF($A51="","",IF(AND(INDEX(工程マスタ!$I$5:$I$154,$A51)="○",$E51&gt;=AO$3,$E51&lt;=AO$3+6),"▼",IF(AND($E51&gt;=AO$3,$E51&lt;=AO$3+6),$A51,"")))</f>
        <v/>
      </c>
      <c r="AP51" s="47" t="str">
        <f aca="false">IF($A51="","",IF(AND(INDEX(工程マスタ!$I$5:$I$154,$A51)="○",$E51&gt;=AP$3,$E51&lt;=AP$3+6),"▼",IF(AND($E51&gt;=AP$3,$E51&lt;=AP$3+6),$A51,"")))</f>
        <v/>
      </c>
      <c r="AQ51" s="47" t="str">
        <f aca="false">IF($A51="","",IF(AND(INDEX(工程マスタ!$I$5:$I$154,$A51)="○",$E51&gt;=AQ$3,$E51&lt;=AQ$3+6),"▼",IF(AND($E51&gt;=AQ$3,$E51&lt;=AQ$3+6),$A51,"")))</f>
        <v/>
      </c>
      <c r="AR51" s="47" t="str">
        <f aca="false">IF($A51="","",IF(AND(INDEX(工程マスタ!$I$5:$I$154,$A51)="○",$E51&gt;=AR$3,$E51&lt;=AR$3+6),"▼",IF(AND($E51&gt;=AR$3,$E51&lt;=AR$3+6),$A51,"")))</f>
        <v/>
      </c>
      <c r="AS51" s="47" t="str">
        <f aca="false">IF($A51="","",IF(AND(INDEX(工程マスタ!$I$5:$I$154,$A51)="○",$E51&gt;=AS$3,$E51&lt;=AS$3+6),"▼",IF(AND($E51&gt;=AS$3,$E51&lt;=AS$3+6),$A51,"")))</f>
        <v/>
      </c>
      <c r="AT51" s="47" t="str">
        <f aca="false">IF($A51="","",IF(AND(INDEX(工程マスタ!$I$5:$I$154,$A51)="○",$E51&gt;=AT$3,$E51&lt;=AT$3+6),"▼",IF(AND($E51&gt;=AT$3,$E51&lt;=AT$3+6),$A51,"")))</f>
        <v/>
      </c>
      <c r="AU51" s="47" t="str">
        <f aca="false">IF($A51="","",IF(AND(INDEX(工程マスタ!$I$5:$I$154,$A51)="○",$E51&gt;=AU$3,$E51&lt;=AU$3+6),"▼",IF(AND($E51&gt;=AU$3,$E51&lt;=AU$3+6),$A51,"")))</f>
        <v/>
      </c>
      <c r="AV51" s="47" t="str">
        <f aca="false">IF($A51="","",IF(AND(INDEX(工程マスタ!$I$5:$I$154,$A51)="○",$E51&gt;=AV$3,$E51&lt;=AV$3+6),"▼",IF(AND($E51&gt;=AV$3,$E51&lt;=AV$3+6),$A51,"")))</f>
        <v/>
      </c>
      <c r="AW51" s="47" t="str">
        <f aca="false">IF($A51="","",IF(AND(INDEX(工程マスタ!$I$5:$I$154,$A51)="○",$E51&gt;=AW$3,$E51&lt;=AW$3+6),"▼",IF(AND($E51&gt;=AW$3,$E51&lt;=AW$3+6),$A51,"")))</f>
        <v/>
      </c>
      <c r="AX51" s="47" t="str">
        <f aca="false">IF($A51="","",IF(AND(INDEX(工程マスタ!$I$5:$I$154,$A51)="○",$E51&gt;=AX$3,$E51&lt;=AX$3+6),"▼",IF(AND($E51&gt;=AX$3,$E51&lt;=AX$3+6),$A51,"")))</f>
        <v/>
      </c>
      <c r="AY51" s="47" t="str">
        <f aca="false">IF($A51="","",IF(AND(INDEX(工程マスタ!$I$5:$I$154,$A51)="○",$E51&gt;=AY$3,$E51&lt;=AY$3+6),"▼",IF(AND($E51&gt;=AY$3,$E51&lt;=AY$3+6),$A51,"")))</f>
        <v/>
      </c>
      <c r="AZ51" s="47" t="str">
        <f aca="false">IF($A51="","",IF(AND(INDEX(工程マスタ!$I$5:$I$154,$A51)="○",$E51&gt;=AZ$3,$E51&lt;=AZ$3+6),"▼",IF(AND($E51&gt;=AZ$3,$E51&lt;=AZ$3+6),$A51,"")))</f>
        <v/>
      </c>
      <c r="BA51" s="47" t="str">
        <f aca="false">IF($A51="","",IF(AND(INDEX(工程マスタ!$I$5:$I$154,$A51)="○",$E51&gt;=BA$3,$E51&lt;=BA$3+6),"▼",IF(AND($E51&gt;=BA$3,$E51&lt;=BA$3+6),$A51,"")))</f>
        <v/>
      </c>
      <c r="BB51" s="47" t="str">
        <f aca="false">IF($A51="","",IF(AND(INDEX(工程マスタ!$I$5:$I$154,$A51)="○",$E51&gt;=BB$3,$E51&lt;=BB$3+6),"▼",IF(AND($E51&gt;=BB$3,$E51&lt;=BB$3+6),$A51,"")))</f>
        <v/>
      </c>
      <c r="BC51" s="47" t="str">
        <f aca="false">IF($A51="","",IF(AND(INDEX(工程マスタ!$I$5:$I$154,$A51)="○",$E51&gt;=BC$3,$E51&lt;=BC$3+6),"▼",IF(AND($E51&gt;=BC$3,$E51&lt;=BC$3+6),$A51,"")))</f>
        <v/>
      </c>
      <c r="BD51" s="47" t="str">
        <f aca="false">IF($A51="","",IF(AND(INDEX(工程マスタ!$I$5:$I$154,$A51)="○",$E51&gt;=BD$3,$E51&lt;=BD$3+6),"▼",IF(AND($E51&gt;=BD$3,$E51&lt;=BD$3+6),$A51,"")))</f>
        <v/>
      </c>
      <c r="BE51" s="47" t="str">
        <f aca="false">IF($A51="","",IF(AND(INDEX(工程マスタ!$I$5:$I$154,$A51)="○",$E51&gt;=BE$3,$E51&lt;=BE$3+6),"▼",IF(AND($E51&gt;=BE$3,$E51&lt;=BE$3+6),$A51,"")))</f>
        <v/>
      </c>
      <c r="BF51" s="47" t="str">
        <f aca="false">IF($A51="","",IF(AND(INDEX(工程マスタ!$I$5:$I$154,$A51)="○",$E51&gt;=BF$3,$E51&lt;=BF$3+6),"▼",IF(AND($E51&gt;=BF$3,$E51&lt;=BF$3+6),$A51,"")))</f>
        <v/>
      </c>
      <c r="BG51" s="47" t="str">
        <f aca="false">IF($A51="","",IF(AND(INDEX(工程マスタ!$I$5:$I$154,$A51)="○",$E51&gt;=BG$3,$E51&lt;=BG$3+6),"▼",IF(AND($E51&gt;=BG$3,$E51&lt;=BG$3+6),$A51,"")))</f>
        <v/>
      </c>
      <c r="BH51" s="47" t="str">
        <f aca="false">IF($A51="","",IF(AND(INDEX(工程マスタ!$I$5:$I$154,$A51)="○",$E51&gt;=BH$3,$E51&lt;=BH$3+6),"▼",IF(AND($E51&gt;=BH$3,$E51&lt;=BH$3+6),$A51,"")))</f>
        <v/>
      </c>
      <c r="BI51" s="47" t="str">
        <f aca="false">IF($A51="","",IF(AND(INDEX(工程マスタ!$I$5:$I$154,$A51)="○",$E51&gt;=BI$3,$E51&lt;=BI$3+6),"▼",IF(AND($E51&gt;=BI$3,$E51&lt;=BI$3+6),$A51,"")))</f>
        <v/>
      </c>
      <c r="BJ51" s="47" t="str">
        <f aca="false">IF($A51="","",IF(AND(INDEX(工程マスタ!$I$5:$I$154,$A51)="○",$E51&gt;=BJ$3,$E51&lt;=BJ$3+6),"▼",IF(AND($E51&gt;=BJ$3,$E51&lt;=BJ$3+6),$A51,"")))</f>
        <v/>
      </c>
    </row>
    <row r="52" customFormat="false" ht="15" hidden="false" customHeight="false" outlineLevel="0" collapsed="false">
      <c r="A52" s="28" t="str">
        <f aca="false">IF(工程マスタ!$C50="","",工程マスタ!$A50)</f>
        <v/>
      </c>
      <c r="B52" s="46" t="str">
        <f aca="false">IF($A52="","",工程マスタ!$C50)</f>
        <v/>
      </c>
      <c r="C52" s="28" t="str">
        <f aca="false">IF($A52="","",MAX(1,工程マスタ!$G50))</f>
        <v/>
      </c>
      <c r="D52" s="28" t="str">
        <f aca="false">IF($A52="","",_xlfn.TEXTJOIN(",",TRUE(),工程マスタ!$N50:$P50))</f>
        <v/>
      </c>
      <c r="E52" s="29" t="str">
        <f aca="false">IF($A52="","",IF(COUNT(工程マスタ!$N50:$P50)=0,設定!$B$8,MAX(IF(工程マスタ!$N50="",0,INDEX($F$7:$F$156,工程マスタ!$N50)),IF(工程マスタ!$O50="",0,INDEX($F$7:$F$156,工程マスタ!$O50)),IF(工程マスタ!$P50="",0,INDEX($F$7:$F$156,工程マスタ!$P50)))+1))</f>
        <v/>
      </c>
      <c r="F52" s="29" t="str">
        <f aca="false">IF($A52="","",$E52+$C52-1)</f>
        <v/>
      </c>
      <c r="G52" s="29" t="str">
        <f aca="false">IF($A52="","",$H52-$C52+1)</f>
        <v/>
      </c>
      <c r="H52" s="29" t="str">
        <f aca="false" t="array" ref="H52:H52">IF($A52="","",IF(SUMPRODUCT((工程マスタ!$N$51:$N$154=$A52)*1)+SUMPRODUCT((工程マスタ!$O$51:$O$154=$A52)*1)+SUMPRODUCT((工程マスタ!$P$51:$P$154=$A52)*1)=0,MAX($F$7:$F$156),MIN(IF((工程マスタ!$N$51:$N$154=$A52)+(工程マスタ!$O$51:$O$154=$A52)+(工程マスタ!$P$51:$P$154=$A52),$G53:$G$156))-1))</f>
        <v/>
      </c>
      <c r="I52" s="28" t="str">
        <f aca="false">IF($A52="","",$G52-$E52)</f>
        <v/>
      </c>
      <c r="J52" s="28" t="str">
        <f aca="false">IF($A52="","",IF($I52&lt;=0,"●",""))</f>
        <v/>
      </c>
      <c r="K52" s="47" t="str">
        <f aca="false">IF($A52="","",IF(AND(INDEX(工程マスタ!$I$5:$I$154,$A52)="○",$E52&gt;=K$3,$E52&lt;=K$3+6),"▼",IF(AND($E52&gt;=K$3,$E52&lt;=K$3+6),$A52,"")))</f>
        <v/>
      </c>
      <c r="L52" s="47" t="str">
        <f aca="false">IF($A52="","",IF(AND(INDEX(工程マスタ!$I$5:$I$154,$A52)="○",$E52&gt;=L$3,$E52&lt;=L$3+6),"▼",IF(AND($E52&gt;=L$3,$E52&lt;=L$3+6),$A52,"")))</f>
        <v/>
      </c>
      <c r="M52" s="47" t="str">
        <f aca="false">IF($A52="","",IF(AND(INDEX(工程マスタ!$I$5:$I$154,$A52)="○",$E52&gt;=M$3,$E52&lt;=M$3+6),"▼",IF(AND($E52&gt;=M$3,$E52&lt;=M$3+6),$A52,"")))</f>
        <v/>
      </c>
      <c r="N52" s="47" t="str">
        <f aca="false">IF($A52="","",IF(AND(INDEX(工程マスタ!$I$5:$I$154,$A52)="○",$E52&gt;=N$3,$E52&lt;=N$3+6),"▼",IF(AND($E52&gt;=N$3,$E52&lt;=N$3+6),$A52,"")))</f>
        <v/>
      </c>
      <c r="O52" s="47" t="str">
        <f aca="false">IF($A52="","",IF(AND(INDEX(工程マスタ!$I$5:$I$154,$A52)="○",$E52&gt;=O$3,$E52&lt;=O$3+6),"▼",IF(AND($E52&gt;=O$3,$E52&lt;=O$3+6),$A52,"")))</f>
        <v/>
      </c>
      <c r="P52" s="47" t="str">
        <f aca="false">IF($A52="","",IF(AND(INDEX(工程マスタ!$I$5:$I$154,$A52)="○",$E52&gt;=P$3,$E52&lt;=P$3+6),"▼",IF(AND($E52&gt;=P$3,$E52&lt;=P$3+6),$A52,"")))</f>
        <v/>
      </c>
      <c r="Q52" s="47" t="str">
        <f aca="false">IF($A52="","",IF(AND(INDEX(工程マスタ!$I$5:$I$154,$A52)="○",$E52&gt;=Q$3,$E52&lt;=Q$3+6),"▼",IF(AND($E52&gt;=Q$3,$E52&lt;=Q$3+6),$A52,"")))</f>
        <v/>
      </c>
      <c r="R52" s="47" t="str">
        <f aca="false">IF($A52="","",IF(AND(INDEX(工程マスタ!$I$5:$I$154,$A52)="○",$E52&gt;=R$3,$E52&lt;=R$3+6),"▼",IF(AND($E52&gt;=R$3,$E52&lt;=R$3+6),$A52,"")))</f>
        <v/>
      </c>
      <c r="S52" s="47" t="str">
        <f aca="false">IF($A52="","",IF(AND(INDEX(工程マスタ!$I$5:$I$154,$A52)="○",$E52&gt;=S$3,$E52&lt;=S$3+6),"▼",IF(AND($E52&gt;=S$3,$E52&lt;=S$3+6),$A52,"")))</f>
        <v/>
      </c>
      <c r="T52" s="47" t="str">
        <f aca="false">IF($A52="","",IF(AND(INDEX(工程マスタ!$I$5:$I$154,$A52)="○",$E52&gt;=T$3,$E52&lt;=T$3+6),"▼",IF(AND($E52&gt;=T$3,$E52&lt;=T$3+6),$A52,"")))</f>
        <v/>
      </c>
      <c r="U52" s="47" t="str">
        <f aca="false">IF($A52="","",IF(AND(INDEX(工程マスタ!$I$5:$I$154,$A52)="○",$E52&gt;=U$3,$E52&lt;=U$3+6),"▼",IF(AND($E52&gt;=U$3,$E52&lt;=U$3+6),$A52,"")))</f>
        <v/>
      </c>
      <c r="V52" s="47" t="str">
        <f aca="false">IF($A52="","",IF(AND(INDEX(工程マスタ!$I$5:$I$154,$A52)="○",$E52&gt;=V$3,$E52&lt;=V$3+6),"▼",IF(AND($E52&gt;=V$3,$E52&lt;=V$3+6),$A52,"")))</f>
        <v/>
      </c>
      <c r="W52" s="47" t="str">
        <f aca="false">IF($A52="","",IF(AND(INDEX(工程マスタ!$I$5:$I$154,$A52)="○",$E52&gt;=W$3,$E52&lt;=W$3+6),"▼",IF(AND($E52&gt;=W$3,$E52&lt;=W$3+6),$A52,"")))</f>
        <v/>
      </c>
      <c r="X52" s="47" t="str">
        <f aca="false">IF($A52="","",IF(AND(INDEX(工程マスタ!$I$5:$I$154,$A52)="○",$E52&gt;=X$3,$E52&lt;=X$3+6),"▼",IF(AND($E52&gt;=X$3,$E52&lt;=X$3+6),$A52,"")))</f>
        <v/>
      </c>
      <c r="Y52" s="47" t="str">
        <f aca="false">IF($A52="","",IF(AND(INDEX(工程マスタ!$I$5:$I$154,$A52)="○",$E52&gt;=Y$3,$E52&lt;=Y$3+6),"▼",IF(AND($E52&gt;=Y$3,$E52&lt;=Y$3+6),$A52,"")))</f>
        <v/>
      </c>
      <c r="Z52" s="47" t="str">
        <f aca="false">IF($A52="","",IF(AND(INDEX(工程マスタ!$I$5:$I$154,$A52)="○",$E52&gt;=Z$3,$E52&lt;=Z$3+6),"▼",IF(AND($E52&gt;=Z$3,$E52&lt;=Z$3+6),$A52,"")))</f>
        <v/>
      </c>
      <c r="AA52" s="47" t="str">
        <f aca="false">IF($A52="","",IF(AND(INDEX(工程マスタ!$I$5:$I$154,$A52)="○",$E52&gt;=AA$3,$E52&lt;=AA$3+6),"▼",IF(AND($E52&gt;=AA$3,$E52&lt;=AA$3+6),$A52,"")))</f>
        <v/>
      </c>
      <c r="AB52" s="47" t="str">
        <f aca="false">IF($A52="","",IF(AND(INDEX(工程マスタ!$I$5:$I$154,$A52)="○",$E52&gt;=AB$3,$E52&lt;=AB$3+6),"▼",IF(AND($E52&gt;=AB$3,$E52&lt;=AB$3+6),$A52,"")))</f>
        <v/>
      </c>
      <c r="AC52" s="47" t="str">
        <f aca="false">IF($A52="","",IF(AND(INDEX(工程マスタ!$I$5:$I$154,$A52)="○",$E52&gt;=AC$3,$E52&lt;=AC$3+6),"▼",IF(AND($E52&gt;=AC$3,$E52&lt;=AC$3+6),$A52,"")))</f>
        <v/>
      </c>
      <c r="AD52" s="47" t="str">
        <f aca="false">IF($A52="","",IF(AND(INDEX(工程マスタ!$I$5:$I$154,$A52)="○",$E52&gt;=AD$3,$E52&lt;=AD$3+6),"▼",IF(AND($E52&gt;=AD$3,$E52&lt;=AD$3+6),$A52,"")))</f>
        <v/>
      </c>
      <c r="AE52" s="47" t="str">
        <f aca="false">IF($A52="","",IF(AND(INDEX(工程マスタ!$I$5:$I$154,$A52)="○",$E52&gt;=AE$3,$E52&lt;=AE$3+6),"▼",IF(AND($E52&gt;=AE$3,$E52&lt;=AE$3+6),$A52,"")))</f>
        <v/>
      </c>
      <c r="AF52" s="47" t="str">
        <f aca="false">IF($A52="","",IF(AND(INDEX(工程マスタ!$I$5:$I$154,$A52)="○",$E52&gt;=AF$3,$E52&lt;=AF$3+6),"▼",IF(AND($E52&gt;=AF$3,$E52&lt;=AF$3+6),$A52,"")))</f>
        <v/>
      </c>
      <c r="AG52" s="47" t="str">
        <f aca="false">IF($A52="","",IF(AND(INDEX(工程マスタ!$I$5:$I$154,$A52)="○",$E52&gt;=AG$3,$E52&lt;=AG$3+6),"▼",IF(AND($E52&gt;=AG$3,$E52&lt;=AG$3+6),$A52,"")))</f>
        <v/>
      </c>
      <c r="AH52" s="47" t="str">
        <f aca="false">IF($A52="","",IF(AND(INDEX(工程マスタ!$I$5:$I$154,$A52)="○",$E52&gt;=AH$3,$E52&lt;=AH$3+6),"▼",IF(AND($E52&gt;=AH$3,$E52&lt;=AH$3+6),$A52,"")))</f>
        <v/>
      </c>
      <c r="AI52" s="47" t="str">
        <f aca="false">IF($A52="","",IF(AND(INDEX(工程マスタ!$I$5:$I$154,$A52)="○",$E52&gt;=AI$3,$E52&lt;=AI$3+6),"▼",IF(AND($E52&gt;=AI$3,$E52&lt;=AI$3+6),$A52,"")))</f>
        <v/>
      </c>
      <c r="AJ52" s="47" t="str">
        <f aca="false">IF($A52="","",IF(AND(INDEX(工程マスタ!$I$5:$I$154,$A52)="○",$E52&gt;=AJ$3,$E52&lt;=AJ$3+6),"▼",IF(AND($E52&gt;=AJ$3,$E52&lt;=AJ$3+6),$A52,"")))</f>
        <v/>
      </c>
      <c r="AK52" s="47" t="str">
        <f aca="false">IF($A52="","",IF(AND(INDEX(工程マスタ!$I$5:$I$154,$A52)="○",$E52&gt;=AK$3,$E52&lt;=AK$3+6),"▼",IF(AND($E52&gt;=AK$3,$E52&lt;=AK$3+6),$A52,"")))</f>
        <v/>
      </c>
      <c r="AL52" s="47" t="str">
        <f aca="false">IF($A52="","",IF(AND(INDEX(工程マスタ!$I$5:$I$154,$A52)="○",$E52&gt;=AL$3,$E52&lt;=AL$3+6),"▼",IF(AND($E52&gt;=AL$3,$E52&lt;=AL$3+6),$A52,"")))</f>
        <v/>
      </c>
      <c r="AM52" s="47" t="str">
        <f aca="false">IF($A52="","",IF(AND(INDEX(工程マスタ!$I$5:$I$154,$A52)="○",$E52&gt;=AM$3,$E52&lt;=AM$3+6),"▼",IF(AND($E52&gt;=AM$3,$E52&lt;=AM$3+6),$A52,"")))</f>
        <v/>
      </c>
      <c r="AN52" s="47" t="str">
        <f aca="false">IF($A52="","",IF(AND(INDEX(工程マスタ!$I$5:$I$154,$A52)="○",$E52&gt;=AN$3,$E52&lt;=AN$3+6),"▼",IF(AND($E52&gt;=AN$3,$E52&lt;=AN$3+6),$A52,"")))</f>
        <v/>
      </c>
      <c r="AO52" s="47" t="str">
        <f aca="false">IF($A52="","",IF(AND(INDEX(工程マスタ!$I$5:$I$154,$A52)="○",$E52&gt;=AO$3,$E52&lt;=AO$3+6),"▼",IF(AND($E52&gt;=AO$3,$E52&lt;=AO$3+6),$A52,"")))</f>
        <v/>
      </c>
      <c r="AP52" s="47" t="str">
        <f aca="false">IF($A52="","",IF(AND(INDEX(工程マスタ!$I$5:$I$154,$A52)="○",$E52&gt;=AP$3,$E52&lt;=AP$3+6),"▼",IF(AND($E52&gt;=AP$3,$E52&lt;=AP$3+6),$A52,"")))</f>
        <v/>
      </c>
      <c r="AQ52" s="47" t="str">
        <f aca="false">IF($A52="","",IF(AND(INDEX(工程マスタ!$I$5:$I$154,$A52)="○",$E52&gt;=AQ$3,$E52&lt;=AQ$3+6),"▼",IF(AND($E52&gt;=AQ$3,$E52&lt;=AQ$3+6),$A52,"")))</f>
        <v/>
      </c>
      <c r="AR52" s="47" t="str">
        <f aca="false">IF($A52="","",IF(AND(INDEX(工程マスタ!$I$5:$I$154,$A52)="○",$E52&gt;=AR$3,$E52&lt;=AR$3+6),"▼",IF(AND($E52&gt;=AR$3,$E52&lt;=AR$3+6),$A52,"")))</f>
        <v/>
      </c>
      <c r="AS52" s="47" t="str">
        <f aca="false">IF($A52="","",IF(AND(INDEX(工程マスタ!$I$5:$I$154,$A52)="○",$E52&gt;=AS$3,$E52&lt;=AS$3+6),"▼",IF(AND($E52&gt;=AS$3,$E52&lt;=AS$3+6),$A52,"")))</f>
        <v/>
      </c>
      <c r="AT52" s="47" t="str">
        <f aca="false">IF($A52="","",IF(AND(INDEX(工程マスタ!$I$5:$I$154,$A52)="○",$E52&gt;=AT$3,$E52&lt;=AT$3+6),"▼",IF(AND($E52&gt;=AT$3,$E52&lt;=AT$3+6),$A52,"")))</f>
        <v/>
      </c>
      <c r="AU52" s="47" t="str">
        <f aca="false">IF($A52="","",IF(AND(INDEX(工程マスタ!$I$5:$I$154,$A52)="○",$E52&gt;=AU$3,$E52&lt;=AU$3+6),"▼",IF(AND($E52&gt;=AU$3,$E52&lt;=AU$3+6),$A52,"")))</f>
        <v/>
      </c>
      <c r="AV52" s="47" t="str">
        <f aca="false">IF($A52="","",IF(AND(INDEX(工程マスタ!$I$5:$I$154,$A52)="○",$E52&gt;=AV$3,$E52&lt;=AV$3+6),"▼",IF(AND($E52&gt;=AV$3,$E52&lt;=AV$3+6),$A52,"")))</f>
        <v/>
      </c>
      <c r="AW52" s="47" t="str">
        <f aca="false">IF($A52="","",IF(AND(INDEX(工程マスタ!$I$5:$I$154,$A52)="○",$E52&gt;=AW$3,$E52&lt;=AW$3+6),"▼",IF(AND($E52&gt;=AW$3,$E52&lt;=AW$3+6),$A52,"")))</f>
        <v/>
      </c>
      <c r="AX52" s="47" t="str">
        <f aca="false">IF($A52="","",IF(AND(INDEX(工程マスタ!$I$5:$I$154,$A52)="○",$E52&gt;=AX$3,$E52&lt;=AX$3+6),"▼",IF(AND($E52&gt;=AX$3,$E52&lt;=AX$3+6),$A52,"")))</f>
        <v/>
      </c>
      <c r="AY52" s="47" t="str">
        <f aca="false">IF($A52="","",IF(AND(INDEX(工程マスタ!$I$5:$I$154,$A52)="○",$E52&gt;=AY$3,$E52&lt;=AY$3+6),"▼",IF(AND($E52&gt;=AY$3,$E52&lt;=AY$3+6),$A52,"")))</f>
        <v/>
      </c>
      <c r="AZ52" s="47" t="str">
        <f aca="false">IF($A52="","",IF(AND(INDEX(工程マスタ!$I$5:$I$154,$A52)="○",$E52&gt;=AZ$3,$E52&lt;=AZ$3+6),"▼",IF(AND($E52&gt;=AZ$3,$E52&lt;=AZ$3+6),$A52,"")))</f>
        <v/>
      </c>
      <c r="BA52" s="47" t="str">
        <f aca="false">IF($A52="","",IF(AND(INDEX(工程マスタ!$I$5:$I$154,$A52)="○",$E52&gt;=BA$3,$E52&lt;=BA$3+6),"▼",IF(AND($E52&gt;=BA$3,$E52&lt;=BA$3+6),$A52,"")))</f>
        <v/>
      </c>
      <c r="BB52" s="47" t="str">
        <f aca="false">IF($A52="","",IF(AND(INDEX(工程マスタ!$I$5:$I$154,$A52)="○",$E52&gt;=BB$3,$E52&lt;=BB$3+6),"▼",IF(AND($E52&gt;=BB$3,$E52&lt;=BB$3+6),$A52,"")))</f>
        <v/>
      </c>
      <c r="BC52" s="47" t="str">
        <f aca="false">IF($A52="","",IF(AND(INDEX(工程マスタ!$I$5:$I$154,$A52)="○",$E52&gt;=BC$3,$E52&lt;=BC$3+6),"▼",IF(AND($E52&gt;=BC$3,$E52&lt;=BC$3+6),$A52,"")))</f>
        <v/>
      </c>
      <c r="BD52" s="47" t="str">
        <f aca="false">IF($A52="","",IF(AND(INDEX(工程マスタ!$I$5:$I$154,$A52)="○",$E52&gt;=BD$3,$E52&lt;=BD$3+6),"▼",IF(AND($E52&gt;=BD$3,$E52&lt;=BD$3+6),$A52,"")))</f>
        <v/>
      </c>
      <c r="BE52" s="47" t="str">
        <f aca="false">IF($A52="","",IF(AND(INDEX(工程マスタ!$I$5:$I$154,$A52)="○",$E52&gt;=BE$3,$E52&lt;=BE$3+6),"▼",IF(AND($E52&gt;=BE$3,$E52&lt;=BE$3+6),$A52,"")))</f>
        <v/>
      </c>
      <c r="BF52" s="47" t="str">
        <f aca="false">IF($A52="","",IF(AND(INDEX(工程マスタ!$I$5:$I$154,$A52)="○",$E52&gt;=BF$3,$E52&lt;=BF$3+6),"▼",IF(AND($E52&gt;=BF$3,$E52&lt;=BF$3+6),$A52,"")))</f>
        <v/>
      </c>
      <c r="BG52" s="47" t="str">
        <f aca="false">IF($A52="","",IF(AND(INDEX(工程マスタ!$I$5:$I$154,$A52)="○",$E52&gt;=BG$3,$E52&lt;=BG$3+6),"▼",IF(AND($E52&gt;=BG$3,$E52&lt;=BG$3+6),$A52,"")))</f>
        <v/>
      </c>
      <c r="BH52" s="47" t="str">
        <f aca="false">IF($A52="","",IF(AND(INDEX(工程マスタ!$I$5:$I$154,$A52)="○",$E52&gt;=BH$3,$E52&lt;=BH$3+6),"▼",IF(AND($E52&gt;=BH$3,$E52&lt;=BH$3+6),$A52,"")))</f>
        <v/>
      </c>
      <c r="BI52" s="47" t="str">
        <f aca="false">IF($A52="","",IF(AND(INDEX(工程マスタ!$I$5:$I$154,$A52)="○",$E52&gt;=BI$3,$E52&lt;=BI$3+6),"▼",IF(AND($E52&gt;=BI$3,$E52&lt;=BI$3+6),$A52,"")))</f>
        <v/>
      </c>
      <c r="BJ52" s="47" t="str">
        <f aca="false">IF($A52="","",IF(AND(INDEX(工程マスタ!$I$5:$I$154,$A52)="○",$E52&gt;=BJ$3,$E52&lt;=BJ$3+6),"▼",IF(AND($E52&gt;=BJ$3,$E52&lt;=BJ$3+6),$A52,"")))</f>
        <v/>
      </c>
    </row>
    <row r="53" customFormat="false" ht="15" hidden="false" customHeight="false" outlineLevel="0" collapsed="false">
      <c r="A53" s="28" t="str">
        <f aca="false">IF(工程マスタ!$C51="","",工程マスタ!$A51)</f>
        <v/>
      </c>
      <c r="B53" s="46" t="str">
        <f aca="false">IF($A53="","",工程マスタ!$C51)</f>
        <v/>
      </c>
      <c r="C53" s="28" t="str">
        <f aca="false">IF($A53="","",MAX(1,工程マスタ!$G51))</f>
        <v/>
      </c>
      <c r="D53" s="28" t="str">
        <f aca="false">IF($A53="","",_xlfn.TEXTJOIN(",",TRUE(),工程マスタ!$N51:$P51))</f>
        <v/>
      </c>
      <c r="E53" s="29" t="str">
        <f aca="false">IF($A53="","",IF(COUNT(工程マスタ!$N51:$P51)=0,設定!$B$8,MAX(IF(工程マスタ!$N51="",0,INDEX($F$7:$F$156,工程マスタ!$N51)),IF(工程マスタ!$O51="",0,INDEX($F$7:$F$156,工程マスタ!$O51)),IF(工程マスタ!$P51="",0,INDEX($F$7:$F$156,工程マスタ!$P51)))+1))</f>
        <v/>
      </c>
      <c r="F53" s="29" t="str">
        <f aca="false">IF($A53="","",$E53+$C53-1)</f>
        <v/>
      </c>
      <c r="G53" s="29" t="str">
        <f aca="false">IF($A53="","",$H53-$C53+1)</f>
        <v/>
      </c>
      <c r="H53" s="29" t="str">
        <f aca="false" t="array" ref="H53:H53">IF($A53="","",IF(SUMPRODUCT((工程マスタ!$N$52:$N$154=$A53)*1)+SUMPRODUCT((工程マスタ!$O$52:$O$154=$A53)*1)+SUMPRODUCT((工程マスタ!$P$52:$P$154=$A53)*1)=0,MAX($F$7:$F$156),MIN(IF((工程マスタ!$N$52:$N$154=$A53)+(工程マスタ!$O$52:$O$154=$A53)+(工程マスタ!$P$52:$P$154=$A53),$G54:$G$156))-1))</f>
        <v/>
      </c>
      <c r="I53" s="28" t="str">
        <f aca="false">IF($A53="","",$G53-$E53)</f>
        <v/>
      </c>
      <c r="J53" s="28" t="str">
        <f aca="false">IF($A53="","",IF($I53&lt;=0,"●",""))</f>
        <v/>
      </c>
      <c r="K53" s="47" t="str">
        <f aca="false">IF($A53="","",IF(AND(INDEX(工程マスタ!$I$5:$I$154,$A53)="○",$E53&gt;=K$3,$E53&lt;=K$3+6),"▼",IF(AND($E53&gt;=K$3,$E53&lt;=K$3+6),$A53,"")))</f>
        <v/>
      </c>
      <c r="L53" s="47" t="str">
        <f aca="false">IF($A53="","",IF(AND(INDEX(工程マスタ!$I$5:$I$154,$A53)="○",$E53&gt;=L$3,$E53&lt;=L$3+6),"▼",IF(AND($E53&gt;=L$3,$E53&lt;=L$3+6),$A53,"")))</f>
        <v/>
      </c>
      <c r="M53" s="47" t="str">
        <f aca="false">IF($A53="","",IF(AND(INDEX(工程マスタ!$I$5:$I$154,$A53)="○",$E53&gt;=M$3,$E53&lt;=M$3+6),"▼",IF(AND($E53&gt;=M$3,$E53&lt;=M$3+6),$A53,"")))</f>
        <v/>
      </c>
      <c r="N53" s="47" t="str">
        <f aca="false">IF($A53="","",IF(AND(INDEX(工程マスタ!$I$5:$I$154,$A53)="○",$E53&gt;=N$3,$E53&lt;=N$3+6),"▼",IF(AND($E53&gt;=N$3,$E53&lt;=N$3+6),$A53,"")))</f>
        <v/>
      </c>
      <c r="O53" s="47" t="str">
        <f aca="false">IF($A53="","",IF(AND(INDEX(工程マスタ!$I$5:$I$154,$A53)="○",$E53&gt;=O$3,$E53&lt;=O$3+6),"▼",IF(AND($E53&gt;=O$3,$E53&lt;=O$3+6),$A53,"")))</f>
        <v/>
      </c>
      <c r="P53" s="47" t="str">
        <f aca="false">IF($A53="","",IF(AND(INDEX(工程マスタ!$I$5:$I$154,$A53)="○",$E53&gt;=P$3,$E53&lt;=P$3+6),"▼",IF(AND($E53&gt;=P$3,$E53&lt;=P$3+6),$A53,"")))</f>
        <v/>
      </c>
      <c r="Q53" s="47" t="str">
        <f aca="false">IF($A53="","",IF(AND(INDEX(工程マスタ!$I$5:$I$154,$A53)="○",$E53&gt;=Q$3,$E53&lt;=Q$3+6),"▼",IF(AND($E53&gt;=Q$3,$E53&lt;=Q$3+6),$A53,"")))</f>
        <v/>
      </c>
      <c r="R53" s="47" t="str">
        <f aca="false">IF($A53="","",IF(AND(INDEX(工程マスタ!$I$5:$I$154,$A53)="○",$E53&gt;=R$3,$E53&lt;=R$3+6),"▼",IF(AND($E53&gt;=R$3,$E53&lt;=R$3+6),$A53,"")))</f>
        <v/>
      </c>
      <c r="S53" s="47" t="str">
        <f aca="false">IF($A53="","",IF(AND(INDEX(工程マスタ!$I$5:$I$154,$A53)="○",$E53&gt;=S$3,$E53&lt;=S$3+6),"▼",IF(AND($E53&gt;=S$3,$E53&lt;=S$3+6),$A53,"")))</f>
        <v/>
      </c>
      <c r="T53" s="47" t="str">
        <f aca="false">IF($A53="","",IF(AND(INDEX(工程マスタ!$I$5:$I$154,$A53)="○",$E53&gt;=T$3,$E53&lt;=T$3+6),"▼",IF(AND($E53&gt;=T$3,$E53&lt;=T$3+6),$A53,"")))</f>
        <v/>
      </c>
      <c r="U53" s="47" t="str">
        <f aca="false">IF($A53="","",IF(AND(INDEX(工程マスタ!$I$5:$I$154,$A53)="○",$E53&gt;=U$3,$E53&lt;=U$3+6),"▼",IF(AND($E53&gt;=U$3,$E53&lt;=U$3+6),$A53,"")))</f>
        <v/>
      </c>
      <c r="V53" s="47" t="str">
        <f aca="false">IF($A53="","",IF(AND(INDEX(工程マスタ!$I$5:$I$154,$A53)="○",$E53&gt;=V$3,$E53&lt;=V$3+6),"▼",IF(AND($E53&gt;=V$3,$E53&lt;=V$3+6),$A53,"")))</f>
        <v/>
      </c>
      <c r="W53" s="47" t="str">
        <f aca="false">IF($A53="","",IF(AND(INDEX(工程マスタ!$I$5:$I$154,$A53)="○",$E53&gt;=W$3,$E53&lt;=W$3+6),"▼",IF(AND($E53&gt;=W$3,$E53&lt;=W$3+6),$A53,"")))</f>
        <v/>
      </c>
      <c r="X53" s="47" t="str">
        <f aca="false">IF($A53="","",IF(AND(INDEX(工程マスタ!$I$5:$I$154,$A53)="○",$E53&gt;=X$3,$E53&lt;=X$3+6),"▼",IF(AND($E53&gt;=X$3,$E53&lt;=X$3+6),$A53,"")))</f>
        <v/>
      </c>
      <c r="Y53" s="47" t="str">
        <f aca="false">IF($A53="","",IF(AND(INDEX(工程マスタ!$I$5:$I$154,$A53)="○",$E53&gt;=Y$3,$E53&lt;=Y$3+6),"▼",IF(AND($E53&gt;=Y$3,$E53&lt;=Y$3+6),$A53,"")))</f>
        <v/>
      </c>
      <c r="Z53" s="47" t="str">
        <f aca="false">IF($A53="","",IF(AND(INDEX(工程マスタ!$I$5:$I$154,$A53)="○",$E53&gt;=Z$3,$E53&lt;=Z$3+6),"▼",IF(AND($E53&gt;=Z$3,$E53&lt;=Z$3+6),$A53,"")))</f>
        <v/>
      </c>
      <c r="AA53" s="47" t="str">
        <f aca="false">IF($A53="","",IF(AND(INDEX(工程マスタ!$I$5:$I$154,$A53)="○",$E53&gt;=AA$3,$E53&lt;=AA$3+6),"▼",IF(AND($E53&gt;=AA$3,$E53&lt;=AA$3+6),$A53,"")))</f>
        <v/>
      </c>
      <c r="AB53" s="47" t="str">
        <f aca="false">IF($A53="","",IF(AND(INDEX(工程マスタ!$I$5:$I$154,$A53)="○",$E53&gt;=AB$3,$E53&lt;=AB$3+6),"▼",IF(AND($E53&gt;=AB$3,$E53&lt;=AB$3+6),$A53,"")))</f>
        <v/>
      </c>
      <c r="AC53" s="47" t="str">
        <f aca="false">IF($A53="","",IF(AND(INDEX(工程マスタ!$I$5:$I$154,$A53)="○",$E53&gt;=AC$3,$E53&lt;=AC$3+6),"▼",IF(AND($E53&gt;=AC$3,$E53&lt;=AC$3+6),$A53,"")))</f>
        <v/>
      </c>
      <c r="AD53" s="47" t="str">
        <f aca="false">IF($A53="","",IF(AND(INDEX(工程マスタ!$I$5:$I$154,$A53)="○",$E53&gt;=AD$3,$E53&lt;=AD$3+6),"▼",IF(AND($E53&gt;=AD$3,$E53&lt;=AD$3+6),$A53,"")))</f>
        <v/>
      </c>
      <c r="AE53" s="47" t="str">
        <f aca="false">IF($A53="","",IF(AND(INDEX(工程マスタ!$I$5:$I$154,$A53)="○",$E53&gt;=AE$3,$E53&lt;=AE$3+6),"▼",IF(AND($E53&gt;=AE$3,$E53&lt;=AE$3+6),$A53,"")))</f>
        <v/>
      </c>
      <c r="AF53" s="47" t="str">
        <f aca="false">IF($A53="","",IF(AND(INDEX(工程マスタ!$I$5:$I$154,$A53)="○",$E53&gt;=AF$3,$E53&lt;=AF$3+6),"▼",IF(AND($E53&gt;=AF$3,$E53&lt;=AF$3+6),$A53,"")))</f>
        <v/>
      </c>
      <c r="AG53" s="47" t="str">
        <f aca="false">IF($A53="","",IF(AND(INDEX(工程マスタ!$I$5:$I$154,$A53)="○",$E53&gt;=AG$3,$E53&lt;=AG$3+6),"▼",IF(AND($E53&gt;=AG$3,$E53&lt;=AG$3+6),$A53,"")))</f>
        <v/>
      </c>
      <c r="AH53" s="47" t="str">
        <f aca="false">IF($A53="","",IF(AND(INDEX(工程マスタ!$I$5:$I$154,$A53)="○",$E53&gt;=AH$3,$E53&lt;=AH$3+6),"▼",IF(AND($E53&gt;=AH$3,$E53&lt;=AH$3+6),$A53,"")))</f>
        <v/>
      </c>
      <c r="AI53" s="47" t="str">
        <f aca="false">IF($A53="","",IF(AND(INDEX(工程マスタ!$I$5:$I$154,$A53)="○",$E53&gt;=AI$3,$E53&lt;=AI$3+6),"▼",IF(AND($E53&gt;=AI$3,$E53&lt;=AI$3+6),$A53,"")))</f>
        <v/>
      </c>
      <c r="AJ53" s="47" t="str">
        <f aca="false">IF($A53="","",IF(AND(INDEX(工程マスタ!$I$5:$I$154,$A53)="○",$E53&gt;=AJ$3,$E53&lt;=AJ$3+6),"▼",IF(AND($E53&gt;=AJ$3,$E53&lt;=AJ$3+6),$A53,"")))</f>
        <v/>
      </c>
      <c r="AK53" s="47" t="str">
        <f aca="false">IF($A53="","",IF(AND(INDEX(工程マスタ!$I$5:$I$154,$A53)="○",$E53&gt;=AK$3,$E53&lt;=AK$3+6),"▼",IF(AND($E53&gt;=AK$3,$E53&lt;=AK$3+6),$A53,"")))</f>
        <v/>
      </c>
      <c r="AL53" s="47" t="str">
        <f aca="false">IF($A53="","",IF(AND(INDEX(工程マスタ!$I$5:$I$154,$A53)="○",$E53&gt;=AL$3,$E53&lt;=AL$3+6),"▼",IF(AND($E53&gt;=AL$3,$E53&lt;=AL$3+6),$A53,"")))</f>
        <v/>
      </c>
      <c r="AM53" s="47" t="str">
        <f aca="false">IF($A53="","",IF(AND(INDEX(工程マスタ!$I$5:$I$154,$A53)="○",$E53&gt;=AM$3,$E53&lt;=AM$3+6),"▼",IF(AND($E53&gt;=AM$3,$E53&lt;=AM$3+6),$A53,"")))</f>
        <v/>
      </c>
      <c r="AN53" s="47" t="str">
        <f aca="false">IF($A53="","",IF(AND(INDEX(工程マスタ!$I$5:$I$154,$A53)="○",$E53&gt;=AN$3,$E53&lt;=AN$3+6),"▼",IF(AND($E53&gt;=AN$3,$E53&lt;=AN$3+6),$A53,"")))</f>
        <v/>
      </c>
      <c r="AO53" s="47" t="str">
        <f aca="false">IF($A53="","",IF(AND(INDEX(工程マスタ!$I$5:$I$154,$A53)="○",$E53&gt;=AO$3,$E53&lt;=AO$3+6),"▼",IF(AND($E53&gt;=AO$3,$E53&lt;=AO$3+6),$A53,"")))</f>
        <v/>
      </c>
      <c r="AP53" s="47" t="str">
        <f aca="false">IF($A53="","",IF(AND(INDEX(工程マスタ!$I$5:$I$154,$A53)="○",$E53&gt;=AP$3,$E53&lt;=AP$3+6),"▼",IF(AND($E53&gt;=AP$3,$E53&lt;=AP$3+6),$A53,"")))</f>
        <v/>
      </c>
      <c r="AQ53" s="47" t="str">
        <f aca="false">IF($A53="","",IF(AND(INDEX(工程マスタ!$I$5:$I$154,$A53)="○",$E53&gt;=AQ$3,$E53&lt;=AQ$3+6),"▼",IF(AND($E53&gt;=AQ$3,$E53&lt;=AQ$3+6),$A53,"")))</f>
        <v/>
      </c>
      <c r="AR53" s="47" t="str">
        <f aca="false">IF($A53="","",IF(AND(INDEX(工程マスタ!$I$5:$I$154,$A53)="○",$E53&gt;=AR$3,$E53&lt;=AR$3+6),"▼",IF(AND($E53&gt;=AR$3,$E53&lt;=AR$3+6),$A53,"")))</f>
        <v/>
      </c>
      <c r="AS53" s="47" t="str">
        <f aca="false">IF($A53="","",IF(AND(INDEX(工程マスタ!$I$5:$I$154,$A53)="○",$E53&gt;=AS$3,$E53&lt;=AS$3+6),"▼",IF(AND($E53&gt;=AS$3,$E53&lt;=AS$3+6),$A53,"")))</f>
        <v/>
      </c>
      <c r="AT53" s="47" t="str">
        <f aca="false">IF($A53="","",IF(AND(INDEX(工程マスタ!$I$5:$I$154,$A53)="○",$E53&gt;=AT$3,$E53&lt;=AT$3+6),"▼",IF(AND($E53&gt;=AT$3,$E53&lt;=AT$3+6),$A53,"")))</f>
        <v/>
      </c>
      <c r="AU53" s="47" t="str">
        <f aca="false">IF($A53="","",IF(AND(INDEX(工程マスタ!$I$5:$I$154,$A53)="○",$E53&gt;=AU$3,$E53&lt;=AU$3+6),"▼",IF(AND($E53&gt;=AU$3,$E53&lt;=AU$3+6),$A53,"")))</f>
        <v/>
      </c>
      <c r="AV53" s="47" t="str">
        <f aca="false">IF($A53="","",IF(AND(INDEX(工程マスタ!$I$5:$I$154,$A53)="○",$E53&gt;=AV$3,$E53&lt;=AV$3+6),"▼",IF(AND($E53&gt;=AV$3,$E53&lt;=AV$3+6),$A53,"")))</f>
        <v/>
      </c>
      <c r="AW53" s="47" t="str">
        <f aca="false">IF($A53="","",IF(AND(INDEX(工程マスタ!$I$5:$I$154,$A53)="○",$E53&gt;=AW$3,$E53&lt;=AW$3+6),"▼",IF(AND($E53&gt;=AW$3,$E53&lt;=AW$3+6),$A53,"")))</f>
        <v/>
      </c>
      <c r="AX53" s="47" t="str">
        <f aca="false">IF($A53="","",IF(AND(INDEX(工程マスタ!$I$5:$I$154,$A53)="○",$E53&gt;=AX$3,$E53&lt;=AX$3+6),"▼",IF(AND($E53&gt;=AX$3,$E53&lt;=AX$3+6),$A53,"")))</f>
        <v/>
      </c>
      <c r="AY53" s="47" t="str">
        <f aca="false">IF($A53="","",IF(AND(INDEX(工程マスタ!$I$5:$I$154,$A53)="○",$E53&gt;=AY$3,$E53&lt;=AY$3+6),"▼",IF(AND($E53&gt;=AY$3,$E53&lt;=AY$3+6),$A53,"")))</f>
        <v/>
      </c>
      <c r="AZ53" s="47" t="str">
        <f aca="false">IF($A53="","",IF(AND(INDEX(工程マスタ!$I$5:$I$154,$A53)="○",$E53&gt;=AZ$3,$E53&lt;=AZ$3+6),"▼",IF(AND($E53&gt;=AZ$3,$E53&lt;=AZ$3+6),$A53,"")))</f>
        <v/>
      </c>
      <c r="BA53" s="47" t="str">
        <f aca="false">IF($A53="","",IF(AND(INDEX(工程マスタ!$I$5:$I$154,$A53)="○",$E53&gt;=BA$3,$E53&lt;=BA$3+6),"▼",IF(AND($E53&gt;=BA$3,$E53&lt;=BA$3+6),$A53,"")))</f>
        <v/>
      </c>
      <c r="BB53" s="47" t="str">
        <f aca="false">IF($A53="","",IF(AND(INDEX(工程マスタ!$I$5:$I$154,$A53)="○",$E53&gt;=BB$3,$E53&lt;=BB$3+6),"▼",IF(AND($E53&gt;=BB$3,$E53&lt;=BB$3+6),$A53,"")))</f>
        <v/>
      </c>
      <c r="BC53" s="47" t="str">
        <f aca="false">IF($A53="","",IF(AND(INDEX(工程マスタ!$I$5:$I$154,$A53)="○",$E53&gt;=BC$3,$E53&lt;=BC$3+6),"▼",IF(AND($E53&gt;=BC$3,$E53&lt;=BC$3+6),$A53,"")))</f>
        <v/>
      </c>
      <c r="BD53" s="47" t="str">
        <f aca="false">IF($A53="","",IF(AND(INDEX(工程マスタ!$I$5:$I$154,$A53)="○",$E53&gt;=BD$3,$E53&lt;=BD$3+6),"▼",IF(AND($E53&gt;=BD$3,$E53&lt;=BD$3+6),$A53,"")))</f>
        <v/>
      </c>
      <c r="BE53" s="47" t="str">
        <f aca="false">IF($A53="","",IF(AND(INDEX(工程マスタ!$I$5:$I$154,$A53)="○",$E53&gt;=BE$3,$E53&lt;=BE$3+6),"▼",IF(AND($E53&gt;=BE$3,$E53&lt;=BE$3+6),$A53,"")))</f>
        <v/>
      </c>
      <c r="BF53" s="47" t="str">
        <f aca="false">IF($A53="","",IF(AND(INDEX(工程マスタ!$I$5:$I$154,$A53)="○",$E53&gt;=BF$3,$E53&lt;=BF$3+6),"▼",IF(AND($E53&gt;=BF$3,$E53&lt;=BF$3+6),$A53,"")))</f>
        <v/>
      </c>
      <c r="BG53" s="47" t="str">
        <f aca="false">IF($A53="","",IF(AND(INDEX(工程マスタ!$I$5:$I$154,$A53)="○",$E53&gt;=BG$3,$E53&lt;=BG$3+6),"▼",IF(AND($E53&gt;=BG$3,$E53&lt;=BG$3+6),$A53,"")))</f>
        <v/>
      </c>
      <c r="BH53" s="47" t="str">
        <f aca="false">IF($A53="","",IF(AND(INDEX(工程マスタ!$I$5:$I$154,$A53)="○",$E53&gt;=BH$3,$E53&lt;=BH$3+6),"▼",IF(AND($E53&gt;=BH$3,$E53&lt;=BH$3+6),$A53,"")))</f>
        <v/>
      </c>
      <c r="BI53" s="47" t="str">
        <f aca="false">IF($A53="","",IF(AND(INDEX(工程マスタ!$I$5:$I$154,$A53)="○",$E53&gt;=BI$3,$E53&lt;=BI$3+6),"▼",IF(AND($E53&gt;=BI$3,$E53&lt;=BI$3+6),$A53,"")))</f>
        <v/>
      </c>
      <c r="BJ53" s="47" t="str">
        <f aca="false">IF($A53="","",IF(AND(INDEX(工程マスタ!$I$5:$I$154,$A53)="○",$E53&gt;=BJ$3,$E53&lt;=BJ$3+6),"▼",IF(AND($E53&gt;=BJ$3,$E53&lt;=BJ$3+6),$A53,"")))</f>
        <v/>
      </c>
    </row>
    <row r="54" customFormat="false" ht="15" hidden="false" customHeight="false" outlineLevel="0" collapsed="false">
      <c r="A54" s="28" t="str">
        <f aca="false">IF(工程マスタ!$C52="","",工程マスタ!$A52)</f>
        <v/>
      </c>
      <c r="B54" s="46" t="str">
        <f aca="false">IF($A54="","",工程マスタ!$C52)</f>
        <v/>
      </c>
      <c r="C54" s="28" t="str">
        <f aca="false">IF($A54="","",MAX(1,工程マスタ!$G52))</f>
        <v/>
      </c>
      <c r="D54" s="28" t="str">
        <f aca="false">IF($A54="","",_xlfn.TEXTJOIN(",",TRUE(),工程マスタ!$N52:$P52))</f>
        <v/>
      </c>
      <c r="E54" s="29" t="str">
        <f aca="false">IF($A54="","",IF(COUNT(工程マスタ!$N52:$P52)=0,設定!$B$8,MAX(IF(工程マスタ!$N52="",0,INDEX($F$7:$F$156,工程マスタ!$N52)),IF(工程マスタ!$O52="",0,INDEX($F$7:$F$156,工程マスタ!$O52)),IF(工程マスタ!$P52="",0,INDEX($F$7:$F$156,工程マスタ!$P52)))+1))</f>
        <v/>
      </c>
      <c r="F54" s="29" t="str">
        <f aca="false">IF($A54="","",$E54+$C54-1)</f>
        <v/>
      </c>
      <c r="G54" s="29" t="str">
        <f aca="false">IF($A54="","",$H54-$C54+1)</f>
        <v/>
      </c>
      <c r="H54" s="29" t="str">
        <f aca="false" t="array" ref="H54:H54">IF($A54="","",IF(SUMPRODUCT((工程マスタ!$N$53:$N$154=$A54)*1)+SUMPRODUCT((工程マスタ!$O$53:$O$154=$A54)*1)+SUMPRODUCT((工程マスタ!$P$53:$P$154=$A54)*1)=0,MAX($F$7:$F$156),MIN(IF((工程マスタ!$N$53:$N$154=$A54)+(工程マスタ!$O$53:$O$154=$A54)+(工程マスタ!$P$53:$P$154=$A54),$G55:$G$156))-1))</f>
        <v/>
      </c>
      <c r="I54" s="28" t="str">
        <f aca="false">IF($A54="","",$G54-$E54)</f>
        <v/>
      </c>
      <c r="J54" s="28" t="str">
        <f aca="false">IF($A54="","",IF($I54&lt;=0,"●",""))</f>
        <v/>
      </c>
      <c r="K54" s="47" t="str">
        <f aca="false">IF($A54="","",IF(AND(INDEX(工程マスタ!$I$5:$I$154,$A54)="○",$E54&gt;=K$3,$E54&lt;=K$3+6),"▼",IF(AND($E54&gt;=K$3,$E54&lt;=K$3+6),$A54,"")))</f>
        <v/>
      </c>
      <c r="L54" s="47" t="str">
        <f aca="false">IF($A54="","",IF(AND(INDEX(工程マスタ!$I$5:$I$154,$A54)="○",$E54&gt;=L$3,$E54&lt;=L$3+6),"▼",IF(AND($E54&gt;=L$3,$E54&lt;=L$3+6),$A54,"")))</f>
        <v/>
      </c>
      <c r="M54" s="47" t="str">
        <f aca="false">IF($A54="","",IF(AND(INDEX(工程マスタ!$I$5:$I$154,$A54)="○",$E54&gt;=M$3,$E54&lt;=M$3+6),"▼",IF(AND($E54&gt;=M$3,$E54&lt;=M$3+6),$A54,"")))</f>
        <v/>
      </c>
      <c r="N54" s="47" t="str">
        <f aca="false">IF($A54="","",IF(AND(INDEX(工程マスタ!$I$5:$I$154,$A54)="○",$E54&gt;=N$3,$E54&lt;=N$3+6),"▼",IF(AND($E54&gt;=N$3,$E54&lt;=N$3+6),$A54,"")))</f>
        <v/>
      </c>
      <c r="O54" s="47" t="str">
        <f aca="false">IF($A54="","",IF(AND(INDEX(工程マスタ!$I$5:$I$154,$A54)="○",$E54&gt;=O$3,$E54&lt;=O$3+6),"▼",IF(AND($E54&gt;=O$3,$E54&lt;=O$3+6),$A54,"")))</f>
        <v/>
      </c>
      <c r="P54" s="47" t="str">
        <f aca="false">IF($A54="","",IF(AND(INDEX(工程マスタ!$I$5:$I$154,$A54)="○",$E54&gt;=P$3,$E54&lt;=P$3+6),"▼",IF(AND($E54&gt;=P$3,$E54&lt;=P$3+6),$A54,"")))</f>
        <v/>
      </c>
      <c r="Q54" s="47" t="str">
        <f aca="false">IF($A54="","",IF(AND(INDEX(工程マスタ!$I$5:$I$154,$A54)="○",$E54&gt;=Q$3,$E54&lt;=Q$3+6),"▼",IF(AND($E54&gt;=Q$3,$E54&lt;=Q$3+6),$A54,"")))</f>
        <v/>
      </c>
      <c r="R54" s="47" t="str">
        <f aca="false">IF($A54="","",IF(AND(INDEX(工程マスタ!$I$5:$I$154,$A54)="○",$E54&gt;=R$3,$E54&lt;=R$3+6),"▼",IF(AND($E54&gt;=R$3,$E54&lt;=R$3+6),$A54,"")))</f>
        <v/>
      </c>
      <c r="S54" s="47" t="str">
        <f aca="false">IF($A54="","",IF(AND(INDEX(工程マスタ!$I$5:$I$154,$A54)="○",$E54&gt;=S$3,$E54&lt;=S$3+6),"▼",IF(AND($E54&gt;=S$3,$E54&lt;=S$3+6),$A54,"")))</f>
        <v/>
      </c>
      <c r="T54" s="47" t="str">
        <f aca="false">IF($A54="","",IF(AND(INDEX(工程マスタ!$I$5:$I$154,$A54)="○",$E54&gt;=T$3,$E54&lt;=T$3+6),"▼",IF(AND($E54&gt;=T$3,$E54&lt;=T$3+6),$A54,"")))</f>
        <v/>
      </c>
      <c r="U54" s="47" t="str">
        <f aca="false">IF($A54="","",IF(AND(INDEX(工程マスタ!$I$5:$I$154,$A54)="○",$E54&gt;=U$3,$E54&lt;=U$3+6),"▼",IF(AND($E54&gt;=U$3,$E54&lt;=U$3+6),$A54,"")))</f>
        <v/>
      </c>
      <c r="V54" s="47" t="str">
        <f aca="false">IF($A54="","",IF(AND(INDEX(工程マスタ!$I$5:$I$154,$A54)="○",$E54&gt;=V$3,$E54&lt;=V$3+6),"▼",IF(AND($E54&gt;=V$3,$E54&lt;=V$3+6),$A54,"")))</f>
        <v/>
      </c>
      <c r="W54" s="47" t="str">
        <f aca="false">IF($A54="","",IF(AND(INDEX(工程マスタ!$I$5:$I$154,$A54)="○",$E54&gt;=W$3,$E54&lt;=W$3+6),"▼",IF(AND($E54&gt;=W$3,$E54&lt;=W$3+6),$A54,"")))</f>
        <v/>
      </c>
      <c r="X54" s="47" t="str">
        <f aca="false">IF($A54="","",IF(AND(INDEX(工程マスタ!$I$5:$I$154,$A54)="○",$E54&gt;=X$3,$E54&lt;=X$3+6),"▼",IF(AND($E54&gt;=X$3,$E54&lt;=X$3+6),$A54,"")))</f>
        <v/>
      </c>
      <c r="Y54" s="47" t="str">
        <f aca="false">IF($A54="","",IF(AND(INDEX(工程マスタ!$I$5:$I$154,$A54)="○",$E54&gt;=Y$3,$E54&lt;=Y$3+6),"▼",IF(AND($E54&gt;=Y$3,$E54&lt;=Y$3+6),$A54,"")))</f>
        <v/>
      </c>
      <c r="Z54" s="47" t="str">
        <f aca="false">IF($A54="","",IF(AND(INDEX(工程マスタ!$I$5:$I$154,$A54)="○",$E54&gt;=Z$3,$E54&lt;=Z$3+6),"▼",IF(AND($E54&gt;=Z$3,$E54&lt;=Z$3+6),$A54,"")))</f>
        <v/>
      </c>
      <c r="AA54" s="47" t="str">
        <f aca="false">IF($A54="","",IF(AND(INDEX(工程マスタ!$I$5:$I$154,$A54)="○",$E54&gt;=AA$3,$E54&lt;=AA$3+6),"▼",IF(AND($E54&gt;=AA$3,$E54&lt;=AA$3+6),$A54,"")))</f>
        <v/>
      </c>
      <c r="AB54" s="47" t="str">
        <f aca="false">IF($A54="","",IF(AND(INDEX(工程マスタ!$I$5:$I$154,$A54)="○",$E54&gt;=AB$3,$E54&lt;=AB$3+6),"▼",IF(AND($E54&gt;=AB$3,$E54&lt;=AB$3+6),$A54,"")))</f>
        <v/>
      </c>
      <c r="AC54" s="47" t="str">
        <f aca="false">IF($A54="","",IF(AND(INDEX(工程マスタ!$I$5:$I$154,$A54)="○",$E54&gt;=AC$3,$E54&lt;=AC$3+6),"▼",IF(AND($E54&gt;=AC$3,$E54&lt;=AC$3+6),$A54,"")))</f>
        <v/>
      </c>
      <c r="AD54" s="47" t="str">
        <f aca="false">IF($A54="","",IF(AND(INDEX(工程マスタ!$I$5:$I$154,$A54)="○",$E54&gt;=AD$3,$E54&lt;=AD$3+6),"▼",IF(AND($E54&gt;=AD$3,$E54&lt;=AD$3+6),$A54,"")))</f>
        <v/>
      </c>
      <c r="AE54" s="47" t="str">
        <f aca="false">IF($A54="","",IF(AND(INDEX(工程マスタ!$I$5:$I$154,$A54)="○",$E54&gt;=AE$3,$E54&lt;=AE$3+6),"▼",IF(AND($E54&gt;=AE$3,$E54&lt;=AE$3+6),$A54,"")))</f>
        <v/>
      </c>
      <c r="AF54" s="47" t="str">
        <f aca="false">IF($A54="","",IF(AND(INDEX(工程マスタ!$I$5:$I$154,$A54)="○",$E54&gt;=AF$3,$E54&lt;=AF$3+6),"▼",IF(AND($E54&gt;=AF$3,$E54&lt;=AF$3+6),$A54,"")))</f>
        <v/>
      </c>
      <c r="AG54" s="47" t="str">
        <f aca="false">IF($A54="","",IF(AND(INDEX(工程マスタ!$I$5:$I$154,$A54)="○",$E54&gt;=AG$3,$E54&lt;=AG$3+6),"▼",IF(AND($E54&gt;=AG$3,$E54&lt;=AG$3+6),$A54,"")))</f>
        <v/>
      </c>
      <c r="AH54" s="47" t="str">
        <f aca="false">IF($A54="","",IF(AND(INDEX(工程マスタ!$I$5:$I$154,$A54)="○",$E54&gt;=AH$3,$E54&lt;=AH$3+6),"▼",IF(AND($E54&gt;=AH$3,$E54&lt;=AH$3+6),$A54,"")))</f>
        <v/>
      </c>
      <c r="AI54" s="47" t="str">
        <f aca="false">IF($A54="","",IF(AND(INDEX(工程マスタ!$I$5:$I$154,$A54)="○",$E54&gt;=AI$3,$E54&lt;=AI$3+6),"▼",IF(AND($E54&gt;=AI$3,$E54&lt;=AI$3+6),$A54,"")))</f>
        <v/>
      </c>
      <c r="AJ54" s="47" t="str">
        <f aca="false">IF($A54="","",IF(AND(INDEX(工程マスタ!$I$5:$I$154,$A54)="○",$E54&gt;=AJ$3,$E54&lt;=AJ$3+6),"▼",IF(AND($E54&gt;=AJ$3,$E54&lt;=AJ$3+6),$A54,"")))</f>
        <v/>
      </c>
      <c r="AK54" s="47" t="str">
        <f aca="false">IF($A54="","",IF(AND(INDEX(工程マスタ!$I$5:$I$154,$A54)="○",$E54&gt;=AK$3,$E54&lt;=AK$3+6),"▼",IF(AND($E54&gt;=AK$3,$E54&lt;=AK$3+6),$A54,"")))</f>
        <v/>
      </c>
      <c r="AL54" s="47" t="str">
        <f aca="false">IF($A54="","",IF(AND(INDEX(工程マスタ!$I$5:$I$154,$A54)="○",$E54&gt;=AL$3,$E54&lt;=AL$3+6),"▼",IF(AND($E54&gt;=AL$3,$E54&lt;=AL$3+6),$A54,"")))</f>
        <v/>
      </c>
      <c r="AM54" s="47" t="str">
        <f aca="false">IF($A54="","",IF(AND(INDEX(工程マスタ!$I$5:$I$154,$A54)="○",$E54&gt;=AM$3,$E54&lt;=AM$3+6),"▼",IF(AND($E54&gt;=AM$3,$E54&lt;=AM$3+6),$A54,"")))</f>
        <v/>
      </c>
      <c r="AN54" s="47" t="str">
        <f aca="false">IF($A54="","",IF(AND(INDEX(工程マスタ!$I$5:$I$154,$A54)="○",$E54&gt;=AN$3,$E54&lt;=AN$3+6),"▼",IF(AND($E54&gt;=AN$3,$E54&lt;=AN$3+6),$A54,"")))</f>
        <v/>
      </c>
      <c r="AO54" s="47" t="str">
        <f aca="false">IF($A54="","",IF(AND(INDEX(工程マスタ!$I$5:$I$154,$A54)="○",$E54&gt;=AO$3,$E54&lt;=AO$3+6),"▼",IF(AND($E54&gt;=AO$3,$E54&lt;=AO$3+6),$A54,"")))</f>
        <v/>
      </c>
      <c r="AP54" s="47" t="str">
        <f aca="false">IF($A54="","",IF(AND(INDEX(工程マスタ!$I$5:$I$154,$A54)="○",$E54&gt;=AP$3,$E54&lt;=AP$3+6),"▼",IF(AND($E54&gt;=AP$3,$E54&lt;=AP$3+6),$A54,"")))</f>
        <v/>
      </c>
      <c r="AQ54" s="47" t="str">
        <f aca="false">IF($A54="","",IF(AND(INDEX(工程マスタ!$I$5:$I$154,$A54)="○",$E54&gt;=AQ$3,$E54&lt;=AQ$3+6),"▼",IF(AND($E54&gt;=AQ$3,$E54&lt;=AQ$3+6),$A54,"")))</f>
        <v/>
      </c>
      <c r="AR54" s="47" t="str">
        <f aca="false">IF($A54="","",IF(AND(INDEX(工程マスタ!$I$5:$I$154,$A54)="○",$E54&gt;=AR$3,$E54&lt;=AR$3+6),"▼",IF(AND($E54&gt;=AR$3,$E54&lt;=AR$3+6),$A54,"")))</f>
        <v/>
      </c>
      <c r="AS54" s="47" t="str">
        <f aca="false">IF($A54="","",IF(AND(INDEX(工程マスタ!$I$5:$I$154,$A54)="○",$E54&gt;=AS$3,$E54&lt;=AS$3+6),"▼",IF(AND($E54&gt;=AS$3,$E54&lt;=AS$3+6),$A54,"")))</f>
        <v/>
      </c>
      <c r="AT54" s="47" t="str">
        <f aca="false">IF($A54="","",IF(AND(INDEX(工程マスタ!$I$5:$I$154,$A54)="○",$E54&gt;=AT$3,$E54&lt;=AT$3+6),"▼",IF(AND($E54&gt;=AT$3,$E54&lt;=AT$3+6),$A54,"")))</f>
        <v/>
      </c>
      <c r="AU54" s="47" t="str">
        <f aca="false">IF($A54="","",IF(AND(INDEX(工程マスタ!$I$5:$I$154,$A54)="○",$E54&gt;=AU$3,$E54&lt;=AU$3+6),"▼",IF(AND($E54&gt;=AU$3,$E54&lt;=AU$3+6),$A54,"")))</f>
        <v/>
      </c>
      <c r="AV54" s="47" t="str">
        <f aca="false">IF($A54="","",IF(AND(INDEX(工程マスタ!$I$5:$I$154,$A54)="○",$E54&gt;=AV$3,$E54&lt;=AV$3+6),"▼",IF(AND($E54&gt;=AV$3,$E54&lt;=AV$3+6),$A54,"")))</f>
        <v/>
      </c>
      <c r="AW54" s="47" t="str">
        <f aca="false">IF($A54="","",IF(AND(INDEX(工程マスタ!$I$5:$I$154,$A54)="○",$E54&gt;=AW$3,$E54&lt;=AW$3+6),"▼",IF(AND($E54&gt;=AW$3,$E54&lt;=AW$3+6),$A54,"")))</f>
        <v/>
      </c>
      <c r="AX54" s="47" t="str">
        <f aca="false">IF($A54="","",IF(AND(INDEX(工程マスタ!$I$5:$I$154,$A54)="○",$E54&gt;=AX$3,$E54&lt;=AX$3+6),"▼",IF(AND($E54&gt;=AX$3,$E54&lt;=AX$3+6),$A54,"")))</f>
        <v/>
      </c>
      <c r="AY54" s="47" t="str">
        <f aca="false">IF($A54="","",IF(AND(INDEX(工程マスタ!$I$5:$I$154,$A54)="○",$E54&gt;=AY$3,$E54&lt;=AY$3+6),"▼",IF(AND($E54&gt;=AY$3,$E54&lt;=AY$3+6),$A54,"")))</f>
        <v/>
      </c>
      <c r="AZ54" s="47" t="str">
        <f aca="false">IF($A54="","",IF(AND(INDEX(工程マスタ!$I$5:$I$154,$A54)="○",$E54&gt;=AZ$3,$E54&lt;=AZ$3+6),"▼",IF(AND($E54&gt;=AZ$3,$E54&lt;=AZ$3+6),$A54,"")))</f>
        <v/>
      </c>
      <c r="BA54" s="47" t="str">
        <f aca="false">IF($A54="","",IF(AND(INDEX(工程マスタ!$I$5:$I$154,$A54)="○",$E54&gt;=BA$3,$E54&lt;=BA$3+6),"▼",IF(AND($E54&gt;=BA$3,$E54&lt;=BA$3+6),$A54,"")))</f>
        <v/>
      </c>
      <c r="BB54" s="47" t="str">
        <f aca="false">IF($A54="","",IF(AND(INDEX(工程マスタ!$I$5:$I$154,$A54)="○",$E54&gt;=BB$3,$E54&lt;=BB$3+6),"▼",IF(AND($E54&gt;=BB$3,$E54&lt;=BB$3+6),$A54,"")))</f>
        <v/>
      </c>
      <c r="BC54" s="47" t="str">
        <f aca="false">IF($A54="","",IF(AND(INDEX(工程マスタ!$I$5:$I$154,$A54)="○",$E54&gt;=BC$3,$E54&lt;=BC$3+6),"▼",IF(AND($E54&gt;=BC$3,$E54&lt;=BC$3+6),$A54,"")))</f>
        <v/>
      </c>
      <c r="BD54" s="47" t="str">
        <f aca="false">IF($A54="","",IF(AND(INDEX(工程マスタ!$I$5:$I$154,$A54)="○",$E54&gt;=BD$3,$E54&lt;=BD$3+6),"▼",IF(AND($E54&gt;=BD$3,$E54&lt;=BD$3+6),$A54,"")))</f>
        <v/>
      </c>
      <c r="BE54" s="47" t="str">
        <f aca="false">IF($A54="","",IF(AND(INDEX(工程マスタ!$I$5:$I$154,$A54)="○",$E54&gt;=BE$3,$E54&lt;=BE$3+6),"▼",IF(AND($E54&gt;=BE$3,$E54&lt;=BE$3+6),$A54,"")))</f>
        <v/>
      </c>
      <c r="BF54" s="47" t="str">
        <f aca="false">IF($A54="","",IF(AND(INDEX(工程マスタ!$I$5:$I$154,$A54)="○",$E54&gt;=BF$3,$E54&lt;=BF$3+6),"▼",IF(AND($E54&gt;=BF$3,$E54&lt;=BF$3+6),$A54,"")))</f>
        <v/>
      </c>
      <c r="BG54" s="47" t="str">
        <f aca="false">IF($A54="","",IF(AND(INDEX(工程マスタ!$I$5:$I$154,$A54)="○",$E54&gt;=BG$3,$E54&lt;=BG$3+6),"▼",IF(AND($E54&gt;=BG$3,$E54&lt;=BG$3+6),$A54,"")))</f>
        <v/>
      </c>
      <c r="BH54" s="47" t="str">
        <f aca="false">IF($A54="","",IF(AND(INDEX(工程マスタ!$I$5:$I$154,$A54)="○",$E54&gt;=BH$3,$E54&lt;=BH$3+6),"▼",IF(AND($E54&gt;=BH$3,$E54&lt;=BH$3+6),$A54,"")))</f>
        <v/>
      </c>
      <c r="BI54" s="47" t="str">
        <f aca="false">IF($A54="","",IF(AND(INDEX(工程マスタ!$I$5:$I$154,$A54)="○",$E54&gt;=BI$3,$E54&lt;=BI$3+6),"▼",IF(AND($E54&gt;=BI$3,$E54&lt;=BI$3+6),$A54,"")))</f>
        <v/>
      </c>
      <c r="BJ54" s="47" t="str">
        <f aca="false">IF($A54="","",IF(AND(INDEX(工程マスタ!$I$5:$I$154,$A54)="○",$E54&gt;=BJ$3,$E54&lt;=BJ$3+6),"▼",IF(AND($E54&gt;=BJ$3,$E54&lt;=BJ$3+6),$A54,"")))</f>
        <v/>
      </c>
    </row>
    <row r="55" customFormat="false" ht="15" hidden="false" customHeight="false" outlineLevel="0" collapsed="false">
      <c r="A55" s="28" t="str">
        <f aca="false">IF(工程マスタ!$C53="","",工程マスタ!$A53)</f>
        <v/>
      </c>
      <c r="B55" s="46" t="str">
        <f aca="false">IF($A55="","",工程マスタ!$C53)</f>
        <v/>
      </c>
      <c r="C55" s="28" t="str">
        <f aca="false">IF($A55="","",MAX(1,工程マスタ!$G53))</f>
        <v/>
      </c>
      <c r="D55" s="28" t="str">
        <f aca="false">IF($A55="","",_xlfn.TEXTJOIN(",",TRUE(),工程マスタ!$N53:$P53))</f>
        <v/>
      </c>
      <c r="E55" s="29" t="str">
        <f aca="false">IF($A55="","",IF(COUNT(工程マスタ!$N53:$P53)=0,設定!$B$8,MAX(IF(工程マスタ!$N53="",0,INDEX($F$7:$F$156,工程マスタ!$N53)),IF(工程マスタ!$O53="",0,INDEX($F$7:$F$156,工程マスタ!$O53)),IF(工程マスタ!$P53="",0,INDEX($F$7:$F$156,工程マスタ!$P53)))+1))</f>
        <v/>
      </c>
      <c r="F55" s="29" t="str">
        <f aca="false">IF($A55="","",$E55+$C55-1)</f>
        <v/>
      </c>
      <c r="G55" s="29" t="str">
        <f aca="false">IF($A55="","",$H55-$C55+1)</f>
        <v/>
      </c>
      <c r="H55" s="29" t="str">
        <f aca="false" t="array" ref="H55:H55">IF($A55="","",IF(SUMPRODUCT((工程マスタ!$N$54:$N$154=$A55)*1)+SUMPRODUCT((工程マスタ!$O$54:$O$154=$A55)*1)+SUMPRODUCT((工程マスタ!$P$54:$P$154=$A55)*1)=0,MAX($F$7:$F$156),MIN(IF((工程マスタ!$N$54:$N$154=$A55)+(工程マスタ!$O$54:$O$154=$A55)+(工程マスタ!$P$54:$P$154=$A55),$G56:$G$156))-1))</f>
        <v/>
      </c>
      <c r="I55" s="28" t="str">
        <f aca="false">IF($A55="","",$G55-$E55)</f>
        <v/>
      </c>
      <c r="J55" s="28" t="str">
        <f aca="false">IF($A55="","",IF($I55&lt;=0,"●",""))</f>
        <v/>
      </c>
      <c r="K55" s="47" t="str">
        <f aca="false">IF($A55="","",IF(AND(INDEX(工程マスタ!$I$5:$I$154,$A55)="○",$E55&gt;=K$3,$E55&lt;=K$3+6),"▼",IF(AND($E55&gt;=K$3,$E55&lt;=K$3+6),$A55,"")))</f>
        <v/>
      </c>
      <c r="L55" s="47" t="str">
        <f aca="false">IF($A55="","",IF(AND(INDEX(工程マスタ!$I$5:$I$154,$A55)="○",$E55&gt;=L$3,$E55&lt;=L$3+6),"▼",IF(AND($E55&gt;=L$3,$E55&lt;=L$3+6),$A55,"")))</f>
        <v/>
      </c>
      <c r="M55" s="47" t="str">
        <f aca="false">IF($A55="","",IF(AND(INDEX(工程マスタ!$I$5:$I$154,$A55)="○",$E55&gt;=M$3,$E55&lt;=M$3+6),"▼",IF(AND($E55&gt;=M$3,$E55&lt;=M$3+6),$A55,"")))</f>
        <v/>
      </c>
      <c r="N55" s="47" t="str">
        <f aca="false">IF($A55="","",IF(AND(INDEX(工程マスタ!$I$5:$I$154,$A55)="○",$E55&gt;=N$3,$E55&lt;=N$3+6),"▼",IF(AND($E55&gt;=N$3,$E55&lt;=N$3+6),$A55,"")))</f>
        <v/>
      </c>
      <c r="O55" s="47" t="str">
        <f aca="false">IF($A55="","",IF(AND(INDEX(工程マスタ!$I$5:$I$154,$A55)="○",$E55&gt;=O$3,$E55&lt;=O$3+6),"▼",IF(AND($E55&gt;=O$3,$E55&lt;=O$3+6),$A55,"")))</f>
        <v/>
      </c>
      <c r="P55" s="47" t="str">
        <f aca="false">IF($A55="","",IF(AND(INDEX(工程マスタ!$I$5:$I$154,$A55)="○",$E55&gt;=P$3,$E55&lt;=P$3+6),"▼",IF(AND($E55&gt;=P$3,$E55&lt;=P$3+6),$A55,"")))</f>
        <v/>
      </c>
      <c r="Q55" s="47" t="str">
        <f aca="false">IF($A55="","",IF(AND(INDEX(工程マスタ!$I$5:$I$154,$A55)="○",$E55&gt;=Q$3,$E55&lt;=Q$3+6),"▼",IF(AND($E55&gt;=Q$3,$E55&lt;=Q$3+6),$A55,"")))</f>
        <v/>
      </c>
      <c r="R55" s="47" t="str">
        <f aca="false">IF($A55="","",IF(AND(INDEX(工程マスタ!$I$5:$I$154,$A55)="○",$E55&gt;=R$3,$E55&lt;=R$3+6),"▼",IF(AND($E55&gt;=R$3,$E55&lt;=R$3+6),$A55,"")))</f>
        <v/>
      </c>
      <c r="S55" s="47" t="str">
        <f aca="false">IF($A55="","",IF(AND(INDEX(工程マスタ!$I$5:$I$154,$A55)="○",$E55&gt;=S$3,$E55&lt;=S$3+6),"▼",IF(AND($E55&gt;=S$3,$E55&lt;=S$3+6),$A55,"")))</f>
        <v/>
      </c>
      <c r="T55" s="47" t="str">
        <f aca="false">IF($A55="","",IF(AND(INDEX(工程マスタ!$I$5:$I$154,$A55)="○",$E55&gt;=T$3,$E55&lt;=T$3+6),"▼",IF(AND($E55&gt;=T$3,$E55&lt;=T$3+6),$A55,"")))</f>
        <v/>
      </c>
      <c r="U55" s="47" t="str">
        <f aca="false">IF($A55="","",IF(AND(INDEX(工程マスタ!$I$5:$I$154,$A55)="○",$E55&gt;=U$3,$E55&lt;=U$3+6),"▼",IF(AND($E55&gt;=U$3,$E55&lt;=U$3+6),$A55,"")))</f>
        <v/>
      </c>
      <c r="V55" s="47" t="str">
        <f aca="false">IF($A55="","",IF(AND(INDEX(工程マスタ!$I$5:$I$154,$A55)="○",$E55&gt;=V$3,$E55&lt;=V$3+6),"▼",IF(AND($E55&gt;=V$3,$E55&lt;=V$3+6),$A55,"")))</f>
        <v/>
      </c>
      <c r="W55" s="47" t="str">
        <f aca="false">IF($A55="","",IF(AND(INDEX(工程マスタ!$I$5:$I$154,$A55)="○",$E55&gt;=W$3,$E55&lt;=W$3+6),"▼",IF(AND($E55&gt;=W$3,$E55&lt;=W$3+6),$A55,"")))</f>
        <v/>
      </c>
      <c r="X55" s="47" t="str">
        <f aca="false">IF($A55="","",IF(AND(INDEX(工程マスタ!$I$5:$I$154,$A55)="○",$E55&gt;=X$3,$E55&lt;=X$3+6),"▼",IF(AND($E55&gt;=X$3,$E55&lt;=X$3+6),$A55,"")))</f>
        <v/>
      </c>
      <c r="Y55" s="47" t="str">
        <f aca="false">IF($A55="","",IF(AND(INDEX(工程マスタ!$I$5:$I$154,$A55)="○",$E55&gt;=Y$3,$E55&lt;=Y$3+6),"▼",IF(AND($E55&gt;=Y$3,$E55&lt;=Y$3+6),$A55,"")))</f>
        <v/>
      </c>
      <c r="Z55" s="47" t="str">
        <f aca="false">IF($A55="","",IF(AND(INDEX(工程マスタ!$I$5:$I$154,$A55)="○",$E55&gt;=Z$3,$E55&lt;=Z$3+6),"▼",IF(AND($E55&gt;=Z$3,$E55&lt;=Z$3+6),$A55,"")))</f>
        <v/>
      </c>
      <c r="AA55" s="47" t="str">
        <f aca="false">IF($A55="","",IF(AND(INDEX(工程マスタ!$I$5:$I$154,$A55)="○",$E55&gt;=AA$3,$E55&lt;=AA$3+6),"▼",IF(AND($E55&gt;=AA$3,$E55&lt;=AA$3+6),$A55,"")))</f>
        <v/>
      </c>
      <c r="AB55" s="47" t="str">
        <f aca="false">IF($A55="","",IF(AND(INDEX(工程マスタ!$I$5:$I$154,$A55)="○",$E55&gt;=AB$3,$E55&lt;=AB$3+6),"▼",IF(AND($E55&gt;=AB$3,$E55&lt;=AB$3+6),$A55,"")))</f>
        <v/>
      </c>
      <c r="AC55" s="47" t="str">
        <f aca="false">IF($A55="","",IF(AND(INDEX(工程マスタ!$I$5:$I$154,$A55)="○",$E55&gt;=AC$3,$E55&lt;=AC$3+6),"▼",IF(AND($E55&gt;=AC$3,$E55&lt;=AC$3+6),$A55,"")))</f>
        <v/>
      </c>
      <c r="AD55" s="47" t="str">
        <f aca="false">IF($A55="","",IF(AND(INDEX(工程マスタ!$I$5:$I$154,$A55)="○",$E55&gt;=AD$3,$E55&lt;=AD$3+6),"▼",IF(AND($E55&gt;=AD$3,$E55&lt;=AD$3+6),$A55,"")))</f>
        <v/>
      </c>
      <c r="AE55" s="47" t="str">
        <f aca="false">IF($A55="","",IF(AND(INDEX(工程マスタ!$I$5:$I$154,$A55)="○",$E55&gt;=AE$3,$E55&lt;=AE$3+6),"▼",IF(AND($E55&gt;=AE$3,$E55&lt;=AE$3+6),$A55,"")))</f>
        <v/>
      </c>
      <c r="AF55" s="47" t="str">
        <f aca="false">IF($A55="","",IF(AND(INDEX(工程マスタ!$I$5:$I$154,$A55)="○",$E55&gt;=AF$3,$E55&lt;=AF$3+6),"▼",IF(AND($E55&gt;=AF$3,$E55&lt;=AF$3+6),$A55,"")))</f>
        <v/>
      </c>
      <c r="AG55" s="47" t="str">
        <f aca="false">IF($A55="","",IF(AND(INDEX(工程マスタ!$I$5:$I$154,$A55)="○",$E55&gt;=AG$3,$E55&lt;=AG$3+6),"▼",IF(AND($E55&gt;=AG$3,$E55&lt;=AG$3+6),$A55,"")))</f>
        <v/>
      </c>
      <c r="AH55" s="47" t="str">
        <f aca="false">IF($A55="","",IF(AND(INDEX(工程マスタ!$I$5:$I$154,$A55)="○",$E55&gt;=AH$3,$E55&lt;=AH$3+6),"▼",IF(AND($E55&gt;=AH$3,$E55&lt;=AH$3+6),$A55,"")))</f>
        <v/>
      </c>
      <c r="AI55" s="47" t="str">
        <f aca="false">IF($A55="","",IF(AND(INDEX(工程マスタ!$I$5:$I$154,$A55)="○",$E55&gt;=AI$3,$E55&lt;=AI$3+6),"▼",IF(AND($E55&gt;=AI$3,$E55&lt;=AI$3+6),$A55,"")))</f>
        <v/>
      </c>
      <c r="AJ55" s="47" t="str">
        <f aca="false">IF($A55="","",IF(AND(INDEX(工程マスタ!$I$5:$I$154,$A55)="○",$E55&gt;=AJ$3,$E55&lt;=AJ$3+6),"▼",IF(AND($E55&gt;=AJ$3,$E55&lt;=AJ$3+6),$A55,"")))</f>
        <v/>
      </c>
      <c r="AK55" s="47" t="str">
        <f aca="false">IF($A55="","",IF(AND(INDEX(工程マスタ!$I$5:$I$154,$A55)="○",$E55&gt;=AK$3,$E55&lt;=AK$3+6),"▼",IF(AND($E55&gt;=AK$3,$E55&lt;=AK$3+6),$A55,"")))</f>
        <v/>
      </c>
      <c r="AL55" s="47" t="str">
        <f aca="false">IF($A55="","",IF(AND(INDEX(工程マスタ!$I$5:$I$154,$A55)="○",$E55&gt;=AL$3,$E55&lt;=AL$3+6),"▼",IF(AND($E55&gt;=AL$3,$E55&lt;=AL$3+6),$A55,"")))</f>
        <v/>
      </c>
      <c r="AM55" s="47" t="str">
        <f aca="false">IF($A55="","",IF(AND(INDEX(工程マスタ!$I$5:$I$154,$A55)="○",$E55&gt;=AM$3,$E55&lt;=AM$3+6),"▼",IF(AND($E55&gt;=AM$3,$E55&lt;=AM$3+6),$A55,"")))</f>
        <v/>
      </c>
      <c r="AN55" s="47" t="str">
        <f aca="false">IF($A55="","",IF(AND(INDEX(工程マスタ!$I$5:$I$154,$A55)="○",$E55&gt;=AN$3,$E55&lt;=AN$3+6),"▼",IF(AND($E55&gt;=AN$3,$E55&lt;=AN$3+6),$A55,"")))</f>
        <v/>
      </c>
      <c r="AO55" s="47" t="str">
        <f aca="false">IF($A55="","",IF(AND(INDEX(工程マスタ!$I$5:$I$154,$A55)="○",$E55&gt;=AO$3,$E55&lt;=AO$3+6),"▼",IF(AND($E55&gt;=AO$3,$E55&lt;=AO$3+6),$A55,"")))</f>
        <v/>
      </c>
      <c r="AP55" s="47" t="str">
        <f aca="false">IF($A55="","",IF(AND(INDEX(工程マスタ!$I$5:$I$154,$A55)="○",$E55&gt;=AP$3,$E55&lt;=AP$3+6),"▼",IF(AND($E55&gt;=AP$3,$E55&lt;=AP$3+6),$A55,"")))</f>
        <v/>
      </c>
      <c r="AQ55" s="47" t="str">
        <f aca="false">IF($A55="","",IF(AND(INDEX(工程マスタ!$I$5:$I$154,$A55)="○",$E55&gt;=AQ$3,$E55&lt;=AQ$3+6),"▼",IF(AND($E55&gt;=AQ$3,$E55&lt;=AQ$3+6),$A55,"")))</f>
        <v/>
      </c>
      <c r="AR55" s="47" t="str">
        <f aca="false">IF($A55="","",IF(AND(INDEX(工程マスタ!$I$5:$I$154,$A55)="○",$E55&gt;=AR$3,$E55&lt;=AR$3+6),"▼",IF(AND($E55&gt;=AR$3,$E55&lt;=AR$3+6),$A55,"")))</f>
        <v/>
      </c>
      <c r="AS55" s="47" t="str">
        <f aca="false">IF($A55="","",IF(AND(INDEX(工程マスタ!$I$5:$I$154,$A55)="○",$E55&gt;=AS$3,$E55&lt;=AS$3+6),"▼",IF(AND($E55&gt;=AS$3,$E55&lt;=AS$3+6),$A55,"")))</f>
        <v/>
      </c>
      <c r="AT55" s="47" t="str">
        <f aca="false">IF($A55="","",IF(AND(INDEX(工程マスタ!$I$5:$I$154,$A55)="○",$E55&gt;=AT$3,$E55&lt;=AT$3+6),"▼",IF(AND($E55&gt;=AT$3,$E55&lt;=AT$3+6),$A55,"")))</f>
        <v/>
      </c>
      <c r="AU55" s="47" t="str">
        <f aca="false">IF($A55="","",IF(AND(INDEX(工程マスタ!$I$5:$I$154,$A55)="○",$E55&gt;=AU$3,$E55&lt;=AU$3+6),"▼",IF(AND($E55&gt;=AU$3,$E55&lt;=AU$3+6),$A55,"")))</f>
        <v/>
      </c>
      <c r="AV55" s="47" t="str">
        <f aca="false">IF($A55="","",IF(AND(INDEX(工程マスタ!$I$5:$I$154,$A55)="○",$E55&gt;=AV$3,$E55&lt;=AV$3+6),"▼",IF(AND($E55&gt;=AV$3,$E55&lt;=AV$3+6),$A55,"")))</f>
        <v/>
      </c>
      <c r="AW55" s="47" t="str">
        <f aca="false">IF($A55="","",IF(AND(INDEX(工程マスタ!$I$5:$I$154,$A55)="○",$E55&gt;=AW$3,$E55&lt;=AW$3+6),"▼",IF(AND($E55&gt;=AW$3,$E55&lt;=AW$3+6),$A55,"")))</f>
        <v/>
      </c>
      <c r="AX55" s="47" t="str">
        <f aca="false">IF($A55="","",IF(AND(INDEX(工程マスタ!$I$5:$I$154,$A55)="○",$E55&gt;=AX$3,$E55&lt;=AX$3+6),"▼",IF(AND($E55&gt;=AX$3,$E55&lt;=AX$3+6),$A55,"")))</f>
        <v/>
      </c>
      <c r="AY55" s="47" t="str">
        <f aca="false">IF($A55="","",IF(AND(INDEX(工程マスタ!$I$5:$I$154,$A55)="○",$E55&gt;=AY$3,$E55&lt;=AY$3+6),"▼",IF(AND($E55&gt;=AY$3,$E55&lt;=AY$3+6),$A55,"")))</f>
        <v/>
      </c>
      <c r="AZ55" s="47" t="str">
        <f aca="false">IF($A55="","",IF(AND(INDEX(工程マスタ!$I$5:$I$154,$A55)="○",$E55&gt;=AZ$3,$E55&lt;=AZ$3+6),"▼",IF(AND($E55&gt;=AZ$3,$E55&lt;=AZ$3+6),$A55,"")))</f>
        <v/>
      </c>
      <c r="BA55" s="47" t="str">
        <f aca="false">IF($A55="","",IF(AND(INDEX(工程マスタ!$I$5:$I$154,$A55)="○",$E55&gt;=BA$3,$E55&lt;=BA$3+6),"▼",IF(AND($E55&gt;=BA$3,$E55&lt;=BA$3+6),$A55,"")))</f>
        <v/>
      </c>
      <c r="BB55" s="47" t="str">
        <f aca="false">IF($A55="","",IF(AND(INDEX(工程マスタ!$I$5:$I$154,$A55)="○",$E55&gt;=BB$3,$E55&lt;=BB$3+6),"▼",IF(AND($E55&gt;=BB$3,$E55&lt;=BB$3+6),$A55,"")))</f>
        <v/>
      </c>
      <c r="BC55" s="47" t="str">
        <f aca="false">IF($A55="","",IF(AND(INDEX(工程マスタ!$I$5:$I$154,$A55)="○",$E55&gt;=BC$3,$E55&lt;=BC$3+6),"▼",IF(AND($E55&gt;=BC$3,$E55&lt;=BC$3+6),$A55,"")))</f>
        <v/>
      </c>
      <c r="BD55" s="47" t="str">
        <f aca="false">IF($A55="","",IF(AND(INDEX(工程マスタ!$I$5:$I$154,$A55)="○",$E55&gt;=BD$3,$E55&lt;=BD$3+6),"▼",IF(AND($E55&gt;=BD$3,$E55&lt;=BD$3+6),$A55,"")))</f>
        <v/>
      </c>
      <c r="BE55" s="47" t="str">
        <f aca="false">IF($A55="","",IF(AND(INDEX(工程マスタ!$I$5:$I$154,$A55)="○",$E55&gt;=BE$3,$E55&lt;=BE$3+6),"▼",IF(AND($E55&gt;=BE$3,$E55&lt;=BE$3+6),$A55,"")))</f>
        <v/>
      </c>
      <c r="BF55" s="47" t="str">
        <f aca="false">IF($A55="","",IF(AND(INDEX(工程マスタ!$I$5:$I$154,$A55)="○",$E55&gt;=BF$3,$E55&lt;=BF$3+6),"▼",IF(AND($E55&gt;=BF$3,$E55&lt;=BF$3+6),$A55,"")))</f>
        <v/>
      </c>
      <c r="BG55" s="47" t="str">
        <f aca="false">IF($A55="","",IF(AND(INDEX(工程マスタ!$I$5:$I$154,$A55)="○",$E55&gt;=BG$3,$E55&lt;=BG$3+6),"▼",IF(AND($E55&gt;=BG$3,$E55&lt;=BG$3+6),$A55,"")))</f>
        <v/>
      </c>
      <c r="BH55" s="47" t="str">
        <f aca="false">IF($A55="","",IF(AND(INDEX(工程マスタ!$I$5:$I$154,$A55)="○",$E55&gt;=BH$3,$E55&lt;=BH$3+6),"▼",IF(AND($E55&gt;=BH$3,$E55&lt;=BH$3+6),$A55,"")))</f>
        <v/>
      </c>
      <c r="BI55" s="47" t="str">
        <f aca="false">IF($A55="","",IF(AND(INDEX(工程マスタ!$I$5:$I$154,$A55)="○",$E55&gt;=BI$3,$E55&lt;=BI$3+6),"▼",IF(AND($E55&gt;=BI$3,$E55&lt;=BI$3+6),$A55,"")))</f>
        <v/>
      </c>
      <c r="BJ55" s="47" t="str">
        <f aca="false">IF($A55="","",IF(AND(INDEX(工程マスタ!$I$5:$I$154,$A55)="○",$E55&gt;=BJ$3,$E55&lt;=BJ$3+6),"▼",IF(AND($E55&gt;=BJ$3,$E55&lt;=BJ$3+6),$A55,"")))</f>
        <v/>
      </c>
    </row>
    <row r="56" customFormat="false" ht="15" hidden="false" customHeight="false" outlineLevel="0" collapsed="false">
      <c r="A56" s="28" t="str">
        <f aca="false">IF(工程マスタ!$C54="","",工程マスタ!$A54)</f>
        <v/>
      </c>
      <c r="B56" s="46" t="str">
        <f aca="false">IF($A56="","",工程マスタ!$C54)</f>
        <v/>
      </c>
      <c r="C56" s="28" t="str">
        <f aca="false">IF($A56="","",MAX(1,工程マスタ!$G54))</f>
        <v/>
      </c>
      <c r="D56" s="28" t="str">
        <f aca="false">IF($A56="","",_xlfn.TEXTJOIN(",",TRUE(),工程マスタ!$N54:$P54))</f>
        <v/>
      </c>
      <c r="E56" s="29" t="str">
        <f aca="false">IF($A56="","",IF(COUNT(工程マスタ!$N54:$P54)=0,設定!$B$8,MAX(IF(工程マスタ!$N54="",0,INDEX($F$7:$F$156,工程マスタ!$N54)),IF(工程マスタ!$O54="",0,INDEX($F$7:$F$156,工程マスタ!$O54)),IF(工程マスタ!$P54="",0,INDEX($F$7:$F$156,工程マスタ!$P54)))+1))</f>
        <v/>
      </c>
      <c r="F56" s="29" t="str">
        <f aca="false">IF($A56="","",$E56+$C56-1)</f>
        <v/>
      </c>
      <c r="G56" s="29" t="str">
        <f aca="false">IF($A56="","",$H56-$C56+1)</f>
        <v/>
      </c>
      <c r="H56" s="29" t="str">
        <f aca="false" t="array" ref="H56:H56">IF($A56="","",IF(SUMPRODUCT((工程マスタ!$N$55:$N$154=$A56)*1)+SUMPRODUCT((工程マスタ!$O$55:$O$154=$A56)*1)+SUMPRODUCT((工程マスタ!$P$55:$P$154=$A56)*1)=0,MAX($F$7:$F$156),MIN(IF((工程マスタ!$N$55:$N$154=$A56)+(工程マスタ!$O$55:$O$154=$A56)+(工程マスタ!$P$55:$P$154=$A56),$G57:$G$156))-1))</f>
        <v/>
      </c>
      <c r="I56" s="28" t="str">
        <f aca="false">IF($A56="","",$G56-$E56)</f>
        <v/>
      </c>
      <c r="J56" s="28" t="str">
        <f aca="false">IF($A56="","",IF($I56&lt;=0,"●",""))</f>
        <v/>
      </c>
      <c r="K56" s="47" t="str">
        <f aca="false">IF($A56="","",IF(AND(INDEX(工程マスタ!$I$5:$I$154,$A56)="○",$E56&gt;=K$3,$E56&lt;=K$3+6),"▼",IF(AND($E56&gt;=K$3,$E56&lt;=K$3+6),$A56,"")))</f>
        <v/>
      </c>
      <c r="L56" s="47" t="str">
        <f aca="false">IF($A56="","",IF(AND(INDEX(工程マスタ!$I$5:$I$154,$A56)="○",$E56&gt;=L$3,$E56&lt;=L$3+6),"▼",IF(AND($E56&gt;=L$3,$E56&lt;=L$3+6),$A56,"")))</f>
        <v/>
      </c>
      <c r="M56" s="47" t="str">
        <f aca="false">IF($A56="","",IF(AND(INDEX(工程マスタ!$I$5:$I$154,$A56)="○",$E56&gt;=M$3,$E56&lt;=M$3+6),"▼",IF(AND($E56&gt;=M$3,$E56&lt;=M$3+6),$A56,"")))</f>
        <v/>
      </c>
      <c r="N56" s="47" t="str">
        <f aca="false">IF($A56="","",IF(AND(INDEX(工程マスタ!$I$5:$I$154,$A56)="○",$E56&gt;=N$3,$E56&lt;=N$3+6),"▼",IF(AND($E56&gt;=N$3,$E56&lt;=N$3+6),$A56,"")))</f>
        <v/>
      </c>
      <c r="O56" s="47" t="str">
        <f aca="false">IF($A56="","",IF(AND(INDEX(工程マスタ!$I$5:$I$154,$A56)="○",$E56&gt;=O$3,$E56&lt;=O$3+6),"▼",IF(AND($E56&gt;=O$3,$E56&lt;=O$3+6),$A56,"")))</f>
        <v/>
      </c>
      <c r="P56" s="47" t="str">
        <f aca="false">IF($A56="","",IF(AND(INDEX(工程マスタ!$I$5:$I$154,$A56)="○",$E56&gt;=P$3,$E56&lt;=P$3+6),"▼",IF(AND($E56&gt;=P$3,$E56&lt;=P$3+6),$A56,"")))</f>
        <v/>
      </c>
      <c r="Q56" s="47" t="str">
        <f aca="false">IF($A56="","",IF(AND(INDEX(工程マスタ!$I$5:$I$154,$A56)="○",$E56&gt;=Q$3,$E56&lt;=Q$3+6),"▼",IF(AND($E56&gt;=Q$3,$E56&lt;=Q$3+6),$A56,"")))</f>
        <v/>
      </c>
      <c r="R56" s="47" t="str">
        <f aca="false">IF($A56="","",IF(AND(INDEX(工程マスタ!$I$5:$I$154,$A56)="○",$E56&gt;=R$3,$E56&lt;=R$3+6),"▼",IF(AND($E56&gt;=R$3,$E56&lt;=R$3+6),$A56,"")))</f>
        <v/>
      </c>
      <c r="S56" s="47" t="str">
        <f aca="false">IF($A56="","",IF(AND(INDEX(工程マスタ!$I$5:$I$154,$A56)="○",$E56&gt;=S$3,$E56&lt;=S$3+6),"▼",IF(AND($E56&gt;=S$3,$E56&lt;=S$3+6),$A56,"")))</f>
        <v/>
      </c>
      <c r="T56" s="47" t="str">
        <f aca="false">IF($A56="","",IF(AND(INDEX(工程マスタ!$I$5:$I$154,$A56)="○",$E56&gt;=T$3,$E56&lt;=T$3+6),"▼",IF(AND($E56&gt;=T$3,$E56&lt;=T$3+6),$A56,"")))</f>
        <v/>
      </c>
      <c r="U56" s="47" t="str">
        <f aca="false">IF($A56="","",IF(AND(INDEX(工程マスタ!$I$5:$I$154,$A56)="○",$E56&gt;=U$3,$E56&lt;=U$3+6),"▼",IF(AND($E56&gt;=U$3,$E56&lt;=U$3+6),$A56,"")))</f>
        <v/>
      </c>
      <c r="V56" s="47" t="str">
        <f aca="false">IF($A56="","",IF(AND(INDEX(工程マスタ!$I$5:$I$154,$A56)="○",$E56&gt;=V$3,$E56&lt;=V$3+6),"▼",IF(AND($E56&gt;=V$3,$E56&lt;=V$3+6),$A56,"")))</f>
        <v/>
      </c>
      <c r="W56" s="47" t="str">
        <f aca="false">IF($A56="","",IF(AND(INDEX(工程マスタ!$I$5:$I$154,$A56)="○",$E56&gt;=W$3,$E56&lt;=W$3+6),"▼",IF(AND($E56&gt;=W$3,$E56&lt;=W$3+6),$A56,"")))</f>
        <v/>
      </c>
      <c r="X56" s="47" t="str">
        <f aca="false">IF($A56="","",IF(AND(INDEX(工程マスタ!$I$5:$I$154,$A56)="○",$E56&gt;=X$3,$E56&lt;=X$3+6),"▼",IF(AND($E56&gt;=X$3,$E56&lt;=X$3+6),$A56,"")))</f>
        <v/>
      </c>
      <c r="Y56" s="47" t="str">
        <f aca="false">IF($A56="","",IF(AND(INDEX(工程マスタ!$I$5:$I$154,$A56)="○",$E56&gt;=Y$3,$E56&lt;=Y$3+6),"▼",IF(AND($E56&gt;=Y$3,$E56&lt;=Y$3+6),$A56,"")))</f>
        <v/>
      </c>
      <c r="Z56" s="47" t="str">
        <f aca="false">IF($A56="","",IF(AND(INDEX(工程マスタ!$I$5:$I$154,$A56)="○",$E56&gt;=Z$3,$E56&lt;=Z$3+6),"▼",IF(AND($E56&gt;=Z$3,$E56&lt;=Z$3+6),$A56,"")))</f>
        <v/>
      </c>
      <c r="AA56" s="47" t="str">
        <f aca="false">IF($A56="","",IF(AND(INDEX(工程マスタ!$I$5:$I$154,$A56)="○",$E56&gt;=AA$3,$E56&lt;=AA$3+6),"▼",IF(AND($E56&gt;=AA$3,$E56&lt;=AA$3+6),$A56,"")))</f>
        <v/>
      </c>
      <c r="AB56" s="47" t="str">
        <f aca="false">IF($A56="","",IF(AND(INDEX(工程マスタ!$I$5:$I$154,$A56)="○",$E56&gt;=AB$3,$E56&lt;=AB$3+6),"▼",IF(AND($E56&gt;=AB$3,$E56&lt;=AB$3+6),$A56,"")))</f>
        <v/>
      </c>
      <c r="AC56" s="47" t="str">
        <f aca="false">IF($A56="","",IF(AND(INDEX(工程マスタ!$I$5:$I$154,$A56)="○",$E56&gt;=AC$3,$E56&lt;=AC$3+6),"▼",IF(AND($E56&gt;=AC$3,$E56&lt;=AC$3+6),$A56,"")))</f>
        <v/>
      </c>
      <c r="AD56" s="47" t="str">
        <f aca="false">IF($A56="","",IF(AND(INDEX(工程マスタ!$I$5:$I$154,$A56)="○",$E56&gt;=AD$3,$E56&lt;=AD$3+6),"▼",IF(AND($E56&gt;=AD$3,$E56&lt;=AD$3+6),$A56,"")))</f>
        <v/>
      </c>
      <c r="AE56" s="47" t="str">
        <f aca="false">IF($A56="","",IF(AND(INDEX(工程マスタ!$I$5:$I$154,$A56)="○",$E56&gt;=AE$3,$E56&lt;=AE$3+6),"▼",IF(AND($E56&gt;=AE$3,$E56&lt;=AE$3+6),$A56,"")))</f>
        <v/>
      </c>
      <c r="AF56" s="47" t="str">
        <f aca="false">IF($A56="","",IF(AND(INDEX(工程マスタ!$I$5:$I$154,$A56)="○",$E56&gt;=AF$3,$E56&lt;=AF$3+6),"▼",IF(AND($E56&gt;=AF$3,$E56&lt;=AF$3+6),$A56,"")))</f>
        <v/>
      </c>
      <c r="AG56" s="47" t="str">
        <f aca="false">IF($A56="","",IF(AND(INDEX(工程マスタ!$I$5:$I$154,$A56)="○",$E56&gt;=AG$3,$E56&lt;=AG$3+6),"▼",IF(AND($E56&gt;=AG$3,$E56&lt;=AG$3+6),$A56,"")))</f>
        <v/>
      </c>
      <c r="AH56" s="47" t="str">
        <f aca="false">IF($A56="","",IF(AND(INDEX(工程マスタ!$I$5:$I$154,$A56)="○",$E56&gt;=AH$3,$E56&lt;=AH$3+6),"▼",IF(AND($E56&gt;=AH$3,$E56&lt;=AH$3+6),$A56,"")))</f>
        <v/>
      </c>
      <c r="AI56" s="47" t="str">
        <f aca="false">IF($A56="","",IF(AND(INDEX(工程マスタ!$I$5:$I$154,$A56)="○",$E56&gt;=AI$3,$E56&lt;=AI$3+6),"▼",IF(AND($E56&gt;=AI$3,$E56&lt;=AI$3+6),$A56,"")))</f>
        <v/>
      </c>
      <c r="AJ56" s="47" t="str">
        <f aca="false">IF($A56="","",IF(AND(INDEX(工程マスタ!$I$5:$I$154,$A56)="○",$E56&gt;=AJ$3,$E56&lt;=AJ$3+6),"▼",IF(AND($E56&gt;=AJ$3,$E56&lt;=AJ$3+6),$A56,"")))</f>
        <v/>
      </c>
      <c r="AK56" s="47" t="str">
        <f aca="false">IF($A56="","",IF(AND(INDEX(工程マスタ!$I$5:$I$154,$A56)="○",$E56&gt;=AK$3,$E56&lt;=AK$3+6),"▼",IF(AND($E56&gt;=AK$3,$E56&lt;=AK$3+6),$A56,"")))</f>
        <v/>
      </c>
      <c r="AL56" s="47" t="str">
        <f aca="false">IF($A56="","",IF(AND(INDEX(工程マスタ!$I$5:$I$154,$A56)="○",$E56&gt;=AL$3,$E56&lt;=AL$3+6),"▼",IF(AND($E56&gt;=AL$3,$E56&lt;=AL$3+6),$A56,"")))</f>
        <v/>
      </c>
      <c r="AM56" s="47" t="str">
        <f aca="false">IF($A56="","",IF(AND(INDEX(工程マスタ!$I$5:$I$154,$A56)="○",$E56&gt;=AM$3,$E56&lt;=AM$3+6),"▼",IF(AND($E56&gt;=AM$3,$E56&lt;=AM$3+6),$A56,"")))</f>
        <v/>
      </c>
      <c r="AN56" s="47" t="str">
        <f aca="false">IF($A56="","",IF(AND(INDEX(工程マスタ!$I$5:$I$154,$A56)="○",$E56&gt;=AN$3,$E56&lt;=AN$3+6),"▼",IF(AND($E56&gt;=AN$3,$E56&lt;=AN$3+6),$A56,"")))</f>
        <v/>
      </c>
      <c r="AO56" s="47" t="str">
        <f aca="false">IF($A56="","",IF(AND(INDEX(工程マスタ!$I$5:$I$154,$A56)="○",$E56&gt;=AO$3,$E56&lt;=AO$3+6),"▼",IF(AND($E56&gt;=AO$3,$E56&lt;=AO$3+6),$A56,"")))</f>
        <v/>
      </c>
      <c r="AP56" s="47" t="str">
        <f aca="false">IF($A56="","",IF(AND(INDEX(工程マスタ!$I$5:$I$154,$A56)="○",$E56&gt;=AP$3,$E56&lt;=AP$3+6),"▼",IF(AND($E56&gt;=AP$3,$E56&lt;=AP$3+6),$A56,"")))</f>
        <v/>
      </c>
      <c r="AQ56" s="47" t="str">
        <f aca="false">IF($A56="","",IF(AND(INDEX(工程マスタ!$I$5:$I$154,$A56)="○",$E56&gt;=AQ$3,$E56&lt;=AQ$3+6),"▼",IF(AND($E56&gt;=AQ$3,$E56&lt;=AQ$3+6),$A56,"")))</f>
        <v/>
      </c>
      <c r="AR56" s="47" t="str">
        <f aca="false">IF($A56="","",IF(AND(INDEX(工程マスタ!$I$5:$I$154,$A56)="○",$E56&gt;=AR$3,$E56&lt;=AR$3+6),"▼",IF(AND($E56&gt;=AR$3,$E56&lt;=AR$3+6),$A56,"")))</f>
        <v/>
      </c>
      <c r="AS56" s="47" t="str">
        <f aca="false">IF($A56="","",IF(AND(INDEX(工程マスタ!$I$5:$I$154,$A56)="○",$E56&gt;=AS$3,$E56&lt;=AS$3+6),"▼",IF(AND($E56&gt;=AS$3,$E56&lt;=AS$3+6),$A56,"")))</f>
        <v/>
      </c>
      <c r="AT56" s="47" t="str">
        <f aca="false">IF($A56="","",IF(AND(INDEX(工程マスタ!$I$5:$I$154,$A56)="○",$E56&gt;=AT$3,$E56&lt;=AT$3+6),"▼",IF(AND($E56&gt;=AT$3,$E56&lt;=AT$3+6),$A56,"")))</f>
        <v/>
      </c>
      <c r="AU56" s="47" t="str">
        <f aca="false">IF($A56="","",IF(AND(INDEX(工程マスタ!$I$5:$I$154,$A56)="○",$E56&gt;=AU$3,$E56&lt;=AU$3+6),"▼",IF(AND($E56&gt;=AU$3,$E56&lt;=AU$3+6),$A56,"")))</f>
        <v/>
      </c>
      <c r="AV56" s="47" t="str">
        <f aca="false">IF($A56="","",IF(AND(INDEX(工程マスタ!$I$5:$I$154,$A56)="○",$E56&gt;=AV$3,$E56&lt;=AV$3+6),"▼",IF(AND($E56&gt;=AV$3,$E56&lt;=AV$3+6),$A56,"")))</f>
        <v/>
      </c>
      <c r="AW56" s="47" t="str">
        <f aca="false">IF($A56="","",IF(AND(INDEX(工程マスタ!$I$5:$I$154,$A56)="○",$E56&gt;=AW$3,$E56&lt;=AW$3+6),"▼",IF(AND($E56&gt;=AW$3,$E56&lt;=AW$3+6),$A56,"")))</f>
        <v/>
      </c>
      <c r="AX56" s="47" t="str">
        <f aca="false">IF($A56="","",IF(AND(INDEX(工程マスタ!$I$5:$I$154,$A56)="○",$E56&gt;=AX$3,$E56&lt;=AX$3+6),"▼",IF(AND($E56&gt;=AX$3,$E56&lt;=AX$3+6),$A56,"")))</f>
        <v/>
      </c>
      <c r="AY56" s="47" t="str">
        <f aca="false">IF($A56="","",IF(AND(INDEX(工程マスタ!$I$5:$I$154,$A56)="○",$E56&gt;=AY$3,$E56&lt;=AY$3+6),"▼",IF(AND($E56&gt;=AY$3,$E56&lt;=AY$3+6),$A56,"")))</f>
        <v/>
      </c>
      <c r="AZ56" s="47" t="str">
        <f aca="false">IF($A56="","",IF(AND(INDEX(工程マスタ!$I$5:$I$154,$A56)="○",$E56&gt;=AZ$3,$E56&lt;=AZ$3+6),"▼",IF(AND($E56&gt;=AZ$3,$E56&lt;=AZ$3+6),$A56,"")))</f>
        <v/>
      </c>
      <c r="BA56" s="47" t="str">
        <f aca="false">IF($A56="","",IF(AND(INDEX(工程マスタ!$I$5:$I$154,$A56)="○",$E56&gt;=BA$3,$E56&lt;=BA$3+6),"▼",IF(AND($E56&gt;=BA$3,$E56&lt;=BA$3+6),$A56,"")))</f>
        <v/>
      </c>
      <c r="BB56" s="47" t="str">
        <f aca="false">IF($A56="","",IF(AND(INDEX(工程マスタ!$I$5:$I$154,$A56)="○",$E56&gt;=BB$3,$E56&lt;=BB$3+6),"▼",IF(AND($E56&gt;=BB$3,$E56&lt;=BB$3+6),$A56,"")))</f>
        <v/>
      </c>
      <c r="BC56" s="47" t="str">
        <f aca="false">IF($A56="","",IF(AND(INDEX(工程マスタ!$I$5:$I$154,$A56)="○",$E56&gt;=BC$3,$E56&lt;=BC$3+6),"▼",IF(AND($E56&gt;=BC$3,$E56&lt;=BC$3+6),$A56,"")))</f>
        <v/>
      </c>
      <c r="BD56" s="47" t="str">
        <f aca="false">IF($A56="","",IF(AND(INDEX(工程マスタ!$I$5:$I$154,$A56)="○",$E56&gt;=BD$3,$E56&lt;=BD$3+6),"▼",IF(AND($E56&gt;=BD$3,$E56&lt;=BD$3+6),$A56,"")))</f>
        <v/>
      </c>
      <c r="BE56" s="47" t="str">
        <f aca="false">IF($A56="","",IF(AND(INDEX(工程マスタ!$I$5:$I$154,$A56)="○",$E56&gt;=BE$3,$E56&lt;=BE$3+6),"▼",IF(AND($E56&gt;=BE$3,$E56&lt;=BE$3+6),$A56,"")))</f>
        <v/>
      </c>
      <c r="BF56" s="47" t="str">
        <f aca="false">IF($A56="","",IF(AND(INDEX(工程マスタ!$I$5:$I$154,$A56)="○",$E56&gt;=BF$3,$E56&lt;=BF$3+6),"▼",IF(AND($E56&gt;=BF$3,$E56&lt;=BF$3+6),$A56,"")))</f>
        <v/>
      </c>
      <c r="BG56" s="47" t="str">
        <f aca="false">IF($A56="","",IF(AND(INDEX(工程マスタ!$I$5:$I$154,$A56)="○",$E56&gt;=BG$3,$E56&lt;=BG$3+6),"▼",IF(AND($E56&gt;=BG$3,$E56&lt;=BG$3+6),$A56,"")))</f>
        <v/>
      </c>
      <c r="BH56" s="47" t="str">
        <f aca="false">IF($A56="","",IF(AND(INDEX(工程マスタ!$I$5:$I$154,$A56)="○",$E56&gt;=BH$3,$E56&lt;=BH$3+6),"▼",IF(AND($E56&gt;=BH$3,$E56&lt;=BH$3+6),$A56,"")))</f>
        <v/>
      </c>
      <c r="BI56" s="47" t="str">
        <f aca="false">IF($A56="","",IF(AND(INDEX(工程マスタ!$I$5:$I$154,$A56)="○",$E56&gt;=BI$3,$E56&lt;=BI$3+6),"▼",IF(AND($E56&gt;=BI$3,$E56&lt;=BI$3+6),$A56,"")))</f>
        <v/>
      </c>
      <c r="BJ56" s="47" t="str">
        <f aca="false">IF($A56="","",IF(AND(INDEX(工程マスタ!$I$5:$I$154,$A56)="○",$E56&gt;=BJ$3,$E56&lt;=BJ$3+6),"▼",IF(AND($E56&gt;=BJ$3,$E56&lt;=BJ$3+6),$A56,"")))</f>
        <v/>
      </c>
    </row>
    <row r="57" customFormat="false" ht="15" hidden="false" customHeight="false" outlineLevel="0" collapsed="false">
      <c r="A57" s="28" t="str">
        <f aca="false">IF(工程マスタ!$C55="","",工程マスタ!$A55)</f>
        <v/>
      </c>
      <c r="B57" s="46" t="str">
        <f aca="false">IF($A57="","",工程マスタ!$C55)</f>
        <v/>
      </c>
      <c r="C57" s="28" t="str">
        <f aca="false">IF($A57="","",MAX(1,工程マスタ!$G55))</f>
        <v/>
      </c>
      <c r="D57" s="28" t="str">
        <f aca="false">IF($A57="","",_xlfn.TEXTJOIN(",",TRUE(),工程マスタ!$N55:$P55))</f>
        <v/>
      </c>
      <c r="E57" s="29" t="str">
        <f aca="false">IF($A57="","",IF(COUNT(工程マスタ!$N55:$P55)=0,設定!$B$8,MAX(IF(工程マスタ!$N55="",0,INDEX($F$7:$F$156,工程マスタ!$N55)),IF(工程マスタ!$O55="",0,INDEX($F$7:$F$156,工程マスタ!$O55)),IF(工程マスタ!$P55="",0,INDEX($F$7:$F$156,工程マスタ!$P55)))+1))</f>
        <v/>
      </c>
      <c r="F57" s="29" t="str">
        <f aca="false">IF($A57="","",$E57+$C57-1)</f>
        <v/>
      </c>
      <c r="G57" s="29" t="str">
        <f aca="false">IF($A57="","",$H57-$C57+1)</f>
        <v/>
      </c>
      <c r="H57" s="29" t="str">
        <f aca="false" t="array" ref="H57:H57">IF($A57="","",IF(SUMPRODUCT((工程マスタ!$N$56:$N$154=$A57)*1)+SUMPRODUCT((工程マスタ!$O$56:$O$154=$A57)*1)+SUMPRODUCT((工程マスタ!$P$56:$P$154=$A57)*1)=0,MAX($F$7:$F$156),MIN(IF((工程マスタ!$N$56:$N$154=$A57)+(工程マスタ!$O$56:$O$154=$A57)+(工程マスタ!$P$56:$P$154=$A57),$G58:$G$156))-1))</f>
        <v/>
      </c>
      <c r="I57" s="28" t="str">
        <f aca="false">IF($A57="","",$G57-$E57)</f>
        <v/>
      </c>
      <c r="J57" s="28" t="str">
        <f aca="false">IF($A57="","",IF($I57&lt;=0,"●",""))</f>
        <v/>
      </c>
      <c r="K57" s="47" t="str">
        <f aca="false">IF($A57="","",IF(AND(INDEX(工程マスタ!$I$5:$I$154,$A57)="○",$E57&gt;=K$3,$E57&lt;=K$3+6),"▼",IF(AND($E57&gt;=K$3,$E57&lt;=K$3+6),$A57,"")))</f>
        <v/>
      </c>
      <c r="L57" s="47" t="str">
        <f aca="false">IF($A57="","",IF(AND(INDEX(工程マスタ!$I$5:$I$154,$A57)="○",$E57&gt;=L$3,$E57&lt;=L$3+6),"▼",IF(AND($E57&gt;=L$3,$E57&lt;=L$3+6),$A57,"")))</f>
        <v/>
      </c>
      <c r="M57" s="47" t="str">
        <f aca="false">IF($A57="","",IF(AND(INDEX(工程マスタ!$I$5:$I$154,$A57)="○",$E57&gt;=M$3,$E57&lt;=M$3+6),"▼",IF(AND($E57&gt;=M$3,$E57&lt;=M$3+6),$A57,"")))</f>
        <v/>
      </c>
      <c r="N57" s="47" t="str">
        <f aca="false">IF($A57="","",IF(AND(INDEX(工程マスタ!$I$5:$I$154,$A57)="○",$E57&gt;=N$3,$E57&lt;=N$3+6),"▼",IF(AND($E57&gt;=N$3,$E57&lt;=N$3+6),$A57,"")))</f>
        <v/>
      </c>
      <c r="O57" s="47" t="str">
        <f aca="false">IF($A57="","",IF(AND(INDEX(工程マスタ!$I$5:$I$154,$A57)="○",$E57&gt;=O$3,$E57&lt;=O$3+6),"▼",IF(AND($E57&gt;=O$3,$E57&lt;=O$3+6),$A57,"")))</f>
        <v/>
      </c>
      <c r="P57" s="47" t="str">
        <f aca="false">IF($A57="","",IF(AND(INDEX(工程マスタ!$I$5:$I$154,$A57)="○",$E57&gt;=P$3,$E57&lt;=P$3+6),"▼",IF(AND($E57&gt;=P$3,$E57&lt;=P$3+6),$A57,"")))</f>
        <v/>
      </c>
      <c r="Q57" s="47" t="str">
        <f aca="false">IF($A57="","",IF(AND(INDEX(工程マスタ!$I$5:$I$154,$A57)="○",$E57&gt;=Q$3,$E57&lt;=Q$3+6),"▼",IF(AND($E57&gt;=Q$3,$E57&lt;=Q$3+6),$A57,"")))</f>
        <v/>
      </c>
      <c r="R57" s="47" t="str">
        <f aca="false">IF($A57="","",IF(AND(INDEX(工程マスタ!$I$5:$I$154,$A57)="○",$E57&gt;=R$3,$E57&lt;=R$3+6),"▼",IF(AND($E57&gt;=R$3,$E57&lt;=R$3+6),$A57,"")))</f>
        <v/>
      </c>
      <c r="S57" s="47" t="str">
        <f aca="false">IF($A57="","",IF(AND(INDEX(工程マスタ!$I$5:$I$154,$A57)="○",$E57&gt;=S$3,$E57&lt;=S$3+6),"▼",IF(AND($E57&gt;=S$3,$E57&lt;=S$3+6),$A57,"")))</f>
        <v/>
      </c>
      <c r="T57" s="47" t="str">
        <f aca="false">IF($A57="","",IF(AND(INDEX(工程マスタ!$I$5:$I$154,$A57)="○",$E57&gt;=T$3,$E57&lt;=T$3+6),"▼",IF(AND($E57&gt;=T$3,$E57&lt;=T$3+6),$A57,"")))</f>
        <v/>
      </c>
      <c r="U57" s="47" t="str">
        <f aca="false">IF($A57="","",IF(AND(INDEX(工程マスタ!$I$5:$I$154,$A57)="○",$E57&gt;=U$3,$E57&lt;=U$3+6),"▼",IF(AND($E57&gt;=U$3,$E57&lt;=U$3+6),$A57,"")))</f>
        <v/>
      </c>
      <c r="V57" s="47" t="str">
        <f aca="false">IF($A57="","",IF(AND(INDEX(工程マスタ!$I$5:$I$154,$A57)="○",$E57&gt;=V$3,$E57&lt;=V$3+6),"▼",IF(AND($E57&gt;=V$3,$E57&lt;=V$3+6),$A57,"")))</f>
        <v/>
      </c>
      <c r="W57" s="47" t="str">
        <f aca="false">IF($A57="","",IF(AND(INDEX(工程マスタ!$I$5:$I$154,$A57)="○",$E57&gt;=W$3,$E57&lt;=W$3+6),"▼",IF(AND($E57&gt;=W$3,$E57&lt;=W$3+6),$A57,"")))</f>
        <v/>
      </c>
      <c r="X57" s="47" t="str">
        <f aca="false">IF($A57="","",IF(AND(INDEX(工程マスタ!$I$5:$I$154,$A57)="○",$E57&gt;=X$3,$E57&lt;=X$3+6),"▼",IF(AND($E57&gt;=X$3,$E57&lt;=X$3+6),$A57,"")))</f>
        <v/>
      </c>
      <c r="Y57" s="47" t="str">
        <f aca="false">IF($A57="","",IF(AND(INDEX(工程マスタ!$I$5:$I$154,$A57)="○",$E57&gt;=Y$3,$E57&lt;=Y$3+6),"▼",IF(AND($E57&gt;=Y$3,$E57&lt;=Y$3+6),$A57,"")))</f>
        <v/>
      </c>
      <c r="Z57" s="47" t="str">
        <f aca="false">IF($A57="","",IF(AND(INDEX(工程マスタ!$I$5:$I$154,$A57)="○",$E57&gt;=Z$3,$E57&lt;=Z$3+6),"▼",IF(AND($E57&gt;=Z$3,$E57&lt;=Z$3+6),$A57,"")))</f>
        <v/>
      </c>
      <c r="AA57" s="47" t="str">
        <f aca="false">IF($A57="","",IF(AND(INDEX(工程マスタ!$I$5:$I$154,$A57)="○",$E57&gt;=AA$3,$E57&lt;=AA$3+6),"▼",IF(AND($E57&gt;=AA$3,$E57&lt;=AA$3+6),$A57,"")))</f>
        <v/>
      </c>
      <c r="AB57" s="47" t="str">
        <f aca="false">IF($A57="","",IF(AND(INDEX(工程マスタ!$I$5:$I$154,$A57)="○",$E57&gt;=AB$3,$E57&lt;=AB$3+6),"▼",IF(AND($E57&gt;=AB$3,$E57&lt;=AB$3+6),$A57,"")))</f>
        <v/>
      </c>
      <c r="AC57" s="47" t="str">
        <f aca="false">IF($A57="","",IF(AND(INDEX(工程マスタ!$I$5:$I$154,$A57)="○",$E57&gt;=AC$3,$E57&lt;=AC$3+6),"▼",IF(AND($E57&gt;=AC$3,$E57&lt;=AC$3+6),$A57,"")))</f>
        <v/>
      </c>
      <c r="AD57" s="47" t="str">
        <f aca="false">IF($A57="","",IF(AND(INDEX(工程マスタ!$I$5:$I$154,$A57)="○",$E57&gt;=AD$3,$E57&lt;=AD$3+6),"▼",IF(AND($E57&gt;=AD$3,$E57&lt;=AD$3+6),$A57,"")))</f>
        <v/>
      </c>
      <c r="AE57" s="47" t="str">
        <f aca="false">IF($A57="","",IF(AND(INDEX(工程マスタ!$I$5:$I$154,$A57)="○",$E57&gt;=AE$3,$E57&lt;=AE$3+6),"▼",IF(AND($E57&gt;=AE$3,$E57&lt;=AE$3+6),$A57,"")))</f>
        <v/>
      </c>
      <c r="AF57" s="47" t="str">
        <f aca="false">IF($A57="","",IF(AND(INDEX(工程マスタ!$I$5:$I$154,$A57)="○",$E57&gt;=AF$3,$E57&lt;=AF$3+6),"▼",IF(AND($E57&gt;=AF$3,$E57&lt;=AF$3+6),$A57,"")))</f>
        <v/>
      </c>
      <c r="AG57" s="47" t="str">
        <f aca="false">IF($A57="","",IF(AND(INDEX(工程マスタ!$I$5:$I$154,$A57)="○",$E57&gt;=AG$3,$E57&lt;=AG$3+6),"▼",IF(AND($E57&gt;=AG$3,$E57&lt;=AG$3+6),$A57,"")))</f>
        <v/>
      </c>
      <c r="AH57" s="47" t="str">
        <f aca="false">IF($A57="","",IF(AND(INDEX(工程マスタ!$I$5:$I$154,$A57)="○",$E57&gt;=AH$3,$E57&lt;=AH$3+6),"▼",IF(AND($E57&gt;=AH$3,$E57&lt;=AH$3+6),$A57,"")))</f>
        <v/>
      </c>
      <c r="AI57" s="47" t="str">
        <f aca="false">IF($A57="","",IF(AND(INDEX(工程マスタ!$I$5:$I$154,$A57)="○",$E57&gt;=AI$3,$E57&lt;=AI$3+6),"▼",IF(AND($E57&gt;=AI$3,$E57&lt;=AI$3+6),$A57,"")))</f>
        <v/>
      </c>
      <c r="AJ57" s="47" t="str">
        <f aca="false">IF($A57="","",IF(AND(INDEX(工程マスタ!$I$5:$I$154,$A57)="○",$E57&gt;=AJ$3,$E57&lt;=AJ$3+6),"▼",IF(AND($E57&gt;=AJ$3,$E57&lt;=AJ$3+6),$A57,"")))</f>
        <v/>
      </c>
      <c r="AK57" s="47" t="str">
        <f aca="false">IF($A57="","",IF(AND(INDEX(工程マスタ!$I$5:$I$154,$A57)="○",$E57&gt;=AK$3,$E57&lt;=AK$3+6),"▼",IF(AND($E57&gt;=AK$3,$E57&lt;=AK$3+6),$A57,"")))</f>
        <v/>
      </c>
      <c r="AL57" s="47" t="str">
        <f aca="false">IF($A57="","",IF(AND(INDEX(工程マスタ!$I$5:$I$154,$A57)="○",$E57&gt;=AL$3,$E57&lt;=AL$3+6),"▼",IF(AND($E57&gt;=AL$3,$E57&lt;=AL$3+6),$A57,"")))</f>
        <v/>
      </c>
      <c r="AM57" s="47" t="str">
        <f aca="false">IF($A57="","",IF(AND(INDEX(工程マスタ!$I$5:$I$154,$A57)="○",$E57&gt;=AM$3,$E57&lt;=AM$3+6),"▼",IF(AND($E57&gt;=AM$3,$E57&lt;=AM$3+6),$A57,"")))</f>
        <v/>
      </c>
      <c r="AN57" s="47" t="str">
        <f aca="false">IF($A57="","",IF(AND(INDEX(工程マスタ!$I$5:$I$154,$A57)="○",$E57&gt;=AN$3,$E57&lt;=AN$3+6),"▼",IF(AND($E57&gt;=AN$3,$E57&lt;=AN$3+6),$A57,"")))</f>
        <v/>
      </c>
      <c r="AO57" s="47" t="str">
        <f aca="false">IF($A57="","",IF(AND(INDEX(工程マスタ!$I$5:$I$154,$A57)="○",$E57&gt;=AO$3,$E57&lt;=AO$3+6),"▼",IF(AND($E57&gt;=AO$3,$E57&lt;=AO$3+6),$A57,"")))</f>
        <v/>
      </c>
      <c r="AP57" s="47" t="str">
        <f aca="false">IF($A57="","",IF(AND(INDEX(工程マスタ!$I$5:$I$154,$A57)="○",$E57&gt;=AP$3,$E57&lt;=AP$3+6),"▼",IF(AND($E57&gt;=AP$3,$E57&lt;=AP$3+6),$A57,"")))</f>
        <v/>
      </c>
      <c r="AQ57" s="47" t="str">
        <f aca="false">IF($A57="","",IF(AND(INDEX(工程マスタ!$I$5:$I$154,$A57)="○",$E57&gt;=AQ$3,$E57&lt;=AQ$3+6),"▼",IF(AND($E57&gt;=AQ$3,$E57&lt;=AQ$3+6),$A57,"")))</f>
        <v/>
      </c>
      <c r="AR57" s="47" t="str">
        <f aca="false">IF($A57="","",IF(AND(INDEX(工程マスタ!$I$5:$I$154,$A57)="○",$E57&gt;=AR$3,$E57&lt;=AR$3+6),"▼",IF(AND($E57&gt;=AR$3,$E57&lt;=AR$3+6),$A57,"")))</f>
        <v/>
      </c>
      <c r="AS57" s="47" t="str">
        <f aca="false">IF($A57="","",IF(AND(INDEX(工程マスタ!$I$5:$I$154,$A57)="○",$E57&gt;=AS$3,$E57&lt;=AS$3+6),"▼",IF(AND($E57&gt;=AS$3,$E57&lt;=AS$3+6),$A57,"")))</f>
        <v/>
      </c>
      <c r="AT57" s="47" t="str">
        <f aca="false">IF($A57="","",IF(AND(INDEX(工程マスタ!$I$5:$I$154,$A57)="○",$E57&gt;=AT$3,$E57&lt;=AT$3+6),"▼",IF(AND($E57&gt;=AT$3,$E57&lt;=AT$3+6),$A57,"")))</f>
        <v/>
      </c>
      <c r="AU57" s="47" t="str">
        <f aca="false">IF($A57="","",IF(AND(INDEX(工程マスタ!$I$5:$I$154,$A57)="○",$E57&gt;=AU$3,$E57&lt;=AU$3+6),"▼",IF(AND($E57&gt;=AU$3,$E57&lt;=AU$3+6),$A57,"")))</f>
        <v/>
      </c>
      <c r="AV57" s="47" t="str">
        <f aca="false">IF($A57="","",IF(AND(INDEX(工程マスタ!$I$5:$I$154,$A57)="○",$E57&gt;=AV$3,$E57&lt;=AV$3+6),"▼",IF(AND($E57&gt;=AV$3,$E57&lt;=AV$3+6),$A57,"")))</f>
        <v/>
      </c>
      <c r="AW57" s="47" t="str">
        <f aca="false">IF($A57="","",IF(AND(INDEX(工程マスタ!$I$5:$I$154,$A57)="○",$E57&gt;=AW$3,$E57&lt;=AW$3+6),"▼",IF(AND($E57&gt;=AW$3,$E57&lt;=AW$3+6),$A57,"")))</f>
        <v/>
      </c>
      <c r="AX57" s="47" t="str">
        <f aca="false">IF($A57="","",IF(AND(INDEX(工程マスタ!$I$5:$I$154,$A57)="○",$E57&gt;=AX$3,$E57&lt;=AX$3+6),"▼",IF(AND($E57&gt;=AX$3,$E57&lt;=AX$3+6),$A57,"")))</f>
        <v/>
      </c>
      <c r="AY57" s="47" t="str">
        <f aca="false">IF($A57="","",IF(AND(INDEX(工程マスタ!$I$5:$I$154,$A57)="○",$E57&gt;=AY$3,$E57&lt;=AY$3+6),"▼",IF(AND($E57&gt;=AY$3,$E57&lt;=AY$3+6),$A57,"")))</f>
        <v/>
      </c>
      <c r="AZ57" s="47" t="str">
        <f aca="false">IF($A57="","",IF(AND(INDEX(工程マスタ!$I$5:$I$154,$A57)="○",$E57&gt;=AZ$3,$E57&lt;=AZ$3+6),"▼",IF(AND($E57&gt;=AZ$3,$E57&lt;=AZ$3+6),$A57,"")))</f>
        <v/>
      </c>
      <c r="BA57" s="47" t="str">
        <f aca="false">IF($A57="","",IF(AND(INDEX(工程マスタ!$I$5:$I$154,$A57)="○",$E57&gt;=BA$3,$E57&lt;=BA$3+6),"▼",IF(AND($E57&gt;=BA$3,$E57&lt;=BA$3+6),$A57,"")))</f>
        <v/>
      </c>
      <c r="BB57" s="47" t="str">
        <f aca="false">IF($A57="","",IF(AND(INDEX(工程マスタ!$I$5:$I$154,$A57)="○",$E57&gt;=BB$3,$E57&lt;=BB$3+6),"▼",IF(AND($E57&gt;=BB$3,$E57&lt;=BB$3+6),$A57,"")))</f>
        <v/>
      </c>
      <c r="BC57" s="47" t="str">
        <f aca="false">IF($A57="","",IF(AND(INDEX(工程マスタ!$I$5:$I$154,$A57)="○",$E57&gt;=BC$3,$E57&lt;=BC$3+6),"▼",IF(AND($E57&gt;=BC$3,$E57&lt;=BC$3+6),$A57,"")))</f>
        <v/>
      </c>
      <c r="BD57" s="47" t="str">
        <f aca="false">IF($A57="","",IF(AND(INDEX(工程マスタ!$I$5:$I$154,$A57)="○",$E57&gt;=BD$3,$E57&lt;=BD$3+6),"▼",IF(AND($E57&gt;=BD$3,$E57&lt;=BD$3+6),$A57,"")))</f>
        <v/>
      </c>
      <c r="BE57" s="47" t="str">
        <f aca="false">IF($A57="","",IF(AND(INDEX(工程マスタ!$I$5:$I$154,$A57)="○",$E57&gt;=BE$3,$E57&lt;=BE$3+6),"▼",IF(AND($E57&gt;=BE$3,$E57&lt;=BE$3+6),$A57,"")))</f>
        <v/>
      </c>
      <c r="BF57" s="47" t="str">
        <f aca="false">IF($A57="","",IF(AND(INDEX(工程マスタ!$I$5:$I$154,$A57)="○",$E57&gt;=BF$3,$E57&lt;=BF$3+6),"▼",IF(AND($E57&gt;=BF$3,$E57&lt;=BF$3+6),$A57,"")))</f>
        <v/>
      </c>
      <c r="BG57" s="47" t="str">
        <f aca="false">IF($A57="","",IF(AND(INDEX(工程マスタ!$I$5:$I$154,$A57)="○",$E57&gt;=BG$3,$E57&lt;=BG$3+6),"▼",IF(AND($E57&gt;=BG$3,$E57&lt;=BG$3+6),$A57,"")))</f>
        <v/>
      </c>
      <c r="BH57" s="47" t="str">
        <f aca="false">IF($A57="","",IF(AND(INDEX(工程マスタ!$I$5:$I$154,$A57)="○",$E57&gt;=BH$3,$E57&lt;=BH$3+6),"▼",IF(AND($E57&gt;=BH$3,$E57&lt;=BH$3+6),$A57,"")))</f>
        <v/>
      </c>
      <c r="BI57" s="47" t="str">
        <f aca="false">IF($A57="","",IF(AND(INDEX(工程マスタ!$I$5:$I$154,$A57)="○",$E57&gt;=BI$3,$E57&lt;=BI$3+6),"▼",IF(AND($E57&gt;=BI$3,$E57&lt;=BI$3+6),$A57,"")))</f>
        <v/>
      </c>
      <c r="BJ57" s="47" t="str">
        <f aca="false">IF($A57="","",IF(AND(INDEX(工程マスタ!$I$5:$I$154,$A57)="○",$E57&gt;=BJ$3,$E57&lt;=BJ$3+6),"▼",IF(AND($E57&gt;=BJ$3,$E57&lt;=BJ$3+6),$A57,"")))</f>
        <v/>
      </c>
    </row>
    <row r="58" customFormat="false" ht="15" hidden="false" customHeight="false" outlineLevel="0" collapsed="false">
      <c r="A58" s="28" t="str">
        <f aca="false">IF(工程マスタ!$C56="","",工程マスタ!$A56)</f>
        <v/>
      </c>
      <c r="B58" s="46" t="str">
        <f aca="false">IF($A58="","",工程マスタ!$C56)</f>
        <v/>
      </c>
      <c r="C58" s="28" t="str">
        <f aca="false">IF($A58="","",MAX(1,工程マスタ!$G56))</f>
        <v/>
      </c>
      <c r="D58" s="28" t="str">
        <f aca="false">IF($A58="","",_xlfn.TEXTJOIN(",",TRUE(),工程マスタ!$N56:$P56))</f>
        <v/>
      </c>
      <c r="E58" s="29" t="str">
        <f aca="false">IF($A58="","",IF(COUNT(工程マスタ!$N56:$P56)=0,設定!$B$8,MAX(IF(工程マスタ!$N56="",0,INDEX($F$7:$F$156,工程マスタ!$N56)),IF(工程マスタ!$O56="",0,INDEX($F$7:$F$156,工程マスタ!$O56)),IF(工程マスタ!$P56="",0,INDEX($F$7:$F$156,工程マスタ!$P56)))+1))</f>
        <v/>
      </c>
      <c r="F58" s="29" t="str">
        <f aca="false">IF($A58="","",$E58+$C58-1)</f>
        <v/>
      </c>
      <c r="G58" s="29" t="str">
        <f aca="false">IF($A58="","",$H58-$C58+1)</f>
        <v/>
      </c>
      <c r="H58" s="29" t="str">
        <f aca="false" t="array" ref="H58:H58">IF($A58="","",IF(SUMPRODUCT((工程マスタ!$N$57:$N$154=$A58)*1)+SUMPRODUCT((工程マスタ!$O$57:$O$154=$A58)*1)+SUMPRODUCT((工程マスタ!$P$57:$P$154=$A58)*1)=0,MAX($F$7:$F$156),MIN(IF((工程マスタ!$N$57:$N$154=$A58)+(工程マスタ!$O$57:$O$154=$A58)+(工程マスタ!$P$57:$P$154=$A58),$G59:$G$156))-1))</f>
        <v/>
      </c>
      <c r="I58" s="28" t="str">
        <f aca="false">IF($A58="","",$G58-$E58)</f>
        <v/>
      </c>
      <c r="J58" s="28" t="str">
        <f aca="false">IF($A58="","",IF($I58&lt;=0,"●",""))</f>
        <v/>
      </c>
      <c r="K58" s="47" t="str">
        <f aca="false">IF($A58="","",IF(AND(INDEX(工程マスタ!$I$5:$I$154,$A58)="○",$E58&gt;=K$3,$E58&lt;=K$3+6),"▼",IF(AND($E58&gt;=K$3,$E58&lt;=K$3+6),$A58,"")))</f>
        <v/>
      </c>
      <c r="L58" s="47" t="str">
        <f aca="false">IF($A58="","",IF(AND(INDEX(工程マスタ!$I$5:$I$154,$A58)="○",$E58&gt;=L$3,$E58&lt;=L$3+6),"▼",IF(AND($E58&gt;=L$3,$E58&lt;=L$3+6),$A58,"")))</f>
        <v/>
      </c>
      <c r="M58" s="47" t="str">
        <f aca="false">IF($A58="","",IF(AND(INDEX(工程マスタ!$I$5:$I$154,$A58)="○",$E58&gt;=M$3,$E58&lt;=M$3+6),"▼",IF(AND($E58&gt;=M$3,$E58&lt;=M$3+6),$A58,"")))</f>
        <v/>
      </c>
      <c r="N58" s="47" t="str">
        <f aca="false">IF($A58="","",IF(AND(INDEX(工程マスタ!$I$5:$I$154,$A58)="○",$E58&gt;=N$3,$E58&lt;=N$3+6),"▼",IF(AND($E58&gt;=N$3,$E58&lt;=N$3+6),$A58,"")))</f>
        <v/>
      </c>
      <c r="O58" s="47" t="str">
        <f aca="false">IF($A58="","",IF(AND(INDEX(工程マスタ!$I$5:$I$154,$A58)="○",$E58&gt;=O$3,$E58&lt;=O$3+6),"▼",IF(AND($E58&gt;=O$3,$E58&lt;=O$3+6),$A58,"")))</f>
        <v/>
      </c>
      <c r="P58" s="47" t="str">
        <f aca="false">IF($A58="","",IF(AND(INDEX(工程マスタ!$I$5:$I$154,$A58)="○",$E58&gt;=P$3,$E58&lt;=P$3+6),"▼",IF(AND($E58&gt;=P$3,$E58&lt;=P$3+6),$A58,"")))</f>
        <v/>
      </c>
      <c r="Q58" s="47" t="str">
        <f aca="false">IF($A58="","",IF(AND(INDEX(工程マスタ!$I$5:$I$154,$A58)="○",$E58&gt;=Q$3,$E58&lt;=Q$3+6),"▼",IF(AND($E58&gt;=Q$3,$E58&lt;=Q$3+6),$A58,"")))</f>
        <v/>
      </c>
      <c r="R58" s="47" t="str">
        <f aca="false">IF($A58="","",IF(AND(INDEX(工程マスタ!$I$5:$I$154,$A58)="○",$E58&gt;=R$3,$E58&lt;=R$3+6),"▼",IF(AND($E58&gt;=R$3,$E58&lt;=R$3+6),$A58,"")))</f>
        <v/>
      </c>
      <c r="S58" s="47" t="str">
        <f aca="false">IF($A58="","",IF(AND(INDEX(工程マスタ!$I$5:$I$154,$A58)="○",$E58&gt;=S$3,$E58&lt;=S$3+6),"▼",IF(AND($E58&gt;=S$3,$E58&lt;=S$3+6),$A58,"")))</f>
        <v/>
      </c>
      <c r="T58" s="47" t="str">
        <f aca="false">IF($A58="","",IF(AND(INDEX(工程マスタ!$I$5:$I$154,$A58)="○",$E58&gt;=T$3,$E58&lt;=T$3+6),"▼",IF(AND($E58&gt;=T$3,$E58&lt;=T$3+6),$A58,"")))</f>
        <v/>
      </c>
      <c r="U58" s="47" t="str">
        <f aca="false">IF($A58="","",IF(AND(INDEX(工程マスタ!$I$5:$I$154,$A58)="○",$E58&gt;=U$3,$E58&lt;=U$3+6),"▼",IF(AND($E58&gt;=U$3,$E58&lt;=U$3+6),$A58,"")))</f>
        <v/>
      </c>
      <c r="V58" s="47" t="str">
        <f aca="false">IF($A58="","",IF(AND(INDEX(工程マスタ!$I$5:$I$154,$A58)="○",$E58&gt;=V$3,$E58&lt;=V$3+6),"▼",IF(AND($E58&gt;=V$3,$E58&lt;=V$3+6),$A58,"")))</f>
        <v/>
      </c>
      <c r="W58" s="47" t="str">
        <f aca="false">IF($A58="","",IF(AND(INDEX(工程マスタ!$I$5:$I$154,$A58)="○",$E58&gt;=W$3,$E58&lt;=W$3+6),"▼",IF(AND($E58&gt;=W$3,$E58&lt;=W$3+6),$A58,"")))</f>
        <v/>
      </c>
      <c r="X58" s="47" t="str">
        <f aca="false">IF($A58="","",IF(AND(INDEX(工程マスタ!$I$5:$I$154,$A58)="○",$E58&gt;=X$3,$E58&lt;=X$3+6),"▼",IF(AND($E58&gt;=X$3,$E58&lt;=X$3+6),$A58,"")))</f>
        <v/>
      </c>
      <c r="Y58" s="47" t="str">
        <f aca="false">IF($A58="","",IF(AND(INDEX(工程マスタ!$I$5:$I$154,$A58)="○",$E58&gt;=Y$3,$E58&lt;=Y$3+6),"▼",IF(AND($E58&gt;=Y$3,$E58&lt;=Y$3+6),$A58,"")))</f>
        <v/>
      </c>
      <c r="Z58" s="47" t="str">
        <f aca="false">IF($A58="","",IF(AND(INDEX(工程マスタ!$I$5:$I$154,$A58)="○",$E58&gt;=Z$3,$E58&lt;=Z$3+6),"▼",IF(AND($E58&gt;=Z$3,$E58&lt;=Z$3+6),$A58,"")))</f>
        <v/>
      </c>
      <c r="AA58" s="47" t="str">
        <f aca="false">IF($A58="","",IF(AND(INDEX(工程マスタ!$I$5:$I$154,$A58)="○",$E58&gt;=AA$3,$E58&lt;=AA$3+6),"▼",IF(AND($E58&gt;=AA$3,$E58&lt;=AA$3+6),$A58,"")))</f>
        <v/>
      </c>
      <c r="AB58" s="47" t="str">
        <f aca="false">IF($A58="","",IF(AND(INDEX(工程マスタ!$I$5:$I$154,$A58)="○",$E58&gt;=AB$3,$E58&lt;=AB$3+6),"▼",IF(AND($E58&gt;=AB$3,$E58&lt;=AB$3+6),$A58,"")))</f>
        <v/>
      </c>
      <c r="AC58" s="47" t="str">
        <f aca="false">IF($A58="","",IF(AND(INDEX(工程マスタ!$I$5:$I$154,$A58)="○",$E58&gt;=AC$3,$E58&lt;=AC$3+6),"▼",IF(AND($E58&gt;=AC$3,$E58&lt;=AC$3+6),$A58,"")))</f>
        <v/>
      </c>
      <c r="AD58" s="47" t="str">
        <f aca="false">IF($A58="","",IF(AND(INDEX(工程マスタ!$I$5:$I$154,$A58)="○",$E58&gt;=AD$3,$E58&lt;=AD$3+6),"▼",IF(AND($E58&gt;=AD$3,$E58&lt;=AD$3+6),$A58,"")))</f>
        <v/>
      </c>
      <c r="AE58" s="47" t="str">
        <f aca="false">IF($A58="","",IF(AND(INDEX(工程マスタ!$I$5:$I$154,$A58)="○",$E58&gt;=AE$3,$E58&lt;=AE$3+6),"▼",IF(AND($E58&gt;=AE$3,$E58&lt;=AE$3+6),$A58,"")))</f>
        <v/>
      </c>
      <c r="AF58" s="47" t="str">
        <f aca="false">IF($A58="","",IF(AND(INDEX(工程マスタ!$I$5:$I$154,$A58)="○",$E58&gt;=AF$3,$E58&lt;=AF$3+6),"▼",IF(AND($E58&gt;=AF$3,$E58&lt;=AF$3+6),$A58,"")))</f>
        <v/>
      </c>
      <c r="AG58" s="47" t="str">
        <f aca="false">IF($A58="","",IF(AND(INDEX(工程マスタ!$I$5:$I$154,$A58)="○",$E58&gt;=AG$3,$E58&lt;=AG$3+6),"▼",IF(AND($E58&gt;=AG$3,$E58&lt;=AG$3+6),$A58,"")))</f>
        <v/>
      </c>
      <c r="AH58" s="47" t="str">
        <f aca="false">IF($A58="","",IF(AND(INDEX(工程マスタ!$I$5:$I$154,$A58)="○",$E58&gt;=AH$3,$E58&lt;=AH$3+6),"▼",IF(AND($E58&gt;=AH$3,$E58&lt;=AH$3+6),$A58,"")))</f>
        <v/>
      </c>
      <c r="AI58" s="47" t="str">
        <f aca="false">IF($A58="","",IF(AND(INDEX(工程マスタ!$I$5:$I$154,$A58)="○",$E58&gt;=AI$3,$E58&lt;=AI$3+6),"▼",IF(AND($E58&gt;=AI$3,$E58&lt;=AI$3+6),$A58,"")))</f>
        <v/>
      </c>
      <c r="AJ58" s="47" t="str">
        <f aca="false">IF($A58="","",IF(AND(INDEX(工程マスタ!$I$5:$I$154,$A58)="○",$E58&gt;=AJ$3,$E58&lt;=AJ$3+6),"▼",IF(AND($E58&gt;=AJ$3,$E58&lt;=AJ$3+6),$A58,"")))</f>
        <v/>
      </c>
      <c r="AK58" s="47" t="str">
        <f aca="false">IF($A58="","",IF(AND(INDEX(工程マスタ!$I$5:$I$154,$A58)="○",$E58&gt;=AK$3,$E58&lt;=AK$3+6),"▼",IF(AND($E58&gt;=AK$3,$E58&lt;=AK$3+6),$A58,"")))</f>
        <v/>
      </c>
      <c r="AL58" s="47" t="str">
        <f aca="false">IF($A58="","",IF(AND(INDEX(工程マスタ!$I$5:$I$154,$A58)="○",$E58&gt;=AL$3,$E58&lt;=AL$3+6),"▼",IF(AND($E58&gt;=AL$3,$E58&lt;=AL$3+6),$A58,"")))</f>
        <v/>
      </c>
      <c r="AM58" s="47" t="str">
        <f aca="false">IF($A58="","",IF(AND(INDEX(工程マスタ!$I$5:$I$154,$A58)="○",$E58&gt;=AM$3,$E58&lt;=AM$3+6),"▼",IF(AND($E58&gt;=AM$3,$E58&lt;=AM$3+6),$A58,"")))</f>
        <v/>
      </c>
      <c r="AN58" s="47" t="str">
        <f aca="false">IF($A58="","",IF(AND(INDEX(工程マスタ!$I$5:$I$154,$A58)="○",$E58&gt;=AN$3,$E58&lt;=AN$3+6),"▼",IF(AND($E58&gt;=AN$3,$E58&lt;=AN$3+6),$A58,"")))</f>
        <v/>
      </c>
      <c r="AO58" s="47" t="str">
        <f aca="false">IF($A58="","",IF(AND(INDEX(工程マスタ!$I$5:$I$154,$A58)="○",$E58&gt;=AO$3,$E58&lt;=AO$3+6),"▼",IF(AND($E58&gt;=AO$3,$E58&lt;=AO$3+6),$A58,"")))</f>
        <v/>
      </c>
      <c r="AP58" s="47" t="str">
        <f aca="false">IF($A58="","",IF(AND(INDEX(工程マスタ!$I$5:$I$154,$A58)="○",$E58&gt;=AP$3,$E58&lt;=AP$3+6),"▼",IF(AND($E58&gt;=AP$3,$E58&lt;=AP$3+6),$A58,"")))</f>
        <v/>
      </c>
      <c r="AQ58" s="47" t="str">
        <f aca="false">IF($A58="","",IF(AND(INDEX(工程マスタ!$I$5:$I$154,$A58)="○",$E58&gt;=AQ$3,$E58&lt;=AQ$3+6),"▼",IF(AND($E58&gt;=AQ$3,$E58&lt;=AQ$3+6),$A58,"")))</f>
        <v/>
      </c>
      <c r="AR58" s="47" t="str">
        <f aca="false">IF($A58="","",IF(AND(INDEX(工程マスタ!$I$5:$I$154,$A58)="○",$E58&gt;=AR$3,$E58&lt;=AR$3+6),"▼",IF(AND($E58&gt;=AR$3,$E58&lt;=AR$3+6),$A58,"")))</f>
        <v/>
      </c>
      <c r="AS58" s="47" t="str">
        <f aca="false">IF($A58="","",IF(AND(INDEX(工程マスタ!$I$5:$I$154,$A58)="○",$E58&gt;=AS$3,$E58&lt;=AS$3+6),"▼",IF(AND($E58&gt;=AS$3,$E58&lt;=AS$3+6),$A58,"")))</f>
        <v/>
      </c>
      <c r="AT58" s="47" t="str">
        <f aca="false">IF($A58="","",IF(AND(INDEX(工程マスタ!$I$5:$I$154,$A58)="○",$E58&gt;=AT$3,$E58&lt;=AT$3+6),"▼",IF(AND($E58&gt;=AT$3,$E58&lt;=AT$3+6),$A58,"")))</f>
        <v/>
      </c>
      <c r="AU58" s="47" t="str">
        <f aca="false">IF($A58="","",IF(AND(INDEX(工程マスタ!$I$5:$I$154,$A58)="○",$E58&gt;=AU$3,$E58&lt;=AU$3+6),"▼",IF(AND($E58&gt;=AU$3,$E58&lt;=AU$3+6),$A58,"")))</f>
        <v/>
      </c>
      <c r="AV58" s="47" t="str">
        <f aca="false">IF($A58="","",IF(AND(INDEX(工程マスタ!$I$5:$I$154,$A58)="○",$E58&gt;=AV$3,$E58&lt;=AV$3+6),"▼",IF(AND($E58&gt;=AV$3,$E58&lt;=AV$3+6),$A58,"")))</f>
        <v/>
      </c>
      <c r="AW58" s="47" t="str">
        <f aca="false">IF($A58="","",IF(AND(INDEX(工程マスタ!$I$5:$I$154,$A58)="○",$E58&gt;=AW$3,$E58&lt;=AW$3+6),"▼",IF(AND($E58&gt;=AW$3,$E58&lt;=AW$3+6),$A58,"")))</f>
        <v/>
      </c>
      <c r="AX58" s="47" t="str">
        <f aca="false">IF($A58="","",IF(AND(INDEX(工程マスタ!$I$5:$I$154,$A58)="○",$E58&gt;=AX$3,$E58&lt;=AX$3+6),"▼",IF(AND($E58&gt;=AX$3,$E58&lt;=AX$3+6),$A58,"")))</f>
        <v/>
      </c>
      <c r="AY58" s="47" t="str">
        <f aca="false">IF($A58="","",IF(AND(INDEX(工程マスタ!$I$5:$I$154,$A58)="○",$E58&gt;=AY$3,$E58&lt;=AY$3+6),"▼",IF(AND($E58&gt;=AY$3,$E58&lt;=AY$3+6),$A58,"")))</f>
        <v/>
      </c>
      <c r="AZ58" s="47" t="str">
        <f aca="false">IF($A58="","",IF(AND(INDEX(工程マスタ!$I$5:$I$154,$A58)="○",$E58&gt;=AZ$3,$E58&lt;=AZ$3+6),"▼",IF(AND($E58&gt;=AZ$3,$E58&lt;=AZ$3+6),$A58,"")))</f>
        <v/>
      </c>
      <c r="BA58" s="47" t="str">
        <f aca="false">IF($A58="","",IF(AND(INDEX(工程マスタ!$I$5:$I$154,$A58)="○",$E58&gt;=BA$3,$E58&lt;=BA$3+6),"▼",IF(AND($E58&gt;=BA$3,$E58&lt;=BA$3+6),$A58,"")))</f>
        <v/>
      </c>
      <c r="BB58" s="47" t="str">
        <f aca="false">IF($A58="","",IF(AND(INDEX(工程マスタ!$I$5:$I$154,$A58)="○",$E58&gt;=BB$3,$E58&lt;=BB$3+6),"▼",IF(AND($E58&gt;=BB$3,$E58&lt;=BB$3+6),$A58,"")))</f>
        <v/>
      </c>
      <c r="BC58" s="47" t="str">
        <f aca="false">IF($A58="","",IF(AND(INDEX(工程マスタ!$I$5:$I$154,$A58)="○",$E58&gt;=BC$3,$E58&lt;=BC$3+6),"▼",IF(AND($E58&gt;=BC$3,$E58&lt;=BC$3+6),$A58,"")))</f>
        <v/>
      </c>
      <c r="BD58" s="47" t="str">
        <f aca="false">IF($A58="","",IF(AND(INDEX(工程マスタ!$I$5:$I$154,$A58)="○",$E58&gt;=BD$3,$E58&lt;=BD$3+6),"▼",IF(AND($E58&gt;=BD$3,$E58&lt;=BD$3+6),$A58,"")))</f>
        <v/>
      </c>
      <c r="BE58" s="47" t="str">
        <f aca="false">IF($A58="","",IF(AND(INDEX(工程マスタ!$I$5:$I$154,$A58)="○",$E58&gt;=BE$3,$E58&lt;=BE$3+6),"▼",IF(AND($E58&gt;=BE$3,$E58&lt;=BE$3+6),$A58,"")))</f>
        <v/>
      </c>
      <c r="BF58" s="47" t="str">
        <f aca="false">IF($A58="","",IF(AND(INDEX(工程マスタ!$I$5:$I$154,$A58)="○",$E58&gt;=BF$3,$E58&lt;=BF$3+6),"▼",IF(AND($E58&gt;=BF$3,$E58&lt;=BF$3+6),$A58,"")))</f>
        <v/>
      </c>
      <c r="BG58" s="47" t="str">
        <f aca="false">IF($A58="","",IF(AND(INDEX(工程マスタ!$I$5:$I$154,$A58)="○",$E58&gt;=BG$3,$E58&lt;=BG$3+6),"▼",IF(AND($E58&gt;=BG$3,$E58&lt;=BG$3+6),$A58,"")))</f>
        <v/>
      </c>
      <c r="BH58" s="47" t="str">
        <f aca="false">IF($A58="","",IF(AND(INDEX(工程マスタ!$I$5:$I$154,$A58)="○",$E58&gt;=BH$3,$E58&lt;=BH$3+6),"▼",IF(AND($E58&gt;=BH$3,$E58&lt;=BH$3+6),$A58,"")))</f>
        <v/>
      </c>
      <c r="BI58" s="47" t="str">
        <f aca="false">IF($A58="","",IF(AND(INDEX(工程マスタ!$I$5:$I$154,$A58)="○",$E58&gt;=BI$3,$E58&lt;=BI$3+6),"▼",IF(AND($E58&gt;=BI$3,$E58&lt;=BI$3+6),$A58,"")))</f>
        <v/>
      </c>
      <c r="BJ58" s="47" t="str">
        <f aca="false">IF($A58="","",IF(AND(INDEX(工程マスタ!$I$5:$I$154,$A58)="○",$E58&gt;=BJ$3,$E58&lt;=BJ$3+6),"▼",IF(AND($E58&gt;=BJ$3,$E58&lt;=BJ$3+6),$A58,"")))</f>
        <v/>
      </c>
    </row>
    <row r="59" customFormat="false" ht="15" hidden="false" customHeight="false" outlineLevel="0" collapsed="false">
      <c r="A59" s="28" t="str">
        <f aca="false">IF(工程マスタ!$C57="","",工程マスタ!$A57)</f>
        <v/>
      </c>
      <c r="B59" s="46" t="str">
        <f aca="false">IF($A59="","",工程マスタ!$C57)</f>
        <v/>
      </c>
      <c r="C59" s="28" t="str">
        <f aca="false">IF($A59="","",MAX(1,工程マスタ!$G57))</f>
        <v/>
      </c>
      <c r="D59" s="28" t="str">
        <f aca="false">IF($A59="","",_xlfn.TEXTJOIN(",",TRUE(),工程マスタ!$N57:$P57))</f>
        <v/>
      </c>
      <c r="E59" s="29" t="str">
        <f aca="false">IF($A59="","",IF(COUNT(工程マスタ!$N57:$P57)=0,設定!$B$8,MAX(IF(工程マスタ!$N57="",0,INDEX($F$7:$F$156,工程マスタ!$N57)),IF(工程マスタ!$O57="",0,INDEX($F$7:$F$156,工程マスタ!$O57)),IF(工程マスタ!$P57="",0,INDEX($F$7:$F$156,工程マスタ!$P57)))+1))</f>
        <v/>
      </c>
      <c r="F59" s="29" t="str">
        <f aca="false">IF($A59="","",$E59+$C59-1)</f>
        <v/>
      </c>
      <c r="G59" s="29" t="str">
        <f aca="false">IF($A59="","",$H59-$C59+1)</f>
        <v/>
      </c>
      <c r="H59" s="29" t="str">
        <f aca="false" t="array" ref="H59:H59">IF($A59="","",IF(SUMPRODUCT((工程マスタ!$N$58:$N$154=$A59)*1)+SUMPRODUCT((工程マスタ!$O$58:$O$154=$A59)*1)+SUMPRODUCT((工程マスタ!$P$58:$P$154=$A59)*1)=0,MAX($F$7:$F$156),MIN(IF((工程マスタ!$N$58:$N$154=$A59)+(工程マスタ!$O$58:$O$154=$A59)+(工程マスタ!$P$58:$P$154=$A59),$G60:$G$156))-1))</f>
        <v/>
      </c>
      <c r="I59" s="28" t="str">
        <f aca="false">IF($A59="","",$G59-$E59)</f>
        <v/>
      </c>
      <c r="J59" s="28" t="str">
        <f aca="false">IF($A59="","",IF($I59&lt;=0,"●",""))</f>
        <v/>
      </c>
      <c r="K59" s="47" t="str">
        <f aca="false">IF($A59="","",IF(AND(INDEX(工程マスタ!$I$5:$I$154,$A59)="○",$E59&gt;=K$3,$E59&lt;=K$3+6),"▼",IF(AND($E59&gt;=K$3,$E59&lt;=K$3+6),$A59,"")))</f>
        <v/>
      </c>
      <c r="L59" s="47" t="str">
        <f aca="false">IF($A59="","",IF(AND(INDEX(工程マスタ!$I$5:$I$154,$A59)="○",$E59&gt;=L$3,$E59&lt;=L$3+6),"▼",IF(AND($E59&gt;=L$3,$E59&lt;=L$3+6),$A59,"")))</f>
        <v/>
      </c>
      <c r="M59" s="47" t="str">
        <f aca="false">IF($A59="","",IF(AND(INDEX(工程マスタ!$I$5:$I$154,$A59)="○",$E59&gt;=M$3,$E59&lt;=M$3+6),"▼",IF(AND($E59&gt;=M$3,$E59&lt;=M$3+6),$A59,"")))</f>
        <v/>
      </c>
      <c r="N59" s="47" t="str">
        <f aca="false">IF($A59="","",IF(AND(INDEX(工程マスタ!$I$5:$I$154,$A59)="○",$E59&gt;=N$3,$E59&lt;=N$3+6),"▼",IF(AND($E59&gt;=N$3,$E59&lt;=N$3+6),$A59,"")))</f>
        <v/>
      </c>
      <c r="O59" s="47" t="str">
        <f aca="false">IF($A59="","",IF(AND(INDEX(工程マスタ!$I$5:$I$154,$A59)="○",$E59&gt;=O$3,$E59&lt;=O$3+6),"▼",IF(AND($E59&gt;=O$3,$E59&lt;=O$3+6),$A59,"")))</f>
        <v/>
      </c>
      <c r="P59" s="47" t="str">
        <f aca="false">IF($A59="","",IF(AND(INDEX(工程マスタ!$I$5:$I$154,$A59)="○",$E59&gt;=P$3,$E59&lt;=P$3+6),"▼",IF(AND($E59&gt;=P$3,$E59&lt;=P$3+6),$A59,"")))</f>
        <v/>
      </c>
      <c r="Q59" s="47" t="str">
        <f aca="false">IF($A59="","",IF(AND(INDEX(工程マスタ!$I$5:$I$154,$A59)="○",$E59&gt;=Q$3,$E59&lt;=Q$3+6),"▼",IF(AND($E59&gt;=Q$3,$E59&lt;=Q$3+6),$A59,"")))</f>
        <v/>
      </c>
      <c r="R59" s="47" t="str">
        <f aca="false">IF($A59="","",IF(AND(INDEX(工程マスタ!$I$5:$I$154,$A59)="○",$E59&gt;=R$3,$E59&lt;=R$3+6),"▼",IF(AND($E59&gt;=R$3,$E59&lt;=R$3+6),$A59,"")))</f>
        <v/>
      </c>
      <c r="S59" s="47" t="str">
        <f aca="false">IF($A59="","",IF(AND(INDEX(工程マスタ!$I$5:$I$154,$A59)="○",$E59&gt;=S$3,$E59&lt;=S$3+6),"▼",IF(AND($E59&gt;=S$3,$E59&lt;=S$3+6),$A59,"")))</f>
        <v/>
      </c>
      <c r="T59" s="47" t="str">
        <f aca="false">IF($A59="","",IF(AND(INDEX(工程マスタ!$I$5:$I$154,$A59)="○",$E59&gt;=T$3,$E59&lt;=T$3+6),"▼",IF(AND($E59&gt;=T$3,$E59&lt;=T$3+6),$A59,"")))</f>
        <v/>
      </c>
      <c r="U59" s="47" t="str">
        <f aca="false">IF($A59="","",IF(AND(INDEX(工程マスタ!$I$5:$I$154,$A59)="○",$E59&gt;=U$3,$E59&lt;=U$3+6),"▼",IF(AND($E59&gt;=U$3,$E59&lt;=U$3+6),$A59,"")))</f>
        <v/>
      </c>
      <c r="V59" s="47" t="str">
        <f aca="false">IF($A59="","",IF(AND(INDEX(工程マスタ!$I$5:$I$154,$A59)="○",$E59&gt;=V$3,$E59&lt;=V$3+6),"▼",IF(AND($E59&gt;=V$3,$E59&lt;=V$3+6),$A59,"")))</f>
        <v/>
      </c>
      <c r="W59" s="47" t="str">
        <f aca="false">IF($A59="","",IF(AND(INDEX(工程マスタ!$I$5:$I$154,$A59)="○",$E59&gt;=W$3,$E59&lt;=W$3+6),"▼",IF(AND($E59&gt;=W$3,$E59&lt;=W$3+6),$A59,"")))</f>
        <v/>
      </c>
      <c r="X59" s="47" t="str">
        <f aca="false">IF($A59="","",IF(AND(INDEX(工程マスタ!$I$5:$I$154,$A59)="○",$E59&gt;=X$3,$E59&lt;=X$3+6),"▼",IF(AND($E59&gt;=X$3,$E59&lt;=X$3+6),$A59,"")))</f>
        <v/>
      </c>
      <c r="Y59" s="47" t="str">
        <f aca="false">IF($A59="","",IF(AND(INDEX(工程マスタ!$I$5:$I$154,$A59)="○",$E59&gt;=Y$3,$E59&lt;=Y$3+6),"▼",IF(AND($E59&gt;=Y$3,$E59&lt;=Y$3+6),$A59,"")))</f>
        <v/>
      </c>
      <c r="Z59" s="47" t="str">
        <f aca="false">IF($A59="","",IF(AND(INDEX(工程マスタ!$I$5:$I$154,$A59)="○",$E59&gt;=Z$3,$E59&lt;=Z$3+6),"▼",IF(AND($E59&gt;=Z$3,$E59&lt;=Z$3+6),$A59,"")))</f>
        <v/>
      </c>
      <c r="AA59" s="47" t="str">
        <f aca="false">IF($A59="","",IF(AND(INDEX(工程マスタ!$I$5:$I$154,$A59)="○",$E59&gt;=AA$3,$E59&lt;=AA$3+6),"▼",IF(AND($E59&gt;=AA$3,$E59&lt;=AA$3+6),$A59,"")))</f>
        <v/>
      </c>
      <c r="AB59" s="47" t="str">
        <f aca="false">IF($A59="","",IF(AND(INDEX(工程マスタ!$I$5:$I$154,$A59)="○",$E59&gt;=AB$3,$E59&lt;=AB$3+6),"▼",IF(AND($E59&gt;=AB$3,$E59&lt;=AB$3+6),$A59,"")))</f>
        <v/>
      </c>
      <c r="AC59" s="47" t="str">
        <f aca="false">IF($A59="","",IF(AND(INDEX(工程マスタ!$I$5:$I$154,$A59)="○",$E59&gt;=AC$3,$E59&lt;=AC$3+6),"▼",IF(AND($E59&gt;=AC$3,$E59&lt;=AC$3+6),$A59,"")))</f>
        <v/>
      </c>
      <c r="AD59" s="47" t="str">
        <f aca="false">IF($A59="","",IF(AND(INDEX(工程マスタ!$I$5:$I$154,$A59)="○",$E59&gt;=AD$3,$E59&lt;=AD$3+6),"▼",IF(AND($E59&gt;=AD$3,$E59&lt;=AD$3+6),$A59,"")))</f>
        <v/>
      </c>
      <c r="AE59" s="47" t="str">
        <f aca="false">IF($A59="","",IF(AND(INDEX(工程マスタ!$I$5:$I$154,$A59)="○",$E59&gt;=AE$3,$E59&lt;=AE$3+6),"▼",IF(AND($E59&gt;=AE$3,$E59&lt;=AE$3+6),$A59,"")))</f>
        <v/>
      </c>
      <c r="AF59" s="47" t="str">
        <f aca="false">IF($A59="","",IF(AND(INDEX(工程マスタ!$I$5:$I$154,$A59)="○",$E59&gt;=AF$3,$E59&lt;=AF$3+6),"▼",IF(AND($E59&gt;=AF$3,$E59&lt;=AF$3+6),$A59,"")))</f>
        <v/>
      </c>
      <c r="AG59" s="47" t="str">
        <f aca="false">IF($A59="","",IF(AND(INDEX(工程マスタ!$I$5:$I$154,$A59)="○",$E59&gt;=AG$3,$E59&lt;=AG$3+6),"▼",IF(AND($E59&gt;=AG$3,$E59&lt;=AG$3+6),$A59,"")))</f>
        <v/>
      </c>
      <c r="AH59" s="47" t="str">
        <f aca="false">IF($A59="","",IF(AND(INDEX(工程マスタ!$I$5:$I$154,$A59)="○",$E59&gt;=AH$3,$E59&lt;=AH$3+6),"▼",IF(AND($E59&gt;=AH$3,$E59&lt;=AH$3+6),$A59,"")))</f>
        <v/>
      </c>
      <c r="AI59" s="47" t="str">
        <f aca="false">IF($A59="","",IF(AND(INDEX(工程マスタ!$I$5:$I$154,$A59)="○",$E59&gt;=AI$3,$E59&lt;=AI$3+6),"▼",IF(AND($E59&gt;=AI$3,$E59&lt;=AI$3+6),$A59,"")))</f>
        <v/>
      </c>
      <c r="AJ59" s="47" t="str">
        <f aca="false">IF($A59="","",IF(AND(INDEX(工程マスタ!$I$5:$I$154,$A59)="○",$E59&gt;=AJ$3,$E59&lt;=AJ$3+6),"▼",IF(AND($E59&gt;=AJ$3,$E59&lt;=AJ$3+6),$A59,"")))</f>
        <v/>
      </c>
      <c r="AK59" s="47" t="str">
        <f aca="false">IF($A59="","",IF(AND(INDEX(工程マスタ!$I$5:$I$154,$A59)="○",$E59&gt;=AK$3,$E59&lt;=AK$3+6),"▼",IF(AND($E59&gt;=AK$3,$E59&lt;=AK$3+6),$A59,"")))</f>
        <v/>
      </c>
      <c r="AL59" s="47" t="str">
        <f aca="false">IF($A59="","",IF(AND(INDEX(工程マスタ!$I$5:$I$154,$A59)="○",$E59&gt;=AL$3,$E59&lt;=AL$3+6),"▼",IF(AND($E59&gt;=AL$3,$E59&lt;=AL$3+6),$A59,"")))</f>
        <v/>
      </c>
      <c r="AM59" s="47" t="str">
        <f aca="false">IF($A59="","",IF(AND(INDEX(工程マスタ!$I$5:$I$154,$A59)="○",$E59&gt;=AM$3,$E59&lt;=AM$3+6),"▼",IF(AND($E59&gt;=AM$3,$E59&lt;=AM$3+6),$A59,"")))</f>
        <v/>
      </c>
      <c r="AN59" s="47" t="str">
        <f aca="false">IF($A59="","",IF(AND(INDEX(工程マスタ!$I$5:$I$154,$A59)="○",$E59&gt;=AN$3,$E59&lt;=AN$3+6),"▼",IF(AND($E59&gt;=AN$3,$E59&lt;=AN$3+6),$A59,"")))</f>
        <v/>
      </c>
      <c r="AO59" s="47" t="str">
        <f aca="false">IF($A59="","",IF(AND(INDEX(工程マスタ!$I$5:$I$154,$A59)="○",$E59&gt;=AO$3,$E59&lt;=AO$3+6),"▼",IF(AND($E59&gt;=AO$3,$E59&lt;=AO$3+6),$A59,"")))</f>
        <v/>
      </c>
      <c r="AP59" s="47" t="str">
        <f aca="false">IF($A59="","",IF(AND(INDEX(工程マスタ!$I$5:$I$154,$A59)="○",$E59&gt;=AP$3,$E59&lt;=AP$3+6),"▼",IF(AND($E59&gt;=AP$3,$E59&lt;=AP$3+6),$A59,"")))</f>
        <v/>
      </c>
      <c r="AQ59" s="47" t="str">
        <f aca="false">IF($A59="","",IF(AND(INDEX(工程マスタ!$I$5:$I$154,$A59)="○",$E59&gt;=AQ$3,$E59&lt;=AQ$3+6),"▼",IF(AND($E59&gt;=AQ$3,$E59&lt;=AQ$3+6),$A59,"")))</f>
        <v/>
      </c>
      <c r="AR59" s="47" t="str">
        <f aca="false">IF($A59="","",IF(AND(INDEX(工程マスタ!$I$5:$I$154,$A59)="○",$E59&gt;=AR$3,$E59&lt;=AR$3+6),"▼",IF(AND($E59&gt;=AR$3,$E59&lt;=AR$3+6),$A59,"")))</f>
        <v/>
      </c>
      <c r="AS59" s="47" t="str">
        <f aca="false">IF($A59="","",IF(AND(INDEX(工程マスタ!$I$5:$I$154,$A59)="○",$E59&gt;=AS$3,$E59&lt;=AS$3+6),"▼",IF(AND($E59&gt;=AS$3,$E59&lt;=AS$3+6),$A59,"")))</f>
        <v/>
      </c>
      <c r="AT59" s="47" t="str">
        <f aca="false">IF($A59="","",IF(AND(INDEX(工程マスタ!$I$5:$I$154,$A59)="○",$E59&gt;=AT$3,$E59&lt;=AT$3+6),"▼",IF(AND($E59&gt;=AT$3,$E59&lt;=AT$3+6),$A59,"")))</f>
        <v/>
      </c>
      <c r="AU59" s="47" t="str">
        <f aca="false">IF($A59="","",IF(AND(INDEX(工程マスタ!$I$5:$I$154,$A59)="○",$E59&gt;=AU$3,$E59&lt;=AU$3+6),"▼",IF(AND($E59&gt;=AU$3,$E59&lt;=AU$3+6),$A59,"")))</f>
        <v/>
      </c>
      <c r="AV59" s="47" t="str">
        <f aca="false">IF($A59="","",IF(AND(INDEX(工程マスタ!$I$5:$I$154,$A59)="○",$E59&gt;=AV$3,$E59&lt;=AV$3+6),"▼",IF(AND($E59&gt;=AV$3,$E59&lt;=AV$3+6),$A59,"")))</f>
        <v/>
      </c>
      <c r="AW59" s="47" t="str">
        <f aca="false">IF($A59="","",IF(AND(INDEX(工程マスタ!$I$5:$I$154,$A59)="○",$E59&gt;=AW$3,$E59&lt;=AW$3+6),"▼",IF(AND($E59&gt;=AW$3,$E59&lt;=AW$3+6),$A59,"")))</f>
        <v/>
      </c>
      <c r="AX59" s="47" t="str">
        <f aca="false">IF($A59="","",IF(AND(INDEX(工程マスタ!$I$5:$I$154,$A59)="○",$E59&gt;=AX$3,$E59&lt;=AX$3+6),"▼",IF(AND($E59&gt;=AX$3,$E59&lt;=AX$3+6),$A59,"")))</f>
        <v/>
      </c>
      <c r="AY59" s="47" t="str">
        <f aca="false">IF($A59="","",IF(AND(INDEX(工程マスタ!$I$5:$I$154,$A59)="○",$E59&gt;=AY$3,$E59&lt;=AY$3+6),"▼",IF(AND($E59&gt;=AY$3,$E59&lt;=AY$3+6),$A59,"")))</f>
        <v/>
      </c>
      <c r="AZ59" s="47" t="str">
        <f aca="false">IF($A59="","",IF(AND(INDEX(工程マスタ!$I$5:$I$154,$A59)="○",$E59&gt;=AZ$3,$E59&lt;=AZ$3+6),"▼",IF(AND($E59&gt;=AZ$3,$E59&lt;=AZ$3+6),$A59,"")))</f>
        <v/>
      </c>
      <c r="BA59" s="47" t="str">
        <f aca="false">IF($A59="","",IF(AND(INDEX(工程マスタ!$I$5:$I$154,$A59)="○",$E59&gt;=BA$3,$E59&lt;=BA$3+6),"▼",IF(AND($E59&gt;=BA$3,$E59&lt;=BA$3+6),$A59,"")))</f>
        <v/>
      </c>
      <c r="BB59" s="47" t="str">
        <f aca="false">IF($A59="","",IF(AND(INDEX(工程マスタ!$I$5:$I$154,$A59)="○",$E59&gt;=BB$3,$E59&lt;=BB$3+6),"▼",IF(AND($E59&gt;=BB$3,$E59&lt;=BB$3+6),$A59,"")))</f>
        <v/>
      </c>
      <c r="BC59" s="47" t="str">
        <f aca="false">IF($A59="","",IF(AND(INDEX(工程マスタ!$I$5:$I$154,$A59)="○",$E59&gt;=BC$3,$E59&lt;=BC$3+6),"▼",IF(AND($E59&gt;=BC$3,$E59&lt;=BC$3+6),$A59,"")))</f>
        <v/>
      </c>
      <c r="BD59" s="47" t="str">
        <f aca="false">IF($A59="","",IF(AND(INDEX(工程マスタ!$I$5:$I$154,$A59)="○",$E59&gt;=BD$3,$E59&lt;=BD$3+6),"▼",IF(AND($E59&gt;=BD$3,$E59&lt;=BD$3+6),$A59,"")))</f>
        <v/>
      </c>
      <c r="BE59" s="47" t="str">
        <f aca="false">IF($A59="","",IF(AND(INDEX(工程マスタ!$I$5:$I$154,$A59)="○",$E59&gt;=BE$3,$E59&lt;=BE$3+6),"▼",IF(AND($E59&gt;=BE$3,$E59&lt;=BE$3+6),$A59,"")))</f>
        <v/>
      </c>
      <c r="BF59" s="47" t="str">
        <f aca="false">IF($A59="","",IF(AND(INDEX(工程マスタ!$I$5:$I$154,$A59)="○",$E59&gt;=BF$3,$E59&lt;=BF$3+6),"▼",IF(AND($E59&gt;=BF$3,$E59&lt;=BF$3+6),$A59,"")))</f>
        <v/>
      </c>
      <c r="BG59" s="47" t="str">
        <f aca="false">IF($A59="","",IF(AND(INDEX(工程マスタ!$I$5:$I$154,$A59)="○",$E59&gt;=BG$3,$E59&lt;=BG$3+6),"▼",IF(AND($E59&gt;=BG$3,$E59&lt;=BG$3+6),$A59,"")))</f>
        <v/>
      </c>
      <c r="BH59" s="47" t="str">
        <f aca="false">IF($A59="","",IF(AND(INDEX(工程マスタ!$I$5:$I$154,$A59)="○",$E59&gt;=BH$3,$E59&lt;=BH$3+6),"▼",IF(AND($E59&gt;=BH$3,$E59&lt;=BH$3+6),$A59,"")))</f>
        <v/>
      </c>
      <c r="BI59" s="47" t="str">
        <f aca="false">IF($A59="","",IF(AND(INDEX(工程マスタ!$I$5:$I$154,$A59)="○",$E59&gt;=BI$3,$E59&lt;=BI$3+6),"▼",IF(AND($E59&gt;=BI$3,$E59&lt;=BI$3+6),$A59,"")))</f>
        <v/>
      </c>
      <c r="BJ59" s="47" t="str">
        <f aca="false">IF($A59="","",IF(AND(INDEX(工程マスタ!$I$5:$I$154,$A59)="○",$E59&gt;=BJ$3,$E59&lt;=BJ$3+6),"▼",IF(AND($E59&gt;=BJ$3,$E59&lt;=BJ$3+6),$A59,"")))</f>
        <v/>
      </c>
    </row>
    <row r="60" customFormat="false" ht="15" hidden="false" customHeight="false" outlineLevel="0" collapsed="false">
      <c r="A60" s="28" t="str">
        <f aca="false">IF(工程マスタ!$C58="","",工程マスタ!$A58)</f>
        <v/>
      </c>
      <c r="B60" s="46" t="str">
        <f aca="false">IF($A60="","",工程マスタ!$C58)</f>
        <v/>
      </c>
      <c r="C60" s="28" t="str">
        <f aca="false">IF($A60="","",MAX(1,工程マスタ!$G58))</f>
        <v/>
      </c>
      <c r="D60" s="28" t="str">
        <f aca="false">IF($A60="","",_xlfn.TEXTJOIN(",",TRUE(),工程マスタ!$N58:$P58))</f>
        <v/>
      </c>
      <c r="E60" s="29" t="str">
        <f aca="false">IF($A60="","",IF(COUNT(工程マスタ!$N58:$P58)=0,設定!$B$8,MAX(IF(工程マスタ!$N58="",0,INDEX($F$7:$F$156,工程マスタ!$N58)),IF(工程マスタ!$O58="",0,INDEX($F$7:$F$156,工程マスタ!$O58)),IF(工程マスタ!$P58="",0,INDEX($F$7:$F$156,工程マスタ!$P58)))+1))</f>
        <v/>
      </c>
      <c r="F60" s="29" t="str">
        <f aca="false">IF($A60="","",$E60+$C60-1)</f>
        <v/>
      </c>
      <c r="G60" s="29" t="str">
        <f aca="false">IF($A60="","",$H60-$C60+1)</f>
        <v/>
      </c>
      <c r="H60" s="29" t="str">
        <f aca="false" t="array" ref="H60:H60">IF($A60="","",IF(SUMPRODUCT((工程マスタ!$N$59:$N$154=$A60)*1)+SUMPRODUCT((工程マスタ!$O$59:$O$154=$A60)*1)+SUMPRODUCT((工程マスタ!$P$59:$P$154=$A60)*1)=0,MAX($F$7:$F$156),MIN(IF((工程マスタ!$N$59:$N$154=$A60)+(工程マスタ!$O$59:$O$154=$A60)+(工程マスタ!$P$59:$P$154=$A60),$G61:$G$156))-1))</f>
        <v/>
      </c>
      <c r="I60" s="28" t="str">
        <f aca="false">IF($A60="","",$G60-$E60)</f>
        <v/>
      </c>
      <c r="J60" s="28" t="str">
        <f aca="false">IF($A60="","",IF($I60&lt;=0,"●",""))</f>
        <v/>
      </c>
      <c r="K60" s="47" t="str">
        <f aca="false">IF($A60="","",IF(AND(INDEX(工程マスタ!$I$5:$I$154,$A60)="○",$E60&gt;=K$3,$E60&lt;=K$3+6),"▼",IF(AND($E60&gt;=K$3,$E60&lt;=K$3+6),$A60,"")))</f>
        <v/>
      </c>
      <c r="L60" s="47" t="str">
        <f aca="false">IF($A60="","",IF(AND(INDEX(工程マスタ!$I$5:$I$154,$A60)="○",$E60&gt;=L$3,$E60&lt;=L$3+6),"▼",IF(AND($E60&gt;=L$3,$E60&lt;=L$3+6),$A60,"")))</f>
        <v/>
      </c>
      <c r="M60" s="47" t="str">
        <f aca="false">IF($A60="","",IF(AND(INDEX(工程マスタ!$I$5:$I$154,$A60)="○",$E60&gt;=M$3,$E60&lt;=M$3+6),"▼",IF(AND($E60&gt;=M$3,$E60&lt;=M$3+6),$A60,"")))</f>
        <v/>
      </c>
      <c r="N60" s="47" t="str">
        <f aca="false">IF($A60="","",IF(AND(INDEX(工程マスタ!$I$5:$I$154,$A60)="○",$E60&gt;=N$3,$E60&lt;=N$3+6),"▼",IF(AND($E60&gt;=N$3,$E60&lt;=N$3+6),$A60,"")))</f>
        <v/>
      </c>
      <c r="O60" s="47" t="str">
        <f aca="false">IF($A60="","",IF(AND(INDEX(工程マスタ!$I$5:$I$154,$A60)="○",$E60&gt;=O$3,$E60&lt;=O$3+6),"▼",IF(AND($E60&gt;=O$3,$E60&lt;=O$3+6),$A60,"")))</f>
        <v/>
      </c>
      <c r="P60" s="47" t="str">
        <f aca="false">IF($A60="","",IF(AND(INDEX(工程マスタ!$I$5:$I$154,$A60)="○",$E60&gt;=P$3,$E60&lt;=P$3+6),"▼",IF(AND($E60&gt;=P$3,$E60&lt;=P$3+6),$A60,"")))</f>
        <v/>
      </c>
      <c r="Q60" s="47" t="str">
        <f aca="false">IF($A60="","",IF(AND(INDEX(工程マスタ!$I$5:$I$154,$A60)="○",$E60&gt;=Q$3,$E60&lt;=Q$3+6),"▼",IF(AND($E60&gt;=Q$3,$E60&lt;=Q$3+6),$A60,"")))</f>
        <v/>
      </c>
      <c r="R60" s="47" t="str">
        <f aca="false">IF($A60="","",IF(AND(INDEX(工程マスタ!$I$5:$I$154,$A60)="○",$E60&gt;=R$3,$E60&lt;=R$3+6),"▼",IF(AND($E60&gt;=R$3,$E60&lt;=R$3+6),$A60,"")))</f>
        <v/>
      </c>
      <c r="S60" s="47" t="str">
        <f aca="false">IF($A60="","",IF(AND(INDEX(工程マスタ!$I$5:$I$154,$A60)="○",$E60&gt;=S$3,$E60&lt;=S$3+6),"▼",IF(AND($E60&gt;=S$3,$E60&lt;=S$3+6),$A60,"")))</f>
        <v/>
      </c>
      <c r="T60" s="47" t="str">
        <f aca="false">IF($A60="","",IF(AND(INDEX(工程マスタ!$I$5:$I$154,$A60)="○",$E60&gt;=T$3,$E60&lt;=T$3+6),"▼",IF(AND($E60&gt;=T$3,$E60&lt;=T$3+6),$A60,"")))</f>
        <v/>
      </c>
      <c r="U60" s="47" t="str">
        <f aca="false">IF($A60="","",IF(AND(INDEX(工程マスタ!$I$5:$I$154,$A60)="○",$E60&gt;=U$3,$E60&lt;=U$3+6),"▼",IF(AND($E60&gt;=U$3,$E60&lt;=U$3+6),$A60,"")))</f>
        <v/>
      </c>
      <c r="V60" s="47" t="str">
        <f aca="false">IF($A60="","",IF(AND(INDEX(工程マスタ!$I$5:$I$154,$A60)="○",$E60&gt;=V$3,$E60&lt;=V$3+6),"▼",IF(AND($E60&gt;=V$3,$E60&lt;=V$3+6),$A60,"")))</f>
        <v/>
      </c>
      <c r="W60" s="47" t="str">
        <f aca="false">IF($A60="","",IF(AND(INDEX(工程マスタ!$I$5:$I$154,$A60)="○",$E60&gt;=W$3,$E60&lt;=W$3+6),"▼",IF(AND($E60&gt;=W$3,$E60&lt;=W$3+6),$A60,"")))</f>
        <v/>
      </c>
      <c r="X60" s="47" t="str">
        <f aca="false">IF($A60="","",IF(AND(INDEX(工程マスタ!$I$5:$I$154,$A60)="○",$E60&gt;=X$3,$E60&lt;=X$3+6),"▼",IF(AND($E60&gt;=X$3,$E60&lt;=X$3+6),$A60,"")))</f>
        <v/>
      </c>
      <c r="Y60" s="47" t="str">
        <f aca="false">IF($A60="","",IF(AND(INDEX(工程マスタ!$I$5:$I$154,$A60)="○",$E60&gt;=Y$3,$E60&lt;=Y$3+6),"▼",IF(AND($E60&gt;=Y$3,$E60&lt;=Y$3+6),$A60,"")))</f>
        <v/>
      </c>
      <c r="Z60" s="47" t="str">
        <f aca="false">IF($A60="","",IF(AND(INDEX(工程マスタ!$I$5:$I$154,$A60)="○",$E60&gt;=Z$3,$E60&lt;=Z$3+6),"▼",IF(AND($E60&gt;=Z$3,$E60&lt;=Z$3+6),$A60,"")))</f>
        <v/>
      </c>
      <c r="AA60" s="47" t="str">
        <f aca="false">IF($A60="","",IF(AND(INDEX(工程マスタ!$I$5:$I$154,$A60)="○",$E60&gt;=AA$3,$E60&lt;=AA$3+6),"▼",IF(AND($E60&gt;=AA$3,$E60&lt;=AA$3+6),$A60,"")))</f>
        <v/>
      </c>
      <c r="AB60" s="47" t="str">
        <f aca="false">IF($A60="","",IF(AND(INDEX(工程マスタ!$I$5:$I$154,$A60)="○",$E60&gt;=AB$3,$E60&lt;=AB$3+6),"▼",IF(AND($E60&gt;=AB$3,$E60&lt;=AB$3+6),$A60,"")))</f>
        <v/>
      </c>
      <c r="AC60" s="47" t="str">
        <f aca="false">IF($A60="","",IF(AND(INDEX(工程マスタ!$I$5:$I$154,$A60)="○",$E60&gt;=AC$3,$E60&lt;=AC$3+6),"▼",IF(AND($E60&gt;=AC$3,$E60&lt;=AC$3+6),$A60,"")))</f>
        <v/>
      </c>
      <c r="AD60" s="47" t="str">
        <f aca="false">IF($A60="","",IF(AND(INDEX(工程マスタ!$I$5:$I$154,$A60)="○",$E60&gt;=AD$3,$E60&lt;=AD$3+6),"▼",IF(AND($E60&gt;=AD$3,$E60&lt;=AD$3+6),$A60,"")))</f>
        <v/>
      </c>
      <c r="AE60" s="47" t="str">
        <f aca="false">IF($A60="","",IF(AND(INDEX(工程マスタ!$I$5:$I$154,$A60)="○",$E60&gt;=AE$3,$E60&lt;=AE$3+6),"▼",IF(AND($E60&gt;=AE$3,$E60&lt;=AE$3+6),$A60,"")))</f>
        <v/>
      </c>
      <c r="AF60" s="47" t="str">
        <f aca="false">IF($A60="","",IF(AND(INDEX(工程マスタ!$I$5:$I$154,$A60)="○",$E60&gt;=AF$3,$E60&lt;=AF$3+6),"▼",IF(AND($E60&gt;=AF$3,$E60&lt;=AF$3+6),$A60,"")))</f>
        <v/>
      </c>
      <c r="AG60" s="47" t="str">
        <f aca="false">IF($A60="","",IF(AND(INDEX(工程マスタ!$I$5:$I$154,$A60)="○",$E60&gt;=AG$3,$E60&lt;=AG$3+6),"▼",IF(AND($E60&gt;=AG$3,$E60&lt;=AG$3+6),$A60,"")))</f>
        <v/>
      </c>
      <c r="AH60" s="47" t="str">
        <f aca="false">IF($A60="","",IF(AND(INDEX(工程マスタ!$I$5:$I$154,$A60)="○",$E60&gt;=AH$3,$E60&lt;=AH$3+6),"▼",IF(AND($E60&gt;=AH$3,$E60&lt;=AH$3+6),$A60,"")))</f>
        <v/>
      </c>
      <c r="AI60" s="47" t="str">
        <f aca="false">IF($A60="","",IF(AND(INDEX(工程マスタ!$I$5:$I$154,$A60)="○",$E60&gt;=AI$3,$E60&lt;=AI$3+6),"▼",IF(AND($E60&gt;=AI$3,$E60&lt;=AI$3+6),$A60,"")))</f>
        <v/>
      </c>
      <c r="AJ60" s="47" t="str">
        <f aca="false">IF($A60="","",IF(AND(INDEX(工程マスタ!$I$5:$I$154,$A60)="○",$E60&gt;=AJ$3,$E60&lt;=AJ$3+6),"▼",IF(AND($E60&gt;=AJ$3,$E60&lt;=AJ$3+6),$A60,"")))</f>
        <v/>
      </c>
      <c r="AK60" s="47" t="str">
        <f aca="false">IF($A60="","",IF(AND(INDEX(工程マスタ!$I$5:$I$154,$A60)="○",$E60&gt;=AK$3,$E60&lt;=AK$3+6),"▼",IF(AND($E60&gt;=AK$3,$E60&lt;=AK$3+6),$A60,"")))</f>
        <v/>
      </c>
      <c r="AL60" s="47" t="str">
        <f aca="false">IF($A60="","",IF(AND(INDEX(工程マスタ!$I$5:$I$154,$A60)="○",$E60&gt;=AL$3,$E60&lt;=AL$3+6),"▼",IF(AND($E60&gt;=AL$3,$E60&lt;=AL$3+6),$A60,"")))</f>
        <v/>
      </c>
      <c r="AM60" s="47" t="str">
        <f aca="false">IF($A60="","",IF(AND(INDEX(工程マスタ!$I$5:$I$154,$A60)="○",$E60&gt;=AM$3,$E60&lt;=AM$3+6),"▼",IF(AND($E60&gt;=AM$3,$E60&lt;=AM$3+6),$A60,"")))</f>
        <v/>
      </c>
      <c r="AN60" s="47" t="str">
        <f aca="false">IF($A60="","",IF(AND(INDEX(工程マスタ!$I$5:$I$154,$A60)="○",$E60&gt;=AN$3,$E60&lt;=AN$3+6),"▼",IF(AND($E60&gt;=AN$3,$E60&lt;=AN$3+6),$A60,"")))</f>
        <v/>
      </c>
      <c r="AO60" s="47" t="str">
        <f aca="false">IF($A60="","",IF(AND(INDEX(工程マスタ!$I$5:$I$154,$A60)="○",$E60&gt;=AO$3,$E60&lt;=AO$3+6),"▼",IF(AND($E60&gt;=AO$3,$E60&lt;=AO$3+6),$A60,"")))</f>
        <v/>
      </c>
      <c r="AP60" s="47" t="str">
        <f aca="false">IF($A60="","",IF(AND(INDEX(工程マスタ!$I$5:$I$154,$A60)="○",$E60&gt;=AP$3,$E60&lt;=AP$3+6),"▼",IF(AND($E60&gt;=AP$3,$E60&lt;=AP$3+6),$A60,"")))</f>
        <v/>
      </c>
      <c r="AQ60" s="47" t="str">
        <f aca="false">IF($A60="","",IF(AND(INDEX(工程マスタ!$I$5:$I$154,$A60)="○",$E60&gt;=AQ$3,$E60&lt;=AQ$3+6),"▼",IF(AND($E60&gt;=AQ$3,$E60&lt;=AQ$3+6),$A60,"")))</f>
        <v/>
      </c>
      <c r="AR60" s="47" t="str">
        <f aca="false">IF($A60="","",IF(AND(INDEX(工程マスタ!$I$5:$I$154,$A60)="○",$E60&gt;=AR$3,$E60&lt;=AR$3+6),"▼",IF(AND($E60&gt;=AR$3,$E60&lt;=AR$3+6),$A60,"")))</f>
        <v/>
      </c>
      <c r="AS60" s="47" t="str">
        <f aca="false">IF($A60="","",IF(AND(INDEX(工程マスタ!$I$5:$I$154,$A60)="○",$E60&gt;=AS$3,$E60&lt;=AS$3+6),"▼",IF(AND($E60&gt;=AS$3,$E60&lt;=AS$3+6),$A60,"")))</f>
        <v/>
      </c>
      <c r="AT60" s="47" t="str">
        <f aca="false">IF($A60="","",IF(AND(INDEX(工程マスタ!$I$5:$I$154,$A60)="○",$E60&gt;=AT$3,$E60&lt;=AT$3+6),"▼",IF(AND($E60&gt;=AT$3,$E60&lt;=AT$3+6),$A60,"")))</f>
        <v/>
      </c>
      <c r="AU60" s="47" t="str">
        <f aca="false">IF($A60="","",IF(AND(INDEX(工程マスタ!$I$5:$I$154,$A60)="○",$E60&gt;=AU$3,$E60&lt;=AU$3+6),"▼",IF(AND($E60&gt;=AU$3,$E60&lt;=AU$3+6),$A60,"")))</f>
        <v/>
      </c>
      <c r="AV60" s="47" t="str">
        <f aca="false">IF($A60="","",IF(AND(INDEX(工程マスタ!$I$5:$I$154,$A60)="○",$E60&gt;=AV$3,$E60&lt;=AV$3+6),"▼",IF(AND($E60&gt;=AV$3,$E60&lt;=AV$3+6),$A60,"")))</f>
        <v/>
      </c>
      <c r="AW60" s="47" t="str">
        <f aca="false">IF($A60="","",IF(AND(INDEX(工程マスタ!$I$5:$I$154,$A60)="○",$E60&gt;=AW$3,$E60&lt;=AW$3+6),"▼",IF(AND($E60&gt;=AW$3,$E60&lt;=AW$3+6),$A60,"")))</f>
        <v/>
      </c>
      <c r="AX60" s="47" t="str">
        <f aca="false">IF($A60="","",IF(AND(INDEX(工程マスタ!$I$5:$I$154,$A60)="○",$E60&gt;=AX$3,$E60&lt;=AX$3+6),"▼",IF(AND($E60&gt;=AX$3,$E60&lt;=AX$3+6),$A60,"")))</f>
        <v/>
      </c>
      <c r="AY60" s="47" t="str">
        <f aca="false">IF($A60="","",IF(AND(INDEX(工程マスタ!$I$5:$I$154,$A60)="○",$E60&gt;=AY$3,$E60&lt;=AY$3+6),"▼",IF(AND($E60&gt;=AY$3,$E60&lt;=AY$3+6),$A60,"")))</f>
        <v/>
      </c>
      <c r="AZ60" s="47" t="str">
        <f aca="false">IF($A60="","",IF(AND(INDEX(工程マスタ!$I$5:$I$154,$A60)="○",$E60&gt;=AZ$3,$E60&lt;=AZ$3+6),"▼",IF(AND($E60&gt;=AZ$3,$E60&lt;=AZ$3+6),$A60,"")))</f>
        <v/>
      </c>
      <c r="BA60" s="47" t="str">
        <f aca="false">IF($A60="","",IF(AND(INDEX(工程マスタ!$I$5:$I$154,$A60)="○",$E60&gt;=BA$3,$E60&lt;=BA$3+6),"▼",IF(AND($E60&gt;=BA$3,$E60&lt;=BA$3+6),$A60,"")))</f>
        <v/>
      </c>
      <c r="BB60" s="47" t="str">
        <f aca="false">IF($A60="","",IF(AND(INDEX(工程マスタ!$I$5:$I$154,$A60)="○",$E60&gt;=BB$3,$E60&lt;=BB$3+6),"▼",IF(AND($E60&gt;=BB$3,$E60&lt;=BB$3+6),$A60,"")))</f>
        <v/>
      </c>
      <c r="BC60" s="47" t="str">
        <f aca="false">IF($A60="","",IF(AND(INDEX(工程マスタ!$I$5:$I$154,$A60)="○",$E60&gt;=BC$3,$E60&lt;=BC$3+6),"▼",IF(AND($E60&gt;=BC$3,$E60&lt;=BC$3+6),$A60,"")))</f>
        <v/>
      </c>
      <c r="BD60" s="47" t="str">
        <f aca="false">IF($A60="","",IF(AND(INDEX(工程マスタ!$I$5:$I$154,$A60)="○",$E60&gt;=BD$3,$E60&lt;=BD$3+6),"▼",IF(AND($E60&gt;=BD$3,$E60&lt;=BD$3+6),$A60,"")))</f>
        <v/>
      </c>
      <c r="BE60" s="47" t="str">
        <f aca="false">IF($A60="","",IF(AND(INDEX(工程マスタ!$I$5:$I$154,$A60)="○",$E60&gt;=BE$3,$E60&lt;=BE$3+6),"▼",IF(AND($E60&gt;=BE$3,$E60&lt;=BE$3+6),$A60,"")))</f>
        <v/>
      </c>
      <c r="BF60" s="47" t="str">
        <f aca="false">IF($A60="","",IF(AND(INDEX(工程マスタ!$I$5:$I$154,$A60)="○",$E60&gt;=BF$3,$E60&lt;=BF$3+6),"▼",IF(AND($E60&gt;=BF$3,$E60&lt;=BF$3+6),$A60,"")))</f>
        <v/>
      </c>
      <c r="BG60" s="47" t="str">
        <f aca="false">IF($A60="","",IF(AND(INDEX(工程マスタ!$I$5:$I$154,$A60)="○",$E60&gt;=BG$3,$E60&lt;=BG$3+6),"▼",IF(AND($E60&gt;=BG$3,$E60&lt;=BG$3+6),$A60,"")))</f>
        <v/>
      </c>
      <c r="BH60" s="47" t="str">
        <f aca="false">IF($A60="","",IF(AND(INDEX(工程マスタ!$I$5:$I$154,$A60)="○",$E60&gt;=BH$3,$E60&lt;=BH$3+6),"▼",IF(AND($E60&gt;=BH$3,$E60&lt;=BH$3+6),$A60,"")))</f>
        <v/>
      </c>
      <c r="BI60" s="47" t="str">
        <f aca="false">IF($A60="","",IF(AND(INDEX(工程マスタ!$I$5:$I$154,$A60)="○",$E60&gt;=BI$3,$E60&lt;=BI$3+6),"▼",IF(AND($E60&gt;=BI$3,$E60&lt;=BI$3+6),$A60,"")))</f>
        <v/>
      </c>
      <c r="BJ60" s="47" t="str">
        <f aca="false">IF($A60="","",IF(AND(INDEX(工程マスタ!$I$5:$I$154,$A60)="○",$E60&gt;=BJ$3,$E60&lt;=BJ$3+6),"▼",IF(AND($E60&gt;=BJ$3,$E60&lt;=BJ$3+6),$A60,"")))</f>
        <v/>
      </c>
    </row>
    <row r="61" customFormat="false" ht="15" hidden="false" customHeight="false" outlineLevel="0" collapsed="false">
      <c r="A61" s="28" t="str">
        <f aca="false">IF(工程マスタ!$C59="","",工程マスタ!$A59)</f>
        <v/>
      </c>
      <c r="B61" s="46" t="str">
        <f aca="false">IF($A61="","",工程マスタ!$C59)</f>
        <v/>
      </c>
      <c r="C61" s="28" t="str">
        <f aca="false">IF($A61="","",MAX(1,工程マスタ!$G59))</f>
        <v/>
      </c>
      <c r="D61" s="28" t="str">
        <f aca="false">IF($A61="","",_xlfn.TEXTJOIN(",",TRUE(),工程マスタ!$N59:$P59))</f>
        <v/>
      </c>
      <c r="E61" s="29" t="str">
        <f aca="false">IF($A61="","",IF(COUNT(工程マスタ!$N59:$P59)=0,設定!$B$8,MAX(IF(工程マスタ!$N59="",0,INDEX($F$7:$F$156,工程マスタ!$N59)),IF(工程マスタ!$O59="",0,INDEX($F$7:$F$156,工程マスタ!$O59)),IF(工程マスタ!$P59="",0,INDEX($F$7:$F$156,工程マスタ!$P59)))+1))</f>
        <v/>
      </c>
      <c r="F61" s="29" t="str">
        <f aca="false">IF($A61="","",$E61+$C61-1)</f>
        <v/>
      </c>
      <c r="G61" s="29" t="str">
        <f aca="false">IF($A61="","",$H61-$C61+1)</f>
        <v/>
      </c>
      <c r="H61" s="29" t="str">
        <f aca="false" t="array" ref="H61:H61">IF($A61="","",IF(SUMPRODUCT((工程マスタ!$N$60:$N$154=$A61)*1)+SUMPRODUCT((工程マスタ!$O$60:$O$154=$A61)*1)+SUMPRODUCT((工程マスタ!$P$60:$P$154=$A61)*1)=0,MAX($F$7:$F$156),MIN(IF((工程マスタ!$N$60:$N$154=$A61)+(工程マスタ!$O$60:$O$154=$A61)+(工程マスタ!$P$60:$P$154=$A61),$G62:$G$156))-1))</f>
        <v/>
      </c>
      <c r="I61" s="28" t="str">
        <f aca="false">IF($A61="","",$G61-$E61)</f>
        <v/>
      </c>
      <c r="J61" s="28" t="str">
        <f aca="false">IF($A61="","",IF($I61&lt;=0,"●",""))</f>
        <v/>
      </c>
      <c r="K61" s="47" t="str">
        <f aca="false">IF($A61="","",IF(AND(INDEX(工程マスタ!$I$5:$I$154,$A61)="○",$E61&gt;=K$3,$E61&lt;=K$3+6),"▼",IF(AND($E61&gt;=K$3,$E61&lt;=K$3+6),$A61,"")))</f>
        <v/>
      </c>
      <c r="L61" s="47" t="str">
        <f aca="false">IF($A61="","",IF(AND(INDEX(工程マスタ!$I$5:$I$154,$A61)="○",$E61&gt;=L$3,$E61&lt;=L$3+6),"▼",IF(AND($E61&gt;=L$3,$E61&lt;=L$3+6),$A61,"")))</f>
        <v/>
      </c>
      <c r="M61" s="47" t="str">
        <f aca="false">IF($A61="","",IF(AND(INDEX(工程マスタ!$I$5:$I$154,$A61)="○",$E61&gt;=M$3,$E61&lt;=M$3+6),"▼",IF(AND($E61&gt;=M$3,$E61&lt;=M$3+6),$A61,"")))</f>
        <v/>
      </c>
      <c r="N61" s="47" t="str">
        <f aca="false">IF($A61="","",IF(AND(INDEX(工程マスタ!$I$5:$I$154,$A61)="○",$E61&gt;=N$3,$E61&lt;=N$3+6),"▼",IF(AND($E61&gt;=N$3,$E61&lt;=N$3+6),$A61,"")))</f>
        <v/>
      </c>
      <c r="O61" s="47" t="str">
        <f aca="false">IF($A61="","",IF(AND(INDEX(工程マスタ!$I$5:$I$154,$A61)="○",$E61&gt;=O$3,$E61&lt;=O$3+6),"▼",IF(AND($E61&gt;=O$3,$E61&lt;=O$3+6),$A61,"")))</f>
        <v/>
      </c>
      <c r="P61" s="47" t="str">
        <f aca="false">IF($A61="","",IF(AND(INDEX(工程マスタ!$I$5:$I$154,$A61)="○",$E61&gt;=P$3,$E61&lt;=P$3+6),"▼",IF(AND($E61&gt;=P$3,$E61&lt;=P$3+6),$A61,"")))</f>
        <v/>
      </c>
      <c r="Q61" s="47" t="str">
        <f aca="false">IF($A61="","",IF(AND(INDEX(工程マスタ!$I$5:$I$154,$A61)="○",$E61&gt;=Q$3,$E61&lt;=Q$3+6),"▼",IF(AND($E61&gt;=Q$3,$E61&lt;=Q$3+6),$A61,"")))</f>
        <v/>
      </c>
      <c r="R61" s="47" t="str">
        <f aca="false">IF($A61="","",IF(AND(INDEX(工程マスタ!$I$5:$I$154,$A61)="○",$E61&gt;=R$3,$E61&lt;=R$3+6),"▼",IF(AND($E61&gt;=R$3,$E61&lt;=R$3+6),$A61,"")))</f>
        <v/>
      </c>
      <c r="S61" s="47" t="str">
        <f aca="false">IF($A61="","",IF(AND(INDEX(工程マスタ!$I$5:$I$154,$A61)="○",$E61&gt;=S$3,$E61&lt;=S$3+6),"▼",IF(AND($E61&gt;=S$3,$E61&lt;=S$3+6),$A61,"")))</f>
        <v/>
      </c>
      <c r="T61" s="47" t="str">
        <f aca="false">IF($A61="","",IF(AND(INDEX(工程マスタ!$I$5:$I$154,$A61)="○",$E61&gt;=T$3,$E61&lt;=T$3+6),"▼",IF(AND($E61&gt;=T$3,$E61&lt;=T$3+6),$A61,"")))</f>
        <v/>
      </c>
      <c r="U61" s="47" t="str">
        <f aca="false">IF($A61="","",IF(AND(INDEX(工程マスタ!$I$5:$I$154,$A61)="○",$E61&gt;=U$3,$E61&lt;=U$3+6),"▼",IF(AND($E61&gt;=U$3,$E61&lt;=U$3+6),$A61,"")))</f>
        <v/>
      </c>
      <c r="V61" s="47" t="str">
        <f aca="false">IF($A61="","",IF(AND(INDEX(工程マスタ!$I$5:$I$154,$A61)="○",$E61&gt;=V$3,$E61&lt;=V$3+6),"▼",IF(AND($E61&gt;=V$3,$E61&lt;=V$3+6),$A61,"")))</f>
        <v/>
      </c>
      <c r="W61" s="47" t="str">
        <f aca="false">IF($A61="","",IF(AND(INDEX(工程マスタ!$I$5:$I$154,$A61)="○",$E61&gt;=W$3,$E61&lt;=W$3+6),"▼",IF(AND($E61&gt;=W$3,$E61&lt;=W$3+6),$A61,"")))</f>
        <v/>
      </c>
      <c r="X61" s="47" t="str">
        <f aca="false">IF($A61="","",IF(AND(INDEX(工程マスタ!$I$5:$I$154,$A61)="○",$E61&gt;=X$3,$E61&lt;=X$3+6),"▼",IF(AND($E61&gt;=X$3,$E61&lt;=X$3+6),$A61,"")))</f>
        <v/>
      </c>
      <c r="Y61" s="47" t="str">
        <f aca="false">IF($A61="","",IF(AND(INDEX(工程マスタ!$I$5:$I$154,$A61)="○",$E61&gt;=Y$3,$E61&lt;=Y$3+6),"▼",IF(AND($E61&gt;=Y$3,$E61&lt;=Y$3+6),$A61,"")))</f>
        <v/>
      </c>
      <c r="Z61" s="47" t="str">
        <f aca="false">IF($A61="","",IF(AND(INDEX(工程マスタ!$I$5:$I$154,$A61)="○",$E61&gt;=Z$3,$E61&lt;=Z$3+6),"▼",IF(AND($E61&gt;=Z$3,$E61&lt;=Z$3+6),$A61,"")))</f>
        <v/>
      </c>
      <c r="AA61" s="47" t="str">
        <f aca="false">IF($A61="","",IF(AND(INDEX(工程マスタ!$I$5:$I$154,$A61)="○",$E61&gt;=AA$3,$E61&lt;=AA$3+6),"▼",IF(AND($E61&gt;=AA$3,$E61&lt;=AA$3+6),$A61,"")))</f>
        <v/>
      </c>
      <c r="AB61" s="47" t="str">
        <f aca="false">IF($A61="","",IF(AND(INDEX(工程マスタ!$I$5:$I$154,$A61)="○",$E61&gt;=AB$3,$E61&lt;=AB$3+6),"▼",IF(AND($E61&gt;=AB$3,$E61&lt;=AB$3+6),$A61,"")))</f>
        <v/>
      </c>
      <c r="AC61" s="47" t="str">
        <f aca="false">IF($A61="","",IF(AND(INDEX(工程マスタ!$I$5:$I$154,$A61)="○",$E61&gt;=AC$3,$E61&lt;=AC$3+6),"▼",IF(AND($E61&gt;=AC$3,$E61&lt;=AC$3+6),$A61,"")))</f>
        <v/>
      </c>
      <c r="AD61" s="47" t="str">
        <f aca="false">IF($A61="","",IF(AND(INDEX(工程マスタ!$I$5:$I$154,$A61)="○",$E61&gt;=AD$3,$E61&lt;=AD$3+6),"▼",IF(AND($E61&gt;=AD$3,$E61&lt;=AD$3+6),$A61,"")))</f>
        <v/>
      </c>
      <c r="AE61" s="47" t="str">
        <f aca="false">IF($A61="","",IF(AND(INDEX(工程マスタ!$I$5:$I$154,$A61)="○",$E61&gt;=AE$3,$E61&lt;=AE$3+6),"▼",IF(AND($E61&gt;=AE$3,$E61&lt;=AE$3+6),$A61,"")))</f>
        <v/>
      </c>
      <c r="AF61" s="47" t="str">
        <f aca="false">IF($A61="","",IF(AND(INDEX(工程マスタ!$I$5:$I$154,$A61)="○",$E61&gt;=AF$3,$E61&lt;=AF$3+6),"▼",IF(AND($E61&gt;=AF$3,$E61&lt;=AF$3+6),$A61,"")))</f>
        <v/>
      </c>
      <c r="AG61" s="47" t="str">
        <f aca="false">IF($A61="","",IF(AND(INDEX(工程マスタ!$I$5:$I$154,$A61)="○",$E61&gt;=AG$3,$E61&lt;=AG$3+6),"▼",IF(AND($E61&gt;=AG$3,$E61&lt;=AG$3+6),$A61,"")))</f>
        <v/>
      </c>
      <c r="AH61" s="47" t="str">
        <f aca="false">IF($A61="","",IF(AND(INDEX(工程マスタ!$I$5:$I$154,$A61)="○",$E61&gt;=AH$3,$E61&lt;=AH$3+6),"▼",IF(AND($E61&gt;=AH$3,$E61&lt;=AH$3+6),$A61,"")))</f>
        <v/>
      </c>
      <c r="AI61" s="47" t="str">
        <f aca="false">IF($A61="","",IF(AND(INDEX(工程マスタ!$I$5:$I$154,$A61)="○",$E61&gt;=AI$3,$E61&lt;=AI$3+6),"▼",IF(AND($E61&gt;=AI$3,$E61&lt;=AI$3+6),$A61,"")))</f>
        <v/>
      </c>
      <c r="AJ61" s="47" t="str">
        <f aca="false">IF($A61="","",IF(AND(INDEX(工程マスタ!$I$5:$I$154,$A61)="○",$E61&gt;=AJ$3,$E61&lt;=AJ$3+6),"▼",IF(AND($E61&gt;=AJ$3,$E61&lt;=AJ$3+6),$A61,"")))</f>
        <v/>
      </c>
      <c r="AK61" s="47" t="str">
        <f aca="false">IF($A61="","",IF(AND(INDEX(工程マスタ!$I$5:$I$154,$A61)="○",$E61&gt;=AK$3,$E61&lt;=AK$3+6),"▼",IF(AND($E61&gt;=AK$3,$E61&lt;=AK$3+6),$A61,"")))</f>
        <v/>
      </c>
      <c r="AL61" s="47" t="str">
        <f aca="false">IF($A61="","",IF(AND(INDEX(工程マスタ!$I$5:$I$154,$A61)="○",$E61&gt;=AL$3,$E61&lt;=AL$3+6),"▼",IF(AND($E61&gt;=AL$3,$E61&lt;=AL$3+6),$A61,"")))</f>
        <v/>
      </c>
      <c r="AM61" s="47" t="str">
        <f aca="false">IF($A61="","",IF(AND(INDEX(工程マスタ!$I$5:$I$154,$A61)="○",$E61&gt;=AM$3,$E61&lt;=AM$3+6),"▼",IF(AND($E61&gt;=AM$3,$E61&lt;=AM$3+6),$A61,"")))</f>
        <v/>
      </c>
      <c r="AN61" s="47" t="str">
        <f aca="false">IF($A61="","",IF(AND(INDEX(工程マスタ!$I$5:$I$154,$A61)="○",$E61&gt;=AN$3,$E61&lt;=AN$3+6),"▼",IF(AND($E61&gt;=AN$3,$E61&lt;=AN$3+6),$A61,"")))</f>
        <v/>
      </c>
      <c r="AO61" s="47" t="str">
        <f aca="false">IF($A61="","",IF(AND(INDEX(工程マスタ!$I$5:$I$154,$A61)="○",$E61&gt;=AO$3,$E61&lt;=AO$3+6),"▼",IF(AND($E61&gt;=AO$3,$E61&lt;=AO$3+6),$A61,"")))</f>
        <v/>
      </c>
      <c r="AP61" s="47" t="str">
        <f aca="false">IF($A61="","",IF(AND(INDEX(工程マスタ!$I$5:$I$154,$A61)="○",$E61&gt;=AP$3,$E61&lt;=AP$3+6),"▼",IF(AND($E61&gt;=AP$3,$E61&lt;=AP$3+6),$A61,"")))</f>
        <v/>
      </c>
      <c r="AQ61" s="47" t="str">
        <f aca="false">IF($A61="","",IF(AND(INDEX(工程マスタ!$I$5:$I$154,$A61)="○",$E61&gt;=AQ$3,$E61&lt;=AQ$3+6),"▼",IF(AND($E61&gt;=AQ$3,$E61&lt;=AQ$3+6),$A61,"")))</f>
        <v/>
      </c>
      <c r="AR61" s="47" t="str">
        <f aca="false">IF($A61="","",IF(AND(INDEX(工程マスタ!$I$5:$I$154,$A61)="○",$E61&gt;=AR$3,$E61&lt;=AR$3+6),"▼",IF(AND($E61&gt;=AR$3,$E61&lt;=AR$3+6),$A61,"")))</f>
        <v/>
      </c>
      <c r="AS61" s="47" t="str">
        <f aca="false">IF($A61="","",IF(AND(INDEX(工程マスタ!$I$5:$I$154,$A61)="○",$E61&gt;=AS$3,$E61&lt;=AS$3+6),"▼",IF(AND($E61&gt;=AS$3,$E61&lt;=AS$3+6),$A61,"")))</f>
        <v/>
      </c>
      <c r="AT61" s="47" t="str">
        <f aca="false">IF($A61="","",IF(AND(INDEX(工程マスタ!$I$5:$I$154,$A61)="○",$E61&gt;=AT$3,$E61&lt;=AT$3+6),"▼",IF(AND($E61&gt;=AT$3,$E61&lt;=AT$3+6),$A61,"")))</f>
        <v/>
      </c>
      <c r="AU61" s="47" t="str">
        <f aca="false">IF($A61="","",IF(AND(INDEX(工程マスタ!$I$5:$I$154,$A61)="○",$E61&gt;=AU$3,$E61&lt;=AU$3+6),"▼",IF(AND($E61&gt;=AU$3,$E61&lt;=AU$3+6),$A61,"")))</f>
        <v/>
      </c>
      <c r="AV61" s="47" t="str">
        <f aca="false">IF($A61="","",IF(AND(INDEX(工程マスタ!$I$5:$I$154,$A61)="○",$E61&gt;=AV$3,$E61&lt;=AV$3+6),"▼",IF(AND($E61&gt;=AV$3,$E61&lt;=AV$3+6),$A61,"")))</f>
        <v/>
      </c>
      <c r="AW61" s="47" t="str">
        <f aca="false">IF($A61="","",IF(AND(INDEX(工程マスタ!$I$5:$I$154,$A61)="○",$E61&gt;=AW$3,$E61&lt;=AW$3+6),"▼",IF(AND($E61&gt;=AW$3,$E61&lt;=AW$3+6),$A61,"")))</f>
        <v/>
      </c>
      <c r="AX61" s="47" t="str">
        <f aca="false">IF($A61="","",IF(AND(INDEX(工程マスタ!$I$5:$I$154,$A61)="○",$E61&gt;=AX$3,$E61&lt;=AX$3+6),"▼",IF(AND($E61&gt;=AX$3,$E61&lt;=AX$3+6),$A61,"")))</f>
        <v/>
      </c>
      <c r="AY61" s="47" t="str">
        <f aca="false">IF($A61="","",IF(AND(INDEX(工程マスタ!$I$5:$I$154,$A61)="○",$E61&gt;=AY$3,$E61&lt;=AY$3+6),"▼",IF(AND($E61&gt;=AY$3,$E61&lt;=AY$3+6),$A61,"")))</f>
        <v/>
      </c>
      <c r="AZ61" s="47" t="str">
        <f aca="false">IF($A61="","",IF(AND(INDEX(工程マスタ!$I$5:$I$154,$A61)="○",$E61&gt;=AZ$3,$E61&lt;=AZ$3+6),"▼",IF(AND($E61&gt;=AZ$3,$E61&lt;=AZ$3+6),$A61,"")))</f>
        <v/>
      </c>
      <c r="BA61" s="47" t="str">
        <f aca="false">IF($A61="","",IF(AND(INDEX(工程マスタ!$I$5:$I$154,$A61)="○",$E61&gt;=BA$3,$E61&lt;=BA$3+6),"▼",IF(AND($E61&gt;=BA$3,$E61&lt;=BA$3+6),$A61,"")))</f>
        <v/>
      </c>
      <c r="BB61" s="47" t="str">
        <f aca="false">IF($A61="","",IF(AND(INDEX(工程マスタ!$I$5:$I$154,$A61)="○",$E61&gt;=BB$3,$E61&lt;=BB$3+6),"▼",IF(AND($E61&gt;=BB$3,$E61&lt;=BB$3+6),$A61,"")))</f>
        <v/>
      </c>
      <c r="BC61" s="47" t="str">
        <f aca="false">IF($A61="","",IF(AND(INDEX(工程マスタ!$I$5:$I$154,$A61)="○",$E61&gt;=BC$3,$E61&lt;=BC$3+6),"▼",IF(AND($E61&gt;=BC$3,$E61&lt;=BC$3+6),$A61,"")))</f>
        <v/>
      </c>
      <c r="BD61" s="47" t="str">
        <f aca="false">IF($A61="","",IF(AND(INDEX(工程マスタ!$I$5:$I$154,$A61)="○",$E61&gt;=BD$3,$E61&lt;=BD$3+6),"▼",IF(AND($E61&gt;=BD$3,$E61&lt;=BD$3+6),$A61,"")))</f>
        <v/>
      </c>
      <c r="BE61" s="47" t="str">
        <f aca="false">IF($A61="","",IF(AND(INDEX(工程マスタ!$I$5:$I$154,$A61)="○",$E61&gt;=BE$3,$E61&lt;=BE$3+6),"▼",IF(AND($E61&gt;=BE$3,$E61&lt;=BE$3+6),$A61,"")))</f>
        <v/>
      </c>
      <c r="BF61" s="47" t="str">
        <f aca="false">IF($A61="","",IF(AND(INDEX(工程マスタ!$I$5:$I$154,$A61)="○",$E61&gt;=BF$3,$E61&lt;=BF$3+6),"▼",IF(AND($E61&gt;=BF$3,$E61&lt;=BF$3+6),$A61,"")))</f>
        <v/>
      </c>
      <c r="BG61" s="47" t="str">
        <f aca="false">IF($A61="","",IF(AND(INDEX(工程マスタ!$I$5:$I$154,$A61)="○",$E61&gt;=BG$3,$E61&lt;=BG$3+6),"▼",IF(AND($E61&gt;=BG$3,$E61&lt;=BG$3+6),$A61,"")))</f>
        <v/>
      </c>
      <c r="BH61" s="47" t="str">
        <f aca="false">IF($A61="","",IF(AND(INDEX(工程マスタ!$I$5:$I$154,$A61)="○",$E61&gt;=BH$3,$E61&lt;=BH$3+6),"▼",IF(AND($E61&gt;=BH$3,$E61&lt;=BH$3+6),$A61,"")))</f>
        <v/>
      </c>
      <c r="BI61" s="47" t="str">
        <f aca="false">IF($A61="","",IF(AND(INDEX(工程マスタ!$I$5:$I$154,$A61)="○",$E61&gt;=BI$3,$E61&lt;=BI$3+6),"▼",IF(AND($E61&gt;=BI$3,$E61&lt;=BI$3+6),$A61,"")))</f>
        <v/>
      </c>
      <c r="BJ61" s="47" t="str">
        <f aca="false">IF($A61="","",IF(AND(INDEX(工程マスタ!$I$5:$I$154,$A61)="○",$E61&gt;=BJ$3,$E61&lt;=BJ$3+6),"▼",IF(AND($E61&gt;=BJ$3,$E61&lt;=BJ$3+6),$A61,"")))</f>
        <v/>
      </c>
    </row>
    <row r="62" customFormat="false" ht="15" hidden="false" customHeight="false" outlineLevel="0" collapsed="false">
      <c r="A62" s="28" t="str">
        <f aca="false">IF(工程マスタ!$C60="","",工程マスタ!$A60)</f>
        <v/>
      </c>
      <c r="B62" s="46" t="str">
        <f aca="false">IF($A62="","",工程マスタ!$C60)</f>
        <v/>
      </c>
      <c r="C62" s="28" t="str">
        <f aca="false">IF($A62="","",MAX(1,工程マスタ!$G60))</f>
        <v/>
      </c>
      <c r="D62" s="28" t="str">
        <f aca="false">IF($A62="","",_xlfn.TEXTJOIN(",",TRUE(),工程マスタ!$N60:$P60))</f>
        <v/>
      </c>
      <c r="E62" s="29" t="str">
        <f aca="false">IF($A62="","",IF(COUNT(工程マスタ!$N60:$P60)=0,設定!$B$8,MAX(IF(工程マスタ!$N60="",0,INDEX($F$7:$F$156,工程マスタ!$N60)),IF(工程マスタ!$O60="",0,INDEX($F$7:$F$156,工程マスタ!$O60)),IF(工程マスタ!$P60="",0,INDEX($F$7:$F$156,工程マスタ!$P60)))+1))</f>
        <v/>
      </c>
      <c r="F62" s="29" t="str">
        <f aca="false">IF($A62="","",$E62+$C62-1)</f>
        <v/>
      </c>
      <c r="G62" s="29" t="str">
        <f aca="false">IF($A62="","",$H62-$C62+1)</f>
        <v/>
      </c>
      <c r="H62" s="29" t="str">
        <f aca="false" t="array" ref="H62:H62">IF($A62="","",IF(SUMPRODUCT((工程マスタ!$N$61:$N$154=$A62)*1)+SUMPRODUCT((工程マスタ!$O$61:$O$154=$A62)*1)+SUMPRODUCT((工程マスタ!$P$61:$P$154=$A62)*1)=0,MAX($F$7:$F$156),MIN(IF((工程マスタ!$N$61:$N$154=$A62)+(工程マスタ!$O$61:$O$154=$A62)+(工程マスタ!$P$61:$P$154=$A62),$G63:$G$156))-1))</f>
        <v/>
      </c>
      <c r="I62" s="28" t="str">
        <f aca="false">IF($A62="","",$G62-$E62)</f>
        <v/>
      </c>
      <c r="J62" s="28" t="str">
        <f aca="false">IF($A62="","",IF($I62&lt;=0,"●",""))</f>
        <v/>
      </c>
      <c r="K62" s="47" t="str">
        <f aca="false">IF($A62="","",IF(AND(INDEX(工程マスタ!$I$5:$I$154,$A62)="○",$E62&gt;=K$3,$E62&lt;=K$3+6),"▼",IF(AND($E62&gt;=K$3,$E62&lt;=K$3+6),$A62,"")))</f>
        <v/>
      </c>
      <c r="L62" s="47" t="str">
        <f aca="false">IF($A62="","",IF(AND(INDEX(工程マスタ!$I$5:$I$154,$A62)="○",$E62&gt;=L$3,$E62&lt;=L$3+6),"▼",IF(AND($E62&gt;=L$3,$E62&lt;=L$3+6),$A62,"")))</f>
        <v/>
      </c>
      <c r="M62" s="47" t="str">
        <f aca="false">IF($A62="","",IF(AND(INDEX(工程マスタ!$I$5:$I$154,$A62)="○",$E62&gt;=M$3,$E62&lt;=M$3+6),"▼",IF(AND($E62&gt;=M$3,$E62&lt;=M$3+6),$A62,"")))</f>
        <v/>
      </c>
      <c r="N62" s="47" t="str">
        <f aca="false">IF($A62="","",IF(AND(INDEX(工程マスタ!$I$5:$I$154,$A62)="○",$E62&gt;=N$3,$E62&lt;=N$3+6),"▼",IF(AND($E62&gt;=N$3,$E62&lt;=N$3+6),$A62,"")))</f>
        <v/>
      </c>
      <c r="O62" s="47" t="str">
        <f aca="false">IF($A62="","",IF(AND(INDEX(工程マスタ!$I$5:$I$154,$A62)="○",$E62&gt;=O$3,$E62&lt;=O$3+6),"▼",IF(AND($E62&gt;=O$3,$E62&lt;=O$3+6),$A62,"")))</f>
        <v/>
      </c>
      <c r="P62" s="47" t="str">
        <f aca="false">IF($A62="","",IF(AND(INDEX(工程マスタ!$I$5:$I$154,$A62)="○",$E62&gt;=P$3,$E62&lt;=P$3+6),"▼",IF(AND($E62&gt;=P$3,$E62&lt;=P$3+6),$A62,"")))</f>
        <v/>
      </c>
      <c r="Q62" s="47" t="str">
        <f aca="false">IF($A62="","",IF(AND(INDEX(工程マスタ!$I$5:$I$154,$A62)="○",$E62&gt;=Q$3,$E62&lt;=Q$3+6),"▼",IF(AND($E62&gt;=Q$3,$E62&lt;=Q$3+6),$A62,"")))</f>
        <v/>
      </c>
      <c r="R62" s="47" t="str">
        <f aca="false">IF($A62="","",IF(AND(INDEX(工程マスタ!$I$5:$I$154,$A62)="○",$E62&gt;=R$3,$E62&lt;=R$3+6),"▼",IF(AND($E62&gt;=R$3,$E62&lt;=R$3+6),$A62,"")))</f>
        <v/>
      </c>
      <c r="S62" s="47" t="str">
        <f aca="false">IF($A62="","",IF(AND(INDEX(工程マスタ!$I$5:$I$154,$A62)="○",$E62&gt;=S$3,$E62&lt;=S$3+6),"▼",IF(AND($E62&gt;=S$3,$E62&lt;=S$3+6),$A62,"")))</f>
        <v/>
      </c>
      <c r="T62" s="47" t="str">
        <f aca="false">IF($A62="","",IF(AND(INDEX(工程マスタ!$I$5:$I$154,$A62)="○",$E62&gt;=T$3,$E62&lt;=T$3+6),"▼",IF(AND($E62&gt;=T$3,$E62&lt;=T$3+6),$A62,"")))</f>
        <v/>
      </c>
      <c r="U62" s="47" t="str">
        <f aca="false">IF($A62="","",IF(AND(INDEX(工程マスタ!$I$5:$I$154,$A62)="○",$E62&gt;=U$3,$E62&lt;=U$3+6),"▼",IF(AND($E62&gt;=U$3,$E62&lt;=U$3+6),$A62,"")))</f>
        <v/>
      </c>
      <c r="V62" s="47" t="str">
        <f aca="false">IF($A62="","",IF(AND(INDEX(工程マスタ!$I$5:$I$154,$A62)="○",$E62&gt;=V$3,$E62&lt;=V$3+6),"▼",IF(AND($E62&gt;=V$3,$E62&lt;=V$3+6),$A62,"")))</f>
        <v/>
      </c>
      <c r="W62" s="47" t="str">
        <f aca="false">IF($A62="","",IF(AND(INDEX(工程マスタ!$I$5:$I$154,$A62)="○",$E62&gt;=W$3,$E62&lt;=W$3+6),"▼",IF(AND($E62&gt;=W$3,$E62&lt;=W$3+6),$A62,"")))</f>
        <v/>
      </c>
      <c r="X62" s="47" t="str">
        <f aca="false">IF($A62="","",IF(AND(INDEX(工程マスタ!$I$5:$I$154,$A62)="○",$E62&gt;=X$3,$E62&lt;=X$3+6),"▼",IF(AND($E62&gt;=X$3,$E62&lt;=X$3+6),$A62,"")))</f>
        <v/>
      </c>
      <c r="Y62" s="47" t="str">
        <f aca="false">IF($A62="","",IF(AND(INDEX(工程マスタ!$I$5:$I$154,$A62)="○",$E62&gt;=Y$3,$E62&lt;=Y$3+6),"▼",IF(AND($E62&gt;=Y$3,$E62&lt;=Y$3+6),$A62,"")))</f>
        <v/>
      </c>
      <c r="Z62" s="47" t="str">
        <f aca="false">IF($A62="","",IF(AND(INDEX(工程マスタ!$I$5:$I$154,$A62)="○",$E62&gt;=Z$3,$E62&lt;=Z$3+6),"▼",IF(AND($E62&gt;=Z$3,$E62&lt;=Z$3+6),$A62,"")))</f>
        <v/>
      </c>
      <c r="AA62" s="47" t="str">
        <f aca="false">IF($A62="","",IF(AND(INDEX(工程マスタ!$I$5:$I$154,$A62)="○",$E62&gt;=AA$3,$E62&lt;=AA$3+6),"▼",IF(AND($E62&gt;=AA$3,$E62&lt;=AA$3+6),$A62,"")))</f>
        <v/>
      </c>
      <c r="AB62" s="47" t="str">
        <f aca="false">IF($A62="","",IF(AND(INDEX(工程マスタ!$I$5:$I$154,$A62)="○",$E62&gt;=AB$3,$E62&lt;=AB$3+6),"▼",IF(AND($E62&gt;=AB$3,$E62&lt;=AB$3+6),$A62,"")))</f>
        <v/>
      </c>
      <c r="AC62" s="47" t="str">
        <f aca="false">IF($A62="","",IF(AND(INDEX(工程マスタ!$I$5:$I$154,$A62)="○",$E62&gt;=AC$3,$E62&lt;=AC$3+6),"▼",IF(AND($E62&gt;=AC$3,$E62&lt;=AC$3+6),$A62,"")))</f>
        <v/>
      </c>
      <c r="AD62" s="47" t="str">
        <f aca="false">IF($A62="","",IF(AND(INDEX(工程マスタ!$I$5:$I$154,$A62)="○",$E62&gt;=AD$3,$E62&lt;=AD$3+6),"▼",IF(AND($E62&gt;=AD$3,$E62&lt;=AD$3+6),$A62,"")))</f>
        <v/>
      </c>
      <c r="AE62" s="47" t="str">
        <f aca="false">IF($A62="","",IF(AND(INDEX(工程マスタ!$I$5:$I$154,$A62)="○",$E62&gt;=AE$3,$E62&lt;=AE$3+6),"▼",IF(AND($E62&gt;=AE$3,$E62&lt;=AE$3+6),$A62,"")))</f>
        <v/>
      </c>
      <c r="AF62" s="47" t="str">
        <f aca="false">IF($A62="","",IF(AND(INDEX(工程マスタ!$I$5:$I$154,$A62)="○",$E62&gt;=AF$3,$E62&lt;=AF$3+6),"▼",IF(AND($E62&gt;=AF$3,$E62&lt;=AF$3+6),$A62,"")))</f>
        <v/>
      </c>
      <c r="AG62" s="47" t="str">
        <f aca="false">IF($A62="","",IF(AND(INDEX(工程マスタ!$I$5:$I$154,$A62)="○",$E62&gt;=AG$3,$E62&lt;=AG$3+6),"▼",IF(AND($E62&gt;=AG$3,$E62&lt;=AG$3+6),$A62,"")))</f>
        <v/>
      </c>
      <c r="AH62" s="47" t="str">
        <f aca="false">IF($A62="","",IF(AND(INDEX(工程マスタ!$I$5:$I$154,$A62)="○",$E62&gt;=AH$3,$E62&lt;=AH$3+6),"▼",IF(AND($E62&gt;=AH$3,$E62&lt;=AH$3+6),$A62,"")))</f>
        <v/>
      </c>
      <c r="AI62" s="47" t="str">
        <f aca="false">IF($A62="","",IF(AND(INDEX(工程マスタ!$I$5:$I$154,$A62)="○",$E62&gt;=AI$3,$E62&lt;=AI$3+6),"▼",IF(AND($E62&gt;=AI$3,$E62&lt;=AI$3+6),$A62,"")))</f>
        <v/>
      </c>
      <c r="AJ62" s="47" t="str">
        <f aca="false">IF($A62="","",IF(AND(INDEX(工程マスタ!$I$5:$I$154,$A62)="○",$E62&gt;=AJ$3,$E62&lt;=AJ$3+6),"▼",IF(AND($E62&gt;=AJ$3,$E62&lt;=AJ$3+6),$A62,"")))</f>
        <v/>
      </c>
      <c r="AK62" s="47" t="str">
        <f aca="false">IF($A62="","",IF(AND(INDEX(工程マスタ!$I$5:$I$154,$A62)="○",$E62&gt;=AK$3,$E62&lt;=AK$3+6),"▼",IF(AND($E62&gt;=AK$3,$E62&lt;=AK$3+6),$A62,"")))</f>
        <v/>
      </c>
      <c r="AL62" s="47" t="str">
        <f aca="false">IF($A62="","",IF(AND(INDEX(工程マスタ!$I$5:$I$154,$A62)="○",$E62&gt;=AL$3,$E62&lt;=AL$3+6),"▼",IF(AND($E62&gt;=AL$3,$E62&lt;=AL$3+6),$A62,"")))</f>
        <v/>
      </c>
      <c r="AM62" s="47" t="str">
        <f aca="false">IF($A62="","",IF(AND(INDEX(工程マスタ!$I$5:$I$154,$A62)="○",$E62&gt;=AM$3,$E62&lt;=AM$3+6),"▼",IF(AND($E62&gt;=AM$3,$E62&lt;=AM$3+6),$A62,"")))</f>
        <v/>
      </c>
      <c r="AN62" s="47" t="str">
        <f aca="false">IF($A62="","",IF(AND(INDEX(工程マスタ!$I$5:$I$154,$A62)="○",$E62&gt;=AN$3,$E62&lt;=AN$3+6),"▼",IF(AND($E62&gt;=AN$3,$E62&lt;=AN$3+6),$A62,"")))</f>
        <v/>
      </c>
      <c r="AO62" s="47" t="str">
        <f aca="false">IF($A62="","",IF(AND(INDEX(工程マスタ!$I$5:$I$154,$A62)="○",$E62&gt;=AO$3,$E62&lt;=AO$3+6),"▼",IF(AND($E62&gt;=AO$3,$E62&lt;=AO$3+6),$A62,"")))</f>
        <v/>
      </c>
      <c r="AP62" s="47" t="str">
        <f aca="false">IF($A62="","",IF(AND(INDEX(工程マスタ!$I$5:$I$154,$A62)="○",$E62&gt;=AP$3,$E62&lt;=AP$3+6),"▼",IF(AND($E62&gt;=AP$3,$E62&lt;=AP$3+6),$A62,"")))</f>
        <v/>
      </c>
      <c r="AQ62" s="47" t="str">
        <f aca="false">IF($A62="","",IF(AND(INDEX(工程マスタ!$I$5:$I$154,$A62)="○",$E62&gt;=AQ$3,$E62&lt;=AQ$3+6),"▼",IF(AND($E62&gt;=AQ$3,$E62&lt;=AQ$3+6),$A62,"")))</f>
        <v/>
      </c>
      <c r="AR62" s="47" t="str">
        <f aca="false">IF($A62="","",IF(AND(INDEX(工程マスタ!$I$5:$I$154,$A62)="○",$E62&gt;=AR$3,$E62&lt;=AR$3+6),"▼",IF(AND($E62&gt;=AR$3,$E62&lt;=AR$3+6),$A62,"")))</f>
        <v/>
      </c>
      <c r="AS62" s="47" t="str">
        <f aca="false">IF($A62="","",IF(AND(INDEX(工程マスタ!$I$5:$I$154,$A62)="○",$E62&gt;=AS$3,$E62&lt;=AS$3+6),"▼",IF(AND($E62&gt;=AS$3,$E62&lt;=AS$3+6),$A62,"")))</f>
        <v/>
      </c>
      <c r="AT62" s="47" t="str">
        <f aca="false">IF($A62="","",IF(AND(INDEX(工程マスタ!$I$5:$I$154,$A62)="○",$E62&gt;=AT$3,$E62&lt;=AT$3+6),"▼",IF(AND($E62&gt;=AT$3,$E62&lt;=AT$3+6),$A62,"")))</f>
        <v/>
      </c>
      <c r="AU62" s="47" t="str">
        <f aca="false">IF($A62="","",IF(AND(INDEX(工程マスタ!$I$5:$I$154,$A62)="○",$E62&gt;=AU$3,$E62&lt;=AU$3+6),"▼",IF(AND($E62&gt;=AU$3,$E62&lt;=AU$3+6),$A62,"")))</f>
        <v/>
      </c>
      <c r="AV62" s="47" t="str">
        <f aca="false">IF($A62="","",IF(AND(INDEX(工程マスタ!$I$5:$I$154,$A62)="○",$E62&gt;=AV$3,$E62&lt;=AV$3+6),"▼",IF(AND($E62&gt;=AV$3,$E62&lt;=AV$3+6),$A62,"")))</f>
        <v/>
      </c>
      <c r="AW62" s="47" t="str">
        <f aca="false">IF($A62="","",IF(AND(INDEX(工程マスタ!$I$5:$I$154,$A62)="○",$E62&gt;=AW$3,$E62&lt;=AW$3+6),"▼",IF(AND($E62&gt;=AW$3,$E62&lt;=AW$3+6),$A62,"")))</f>
        <v/>
      </c>
      <c r="AX62" s="47" t="str">
        <f aca="false">IF($A62="","",IF(AND(INDEX(工程マスタ!$I$5:$I$154,$A62)="○",$E62&gt;=AX$3,$E62&lt;=AX$3+6),"▼",IF(AND($E62&gt;=AX$3,$E62&lt;=AX$3+6),$A62,"")))</f>
        <v/>
      </c>
      <c r="AY62" s="47" t="str">
        <f aca="false">IF($A62="","",IF(AND(INDEX(工程マスタ!$I$5:$I$154,$A62)="○",$E62&gt;=AY$3,$E62&lt;=AY$3+6),"▼",IF(AND($E62&gt;=AY$3,$E62&lt;=AY$3+6),$A62,"")))</f>
        <v/>
      </c>
      <c r="AZ62" s="47" t="str">
        <f aca="false">IF($A62="","",IF(AND(INDEX(工程マスタ!$I$5:$I$154,$A62)="○",$E62&gt;=AZ$3,$E62&lt;=AZ$3+6),"▼",IF(AND($E62&gt;=AZ$3,$E62&lt;=AZ$3+6),$A62,"")))</f>
        <v/>
      </c>
      <c r="BA62" s="47" t="str">
        <f aca="false">IF($A62="","",IF(AND(INDEX(工程マスタ!$I$5:$I$154,$A62)="○",$E62&gt;=BA$3,$E62&lt;=BA$3+6),"▼",IF(AND($E62&gt;=BA$3,$E62&lt;=BA$3+6),$A62,"")))</f>
        <v/>
      </c>
      <c r="BB62" s="47" t="str">
        <f aca="false">IF($A62="","",IF(AND(INDEX(工程マスタ!$I$5:$I$154,$A62)="○",$E62&gt;=BB$3,$E62&lt;=BB$3+6),"▼",IF(AND($E62&gt;=BB$3,$E62&lt;=BB$3+6),$A62,"")))</f>
        <v/>
      </c>
      <c r="BC62" s="47" t="str">
        <f aca="false">IF($A62="","",IF(AND(INDEX(工程マスタ!$I$5:$I$154,$A62)="○",$E62&gt;=BC$3,$E62&lt;=BC$3+6),"▼",IF(AND($E62&gt;=BC$3,$E62&lt;=BC$3+6),$A62,"")))</f>
        <v/>
      </c>
      <c r="BD62" s="47" t="str">
        <f aca="false">IF($A62="","",IF(AND(INDEX(工程マスタ!$I$5:$I$154,$A62)="○",$E62&gt;=BD$3,$E62&lt;=BD$3+6),"▼",IF(AND($E62&gt;=BD$3,$E62&lt;=BD$3+6),$A62,"")))</f>
        <v/>
      </c>
      <c r="BE62" s="47" t="str">
        <f aca="false">IF($A62="","",IF(AND(INDEX(工程マスタ!$I$5:$I$154,$A62)="○",$E62&gt;=BE$3,$E62&lt;=BE$3+6),"▼",IF(AND($E62&gt;=BE$3,$E62&lt;=BE$3+6),$A62,"")))</f>
        <v/>
      </c>
      <c r="BF62" s="47" t="str">
        <f aca="false">IF($A62="","",IF(AND(INDEX(工程マスタ!$I$5:$I$154,$A62)="○",$E62&gt;=BF$3,$E62&lt;=BF$3+6),"▼",IF(AND($E62&gt;=BF$3,$E62&lt;=BF$3+6),$A62,"")))</f>
        <v/>
      </c>
      <c r="BG62" s="47" t="str">
        <f aca="false">IF($A62="","",IF(AND(INDEX(工程マスタ!$I$5:$I$154,$A62)="○",$E62&gt;=BG$3,$E62&lt;=BG$3+6),"▼",IF(AND($E62&gt;=BG$3,$E62&lt;=BG$3+6),$A62,"")))</f>
        <v/>
      </c>
      <c r="BH62" s="47" t="str">
        <f aca="false">IF($A62="","",IF(AND(INDEX(工程マスタ!$I$5:$I$154,$A62)="○",$E62&gt;=BH$3,$E62&lt;=BH$3+6),"▼",IF(AND($E62&gt;=BH$3,$E62&lt;=BH$3+6),$A62,"")))</f>
        <v/>
      </c>
      <c r="BI62" s="47" t="str">
        <f aca="false">IF($A62="","",IF(AND(INDEX(工程マスタ!$I$5:$I$154,$A62)="○",$E62&gt;=BI$3,$E62&lt;=BI$3+6),"▼",IF(AND($E62&gt;=BI$3,$E62&lt;=BI$3+6),$A62,"")))</f>
        <v/>
      </c>
      <c r="BJ62" s="47" t="str">
        <f aca="false">IF($A62="","",IF(AND(INDEX(工程マスタ!$I$5:$I$154,$A62)="○",$E62&gt;=BJ$3,$E62&lt;=BJ$3+6),"▼",IF(AND($E62&gt;=BJ$3,$E62&lt;=BJ$3+6),$A62,"")))</f>
        <v/>
      </c>
    </row>
    <row r="63" customFormat="false" ht="15" hidden="false" customHeight="false" outlineLevel="0" collapsed="false">
      <c r="A63" s="28" t="str">
        <f aca="false">IF(工程マスタ!$C61="","",工程マスタ!$A61)</f>
        <v/>
      </c>
      <c r="B63" s="46" t="str">
        <f aca="false">IF($A63="","",工程マスタ!$C61)</f>
        <v/>
      </c>
      <c r="C63" s="28" t="str">
        <f aca="false">IF($A63="","",MAX(1,工程マスタ!$G61))</f>
        <v/>
      </c>
      <c r="D63" s="28" t="str">
        <f aca="false">IF($A63="","",_xlfn.TEXTJOIN(",",TRUE(),工程マスタ!$N61:$P61))</f>
        <v/>
      </c>
      <c r="E63" s="29" t="str">
        <f aca="false">IF($A63="","",IF(COUNT(工程マスタ!$N61:$P61)=0,設定!$B$8,MAX(IF(工程マスタ!$N61="",0,INDEX($F$7:$F$156,工程マスタ!$N61)),IF(工程マスタ!$O61="",0,INDEX($F$7:$F$156,工程マスタ!$O61)),IF(工程マスタ!$P61="",0,INDEX($F$7:$F$156,工程マスタ!$P61)))+1))</f>
        <v/>
      </c>
      <c r="F63" s="29" t="str">
        <f aca="false">IF($A63="","",$E63+$C63-1)</f>
        <v/>
      </c>
      <c r="G63" s="29" t="str">
        <f aca="false">IF($A63="","",$H63-$C63+1)</f>
        <v/>
      </c>
      <c r="H63" s="29" t="str">
        <f aca="false" t="array" ref="H63:H63">IF($A63="","",IF(SUMPRODUCT((工程マスタ!$N$62:$N$154=$A63)*1)+SUMPRODUCT((工程マスタ!$O$62:$O$154=$A63)*1)+SUMPRODUCT((工程マスタ!$P$62:$P$154=$A63)*1)=0,MAX($F$7:$F$156),MIN(IF((工程マスタ!$N$62:$N$154=$A63)+(工程マスタ!$O$62:$O$154=$A63)+(工程マスタ!$P$62:$P$154=$A63),$G64:$G$156))-1))</f>
        <v/>
      </c>
      <c r="I63" s="28" t="str">
        <f aca="false">IF($A63="","",$G63-$E63)</f>
        <v/>
      </c>
      <c r="J63" s="28" t="str">
        <f aca="false">IF($A63="","",IF($I63&lt;=0,"●",""))</f>
        <v/>
      </c>
      <c r="K63" s="47" t="str">
        <f aca="false">IF($A63="","",IF(AND(INDEX(工程マスタ!$I$5:$I$154,$A63)="○",$E63&gt;=K$3,$E63&lt;=K$3+6),"▼",IF(AND($E63&gt;=K$3,$E63&lt;=K$3+6),$A63,"")))</f>
        <v/>
      </c>
      <c r="L63" s="47" t="str">
        <f aca="false">IF($A63="","",IF(AND(INDEX(工程マスタ!$I$5:$I$154,$A63)="○",$E63&gt;=L$3,$E63&lt;=L$3+6),"▼",IF(AND($E63&gt;=L$3,$E63&lt;=L$3+6),$A63,"")))</f>
        <v/>
      </c>
      <c r="M63" s="47" t="str">
        <f aca="false">IF($A63="","",IF(AND(INDEX(工程マスタ!$I$5:$I$154,$A63)="○",$E63&gt;=M$3,$E63&lt;=M$3+6),"▼",IF(AND($E63&gt;=M$3,$E63&lt;=M$3+6),$A63,"")))</f>
        <v/>
      </c>
      <c r="N63" s="47" t="str">
        <f aca="false">IF($A63="","",IF(AND(INDEX(工程マスタ!$I$5:$I$154,$A63)="○",$E63&gt;=N$3,$E63&lt;=N$3+6),"▼",IF(AND($E63&gt;=N$3,$E63&lt;=N$3+6),$A63,"")))</f>
        <v/>
      </c>
      <c r="O63" s="47" t="str">
        <f aca="false">IF($A63="","",IF(AND(INDEX(工程マスタ!$I$5:$I$154,$A63)="○",$E63&gt;=O$3,$E63&lt;=O$3+6),"▼",IF(AND($E63&gt;=O$3,$E63&lt;=O$3+6),$A63,"")))</f>
        <v/>
      </c>
      <c r="P63" s="47" t="str">
        <f aca="false">IF($A63="","",IF(AND(INDEX(工程マスタ!$I$5:$I$154,$A63)="○",$E63&gt;=P$3,$E63&lt;=P$3+6),"▼",IF(AND($E63&gt;=P$3,$E63&lt;=P$3+6),$A63,"")))</f>
        <v/>
      </c>
      <c r="Q63" s="47" t="str">
        <f aca="false">IF($A63="","",IF(AND(INDEX(工程マスタ!$I$5:$I$154,$A63)="○",$E63&gt;=Q$3,$E63&lt;=Q$3+6),"▼",IF(AND($E63&gt;=Q$3,$E63&lt;=Q$3+6),$A63,"")))</f>
        <v/>
      </c>
      <c r="R63" s="47" t="str">
        <f aca="false">IF($A63="","",IF(AND(INDEX(工程マスタ!$I$5:$I$154,$A63)="○",$E63&gt;=R$3,$E63&lt;=R$3+6),"▼",IF(AND($E63&gt;=R$3,$E63&lt;=R$3+6),$A63,"")))</f>
        <v/>
      </c>
      <c r="S63" s="47" t="str">
        <f aca="false">IF($A63="","",IF(AND(INDEX(工程マスタ!$I$5:$I$154,$A63)="○",$E63&gt;=S$3,$E63&lt;=S$3+6),"▼",IF(AND($E63&gt;=S$3,$E63&lt;=S$3+6),$A63,"")))</f>
        <v/>
      </c>
      <c r="T63" s="47" t="str">
        <f aca="false">IF($A63="","",IF(AND(INDEX(工程マスタ!$I$5:$I$154,$A63)="○",$E63&gt;=T$3,$E63&lt;=T$3+6),"▼",IF(AND($E63&gt;=T$3,$E63&lt;=T$3+6),$A63,"")))</f>
        <v/>
      </c>
      <c r="U63" s="47" t="str">
        <f aca="false">IF($A63="","",IF(AND(INDEX(工程マスタ!$I$5:$I$154,$A63)="○",$E63&gt;=U$3,$E63&lt;=U$3+6),"▼",IF(AND($E63&gt;=U$3,$E63&lt;=U$3+6),$A63,"")))</f>
        <v/>
      </c>
      <c r="V63" s="47" t="str">
        <f aca="false">IF($A63="","",IF(AND(INDEX(工程マスタ!$I$5:$I$154,$A63)="○",$E63&gt;=V$3,$E63&lt;=V$3+6),"▼",IF(AND($E63&gt;=V$3,$E63&lt;=V$3+6),$A63,"")))</f>
        <v/>
      </c>
      <c r="W63" s="47" t="str">
        <f aca="false">IF($A63="","",IF(AND(INDEX(工程マスタ!$I$5:$I$154,$A63)="○",$E63&gt;=W$3,$E63&lt;=W$3+6),"▼",IF(AND($E63&gt;=W$3,$E63&lt;=W$3+6),$A63,"")))</f>
        <v/>
      </c>
      <c r="X63" s="47" t="str">
        <f aca="false">IF($A63="","",IF(AND(INDEX(工程マスタ!$I$5:$I$154,$A63)="○",$E63&gt;=X$3,$E63&lt;=X$3+6),"▼",IF(AND($E63&gt;=X$3,$E63&lt;=X$3+6),$A63,"")))</f>
        <v/>
      </c>
      <c r="Y63" s="47" t="str">
        <f aca="false">IF($A63="","",IF(AND(INDEX(工程マスタ!$I$5:$I$154,$A63)="○",$E63&gt;=Y$3,$E63&lt;=Y$3+6),"▼",IF(AND($E63&gt;=Y$3,$E63&lt;=Y$3+6),$A63,"")))</f>
        <v/>
      </c>
      <c r="Z63" s="47" t="str">
        <f aca="false">IF($A63="","",IF(AND(INDEX(工程マスタ!$I$5:$I$154,$A63)="○",$E63&gt;=Z$3,$E63&lt;=Z$3+6),"▼",IF(AND($E63&gt;=Z$3,$E63&lt;=Z$3+6),$A63,"")))</f>
        <v/>
      </c>
      <c r="AA63" s="47" t="str">
        <f aca="false">IF($A63="","",IF(AND(INDEX(工程マスタ!$I$5:$I$154,$A63)="○",$E63&gt;=AA$3,$E63&lt;=AA$3+6),"▼",IF(AND($E63&gt;=AA$3,$E63&lt;=AA$3+6),$A63,"")))</f>
        <v/>
      </c>
      <c r="AB63" s="47" t="str">
        <f aca="false">IF($A63="","",IF(AND(INDEX(工程マスタ!$I$5:$I$154,$A63)="○",$E63&gt;=AB$3,$E63&lt;=AB$3+6),"▼",IF(AND($E63&gt;=AB$3,$E63&lt;=AB$3+6),$A63,"")))</f>
        <v/>
      </c>
      <c r="AC63" s="47" t="str">
        <f aca="false">IF($A63="","",IF(AND(INDEX(工程マスタ!$I$5:$I$154,$A63)="○",$E63&gt;=AC$3,$E63&lt;=AC$3+6),"▼",IF(AND($E63&gt;=AC$3,$E63&lt;=AC$3+6),$A63,"")))</f>
        <v/>
      </c>
      <c r="AD63" s="47" t="str">
        <f aca="false">IF($A63="","",IF(AND(INDEX(工程マスタ!$I$5:$I$154,$A63)="○",$E63&gt;=AD$3,$E63&lt;=AD$3+6),"▼",IF(AND($E63&gt;=AD$3,$E63&lt;=AD$3+6),$A63,"")))</f>
        <v/>
      </c>
      <c r="AE63" s="47" t="str">
        <f aca="false">IF($A63="","",IF(AND(INDEX(工程マスタ!$I$5:$I$154,$A63)="○",$E63&gt;=AE$3,$E63&lt;=AE$3+6),"▼",IF(AND($E63&gt;=AE$3,$E63&lt;=AE$3+6),$A63,"")))</f>
        <v/>
      </c>
      <c r="AF63" s="47" t="str">
        <f aca="false">IF($A63="","",IF(AND(INDEX(工程マスタ!$I$5:$I$154,$A63)="○",$E63&gt;=AF$3,$E63&lt;=AF$3+6),"▼",IF(AND($E63&gt;=AF$3,$E63&lt;=AF$3+6),$A63,"")))</f>
        <v/>
      </c>
      <c r="AG63" s="47" t="str">
        <f aca="false">IF($A63="","",IF(AND(INDEX(工程マスタ!$I$5:$I$154,$A63)="○",$E63&gt;=AG$3,$E63&lt;=AG$3+6),"▼",IF(AND($E63&gt;=AG$3,$E63&lt;=AG$3+6),$A63,"")))</f>
        <v/>
      </c>
      <c r="AH63" s="47" t="str">
        <f aca="false">IF($A63="","",IF(AND(INDEX(工程マスタ!$I$5:$I$154,$A63)="○",$E63&gt;=AH$3,$E63&lt;=AH$3+6),"▼",IF(AND($E63&gt;=AH$3,$E63&lt;=AH$3+6),$A63,"")))</f>
        <v/>
      </c>
      <c r="AI63" s="47" t="str">
        <f aca="false">IF($A63="","",IF(AND(INDEX(工程マスタ!$I$5:$I$154,$A63)="○",$E63&gt;=AI$3,$E63&lt;=AI$3+6),"▼",IF(AND($E63&gt;=AI$3,$E63&lt;=AI$3+6),$A63,"")))</f>
        <v/>
      </c>
      <c r="AJ63" s="47" t="str">
        <f aca="false">IF($A63="","",IF(AND(INDEX(工程マスタ!$I$5:$I$154,$A63)="○",$E63&gt;=AJ$3,$E63&lt;=AJ$3+6),"▼",IF(AND($E63&gt;=AJ$3,$E63&lt;=AJ$3+6),$A63,"")))</f>
        <v/>
      </c>
      <c r="AK63" s="47" t="str">
        <f aca="false">IF($A63="","",IF(AND(INDEX(工程マスタ!$I$5:$I$154,$A63)="○",$E63&gt;=AK$3,$E63&lt;=AK$3+6),"▼",IF(AND($E63&gt;=AK$3,$E63&lt;=AK$3+6),$A63,"")))</f>
        <v/>
      </c>
      <c r="AL63" s="47" t="str">
        <f aca="false">IF($A63="","",IF(AND(INDEX(工程マスタ!$I$5:$I$154,$A63)="○",$E63&gt;=AL$3,$E63&lt;=AL$3+6),"▼",IF(AND($E63&gt;=AL$3,$E63&lt;=AL$3+6),$A63,"")))</f>
        <v/>
      </c>
      <c r="AM63" s="47" t="str">
        <f aca="false">IF($A63="","",IF(AND(INDEX(工程マスタ!$I$5:$I$154,$A63)="○",$E63&gt;=AM$3,$E63&lt;=AM$3+6),"▼",IF(AND($E63&gt;=AM$3,$E63&lt;=AM$3+6),$A63,"")))</f>
        <v/>
      </c>
      <c r="AN63" s="47" t="str">
        <f aca="false">IF($A63="","",IF(AND(INDEX(工程マスタ!$I$5:$I$154,$A63)="○",$E63&gt;=AN$3,$E63&lt;=AN$3+6),"▼",IF(AND($E63&gt;=AN$3,$E63&lt;=AN$3+6),$A63,"")))</f>
        <v/>
      </c>
      <c r="AO63" s="47" t="str">
        <f aca="false">IF($A63="","",IF(AND(INDEX(工程マスタ!$I$5:$I$154,$A63)="○",$E63&gt;=AO$3,$E63&lt;=AO$3+6),"▼",IF(AND($E63&gt;=AO$3,$E63&lt;=AO$3+6),$A63,"")))</f>
        <v/>
      </c>
      <c r="AP63" s="47" t="str">
        <f aca="false">IF($A63="","",IF(AND(INDEX(工程マスタ!$I$5:$I$154,$A63)="○",$E63&gt;=AP$3,$E63&lt;=AP$3+6),"▼",IF(AND($E63&gt;=AP$3,$E63&lt;=AP$3+6),$A63,"")))</f>
        <v/>
      </c>
      <c r="AQ63" s="47" t="str">
        <f aca="false">IF($A63="","",IF(AND(INDEX(工程マスタ!$I$5:$I$154,$A63)="○",$E63&gt;=AQ$3,$E63&lt;=AQ$3+6),"▼",IF(AND($E63&gt;=AQ$3,$E63&lt;=AQ$3+6),$A63,"")))</f>
        <v/>
      </c>
      <c r="AR63" s="47" t="str">
        <f aca="false">IF($A63="","",IF(AND(INDEX(工程マスタ!$I$5:$I$154,$A63)="○",$E63&gt;=AR$3,$E63&lt;=AR$3+6),"▼",IF(AND($E63&gt;=AR$3,$E63&lt;=AR$3+6),$A63,"")))</f>
        <v/>
      </c>
      <c r="AS63" s="47" t="str">
        <f aca="false">IF($A63="","",IF(AND(INDEX(工程マスタ!$I$5:$I$154,$A63)="○",$E63&gt;=AS$3,$E63&lt;=AS$3+6),"▼",IF(AND($E63&gt;=AS$3,$E63&lt;=AS$3+6),$A63,"")))</f>
        <v/>
      </c>
      <c r="AT63" s="47" t="str">
        <f aca="false">IF($A63="","",IF(AND(INDEX(工程マスタ!$I$5:$I$154,$A63)="○",$E63&gt;=AT$3,$E63&lt;=AT$3+6),"▼",IF(AND($E63&gt;=AT$3,$E63&lt;=AT$3+6),$A63,"")))</f>
        <v/>
      </c>
      <c r="AU63" s="47" t="str">
        <f aca="false">IF($A63="","",IF(AND(INDEX(工程マスタ!$I$5:$I$154,$A63)="○",$E63&gt;=AU$3,$E63&lt;=AU$3+6),"▼",IF(AND($E63&gt;=AU$3,$E63&lt;=AU$3+6),$A63,"")))</f>
        <v/>
      </c>
      <c r="AV63" s="47" t="str">
        <f aca="false">IF($A63="","",IF(AND(INDEX(工程マスタ!$I$5:$I$154,$A63)="○",$E63&gt;=AV$3,$E63&lt;=AV$3+6),"▼",IF(AND($E63&gt;=AV$3,$E63&lt;=AV$3+6),$A63,"")))</f>
        <v/>
      </c>
      <c r="AW63" s="47" t="str">
        <f aca="false">IF($A63="","",IF(AND(INDEX(工程マスタ!$I$5:$I$154,$A63)="○",$E63&gt;=AW$3,$E63&lt;=AW$3+6),"▼",IF(AND($E63&gt;=AW$3,$E63&lt;=AW$3+6),$A63,"")))</f>
        <v/>
      </c>
      <c r="AX63" s="47" t="str">
        <f aca="false">IF($A63="","",IF(AND(INDEX(工程マスタ!$I$5:$I$154,$A63)="○",$E63&gt;=AX$3,$E63&lt;=AX$3+6),"▼",IF(AND($E63&gt;=AX$3,$E63&lt;=AX$3+6),$A63,"")))</f>
        <v/>
      </c>
      <c r="AY63" s="47" t="str">
        <f aca="false">IF($A63="","",IF(AND(INDEX(工程マスタ!$I$5:$I$154,$A63)="○",$E63&gt;=AY$3,$E63&lt;=AY$3+6),"▼",IF(AND($E63&gt;=AY$3,$E63&lt;=AY$3+6),$A63,"")))</f>
        <v/>
      </c>
      <c r="AZ63" s="47" t="str">
        <f aca="false">IF($A63="","",IF(AND(INDEX(工程マスタ!$I$5:$I$154,$A63)="○",$E63&gt;=AZ$3,$E63&lt;=AZ$3+6),"▼",IF(AND($E63&gt;=AZ$3,$E63&lt;=AZ$3+6),$A63,"")))</f>
        <v/>
      </c>
      <c r="BA63" s="47" t="str">
        <f aca="false">IF($A63="","",IF(AND(INDEX(工程マスタ!$I$5:$I$154,$A63)="○",$E63&gt;=BA$3,$E63&lt;=BA$3+6),"▼",IF(AND($E63&gt;=BA$3,$E63&lt;=BA$3+6),$A63,"")))</f>
        <v/>
      </c>
      <c r="BB63" s="47" t="str">
        <f aca="false">IF($A63="","",IF(AND(INDEX(工程マスタ!$I$5:$I$154,$A63)="○",$E63&gt;=BB$3,$E63&lt;=BB$3+6),"▼",IF(AND($E63&gt;=BB$3,$E63&lt;=BB$3+6),$A63,"")))</f>
        <v/>
      </c>
      <c r="BC63" s="47" t="str">
        <f aca="false">IF($A63="","",IF(AND(INDEX(工程マスタ!$I$5:$I$154,$A63)="○",$E63&gt;=BC$3,$E63&lt;=BC$3+6),"▼",IF(AND($E63&gt;=BC$3,$E63&lt;=BC$3+6),$A63,"")))</f>
        <v/>
      </c>
      <c r="BD63" s="47" t="str">
        <f aca="false">IF($A63="","",IF(AND(INDEX(工程マスタ!$I$5:$I$154,$A63)="○",$E63&gt;=BD$3,$E63&lt;=BD$3+6),"▼",IF(AND($E63&gt;=BD$3,$E63&lt;=BD$3+6),$A63,"")))</f>
        <v/>
      </c>
      <c r="BE63" s="47" t="str">
        <f aca="false">IF($A63="","",IF(AND(INDEX(工程マスタ!$I$5:$I$154,$A63)="○",$E63&gt;=BE$3,$E63&lt;=BE$3+6),"▼",IF(AND($E63&gt;=BE$3,$E63&lt;=BE$3+6),$A63,"")))</f>
        <v/>
      </c>
      <c r="BF63" s="47" t="str">
        <f aca="false">IF($A63="","",IF(AND(INDEX(工程マスタ!$I$5:$I$154,$A63)="○",$E63&gt;=BF$3,$E63&lt;=BF$3+6),"▼",IF(AND($E63&gt;=BF$3,$E63&lt;=BF$3+6),$A63,"")))</f>
        <v/>
      </c>
      <c r="BG63" s="47" t="str">
        <f aca="false">IF($A63="","",IF(AND(INDEX(工程マスタ!$I$5:$I$154,$A63)="○",$E63&gt;=BG$3,$E63&lt;=BG$3+6),"▼",IF(AND($E63&gt;=BG$3,$E63&lt;=BG$3+6),$A63,"")))</f>
        <v/>
      </c>
      <c r="BH63" s="47" t="str">
        <f aca="false">IF($A63="","",IF(AND(INDEX(工程マスタ!$I$5:$I$154,$A63)="○",$E63&gt;=BH$3,$E63&lt;=BH$3+6),"▼",IF(AND($E63&gt;=BH$3,$E63&lt;=BH$3+6),$A63,"")))</f>
        <v/>
      </c>
      <c r="BI63" s="47" t="str">
        <f aca="false">IF($A63="","",IF(AND(INDEX(工程マスタ!$I$5:$I$154,$A63)="○",$E63&gt;=BI$3,$E63&lt;=BI$3+6),"▼",IF(AND($E63&gt;=BI$3,$E63&lt;=BI$3+6),$A63,"")))</f>
        <v/>
      </c>
      <c r="BJ63" s="47" t="str">
        <f aca="false">IF($A63="","",IF(AND(INDEX(工程マスタ!$I$5:$I$154,$A63)="○",$E63&gt;=BJ$3,$E63&lt;=BJ$3+6),"▼",IF(AND($E63&gt;=BJ$3,$E63&lt;=BJ$3+6),$A63,"")))</f>
        <v/>
      </c>
    </row>
    <row r="64" customFormat="false" ht="15" hidden="false" customHeight="false" outlineLevel="0" collapsed="false">
      <c r="A64" s="28" t="str">
        <f aca="false">IF(工程マスタ!$C62="","",工程マスタ!$A62)</f>
        <v/>
      </c>
      <c r="B64" s="46" t="str">
        <f aca="false">IF($A64="","",工程マスタ!$C62)</f>
        <v/>
      </c>
      <c r="C64" s="28" t="str">
        <f aca="false">IF($A64="","",MAX(1,工程マスタ!$G62))</f>
        <v/>
      </c>
      <c r="D64" s="28" t="str">
        <f aca="false">IF($A64="","",_xlfn.TEXTJOIN(",",TRUE(),工程マスタ!$N62:$P62))</f>
        <v/>
      </c>
      <c r="E64" s="29" t="str">
        <f aca="false">IF($A64="","",IF(COUNT(工程マスタ!$N62:$P62)=0,設定!$B$8,MAX(IF(工程マスタ!$N62="",0,INDEX($F$7:$F$156,工程マスタ!$N62)),IF(工程マスタ!$O62="",0,INDEX($F$7:$F$156,工程マスタ!$O62)),IF(工程マスタ!$P62="",0,INDEX($F$7:$F$156,工程マスタ!$P62)))+1))</f>
        <v/>
      </c>
      <c r="F64" s="29" t="str">
        <f aca="false">IF($A64="","",$E64+$C64-1)</f>
        <v/>
      </c>
      <c r="G64" s="29" t="str">
        <f aca="false">IF($A64="","",$H64-$C64+1)</f>
        <v/>
      </c>
      <c r="H64" s="29" t="str">
        <f aca="false" t="array" ref="H64:H64">IF($A64="","",IF(SUMPRODUCT((工程マスタ!$N$63:$N$154=$A64)*1)+SUMPRODUCT((工程マスタ!$O$63:$O$154=$A64)*1)+SUMPRODUCT((工程マスタ!$P$63:$P$154=$A64)*1)=0,MAX($F$7:$F$156),MIN(IF((工程マスタ!$N$63:$N$154=$A64)+(工程マスタ!$O$63:$O$154=$A64)+(工程マスタ!$P$63:$P$154=$A64),$G65:$G$156))-1))</f>
        <v/>
      </c>
      <c r="I64" s="28" t="str">
        <f aca="false">IF($A64="","",$G64-$E64)</f>
        <v/>
      </c>
      <c r="J64" s="28" t="str">
        <f aca="false">IF($A64="","",IF($I64&lt;=0,"●",""))</f>
        <v/>
      </c>
      <c r="K64" s="47" t="str">
        <f aca="false">IF($A64="","",IF(AND(INDEX(工程マスタ!$I$5:$I$154,$A64)="○",$E64&gt;=K$3,$E64&lt;=K$3+6),"▼",IF(AND($E64&gt;=K$3,$E64&lt;=K$3+6),$A64,"")))</f>
        <v/>
      </c>
      <c r="L64" s="47" t="str">
        <f aca="false">IF($A64="","",IF(AND(INDEX(工程マスタ!$I$5:$I$154,$A64)="○",$E64&gt;=L$3,$E64&lt;=L$3+6),"▼",IF(AND($E64&gt;=L$3,$E64&lt;=L$3+6),$A64,"")))</f>
        <v/>
      </c>
      <c r="M64" s="47" t="str">
        <f aca="false">IF($A64="","",IF(AND(INDEX(工程マスタ!$I$5:$I$154,$A64)="○",$E64&gt;=M$3,$E64&lt;=M$3+6),"▼",IF(AND($E64&gt;=M$3,$E64&lt;=M$3+6),$A64,"")))</f>
        <v/>
      </c>
      <c r="N64" s="47" t="str">
        <f aca="false">IF($A64="","",IF(AND(INDEX(工程マスタ!$I$5:$I$154,$A64)="○",$E64&gt;=N$3,$E64&lt;=N$3+6),"▼",IF(AND($E64&gt;=N$3,$E64&lt;=N$3+6),$A64,"")))</f>
        <v/>
      </c>
      <c r="O64" s="47" t="str">
        <f aca="false">IF($A64="","",IF(AND(INDEX(工程マスタ!$I$5:$I$154,$A64)="○",$E64&gt;=O$3,$E64&lt;=O$3+6),"▼",IF(AND($E64&gt;=O$3,$E64&lt;=O$3+6),$A64,"")))</f>
        <v/>
      </c>
      <c r="P64" s="47" t="str">
        <f aca="false">IF($A64="","",IF(AND(INDEX(工程マスタ!$I$5:$I$154,$A64)="○",$E64&gt;=P$3,$E64&lt;=P$3+6),"▼",IF(AND($E64&gt;=P$3,$E64&lt;=P$3+6),$A64,"")))</f>
        <v/>
      </c>
      <c r="Q64" s="47" t="str">
        <f aca="false">IF($A64="","",IF(AND(INDEX(工程マスタ!$I$5:$I$154,$A64)="○",$E64&gt;=Q$3,$E64&lt;=Q$3+6),"▼",IF(AND($E64&gt;=Q$3,$E64&lt;=Q$3+6),$A64,"")))</f>
        <v/>
      </c>
      <c r="R64" s="47" t="str">
        <f aca="false">IF($A64="","",IF(AND(INDEX(工程マスタ!$I$5:$I$154,$A64)="○",$E64&gt;=R$3,$E64&lt;=R$3+6),"▼",IF(AND($E64&gt;=R$3,$E64&lt;=R$3+6),$A64,"")))</f>
        <v/>
      </c>
      <c r="S64" s="47" t="str">
        <f aca="false">IF($A64="","",IF(AND(INDEX(工程マスタ!$I$5:$I$154,$A64)="○",$E64&gt;=S$3,$E64&lt;=S$3+6),"▼",IF(AND($E64&gt;=S$3,$E64&lt;=S$3+6),$A64,"")))</f>
        <v/>
      </c>
      <c r="T64" s="47" t="str">
        <f aca="false">IF($A64="","",IF(AND(INDEX(工程マスタ!$I$5:$I$154,$A64)="○",$E64&gt;=T$3,$E64&lt;=T$3+6),"▼",IF(AND($E64&gt;=T$3,$E64&lt;=T$3+6),$A64,"")))</f>
        <v/>
      </c>
      <c r="U64" s="47" t="str">
        <f aca="false">IF($A64="","",IF(AND(INDEX(工程マスタ!$I$5:$I$154,$A64)="○",$E64&gt;=U$3,$E64&lt;=U$3+6),"▼",IF(AND($E64&gt;=U$3,$E64&lt;=U$3+6),$A64,"")))</f>
        <v/>
      </c>
      <c r="V64" s="47" t="str">
        <f aca="false">IF($A64="","",IF(AND(INDEX(工程マスタ!$I$5:$I$154,$A64)="○",$E64&gt;=V$3,$E64&lt;=V$3+6),"▼",IF(AND($E64&gt;=V$3,$E64&lt;=V$3+6),$A64,"")))</f>
        <v/>
      </c>
      <c r="W64" s="47" t="str">
        <f aca="false">IF($A64="","",IF(AND(INDEX(工程マスタ!$I$5:$I$154,$A64)="○",$E64&gt;=W$3,$E64&lt;=W$3+6),"▼",IF(AND($E64&gt;=W$3,$E64&lt;=W$3+6),$A64,"")))</f>
        <v/>
      </c>
      <c r="X64" s="47" t="str">
        <f aca="false">IF($A64="","",IF(AND(INDEX(工程マスタ!$I$5:$I$154,$A64)="○",$E64&gt;=X$3,$E64&lt;=X$3+6),"▼",IF(AND($E64&gt;=X$3,$E64&lt;=X$3+6),$A64,"")))</f>
        <v/>
      </c>
      <c r="Y64" s="47" t="str">
        <f aca="false">IF($A64="","",IF(AND(INDEX(工程マスタ!$I$5:$I$154,$A64)="○",$E64&gt;=Y$3,$E64&lt;=Y$3+6),"▼",IF(AND($E64&gt;=Y$3,$E64&lt;=Y$3+6),$A64,"")))</f>
        <v/>
      </c>
      <c r="Z64" s="47" t="str">
        <f aca="false">IF($A64="","",IF(AND(INDEX(工程マスタ!$I$5:$I$154,$A64)="○",$E64&gt;=Z$3,$E64&lt;=Z$3+6),"▼",IF(AND($E64&gt;=Z$3,$E64&lt;=Z$3+6),$A64,"")))</f>
        <v/>
      </c>
      <c r="AA64" s="47" t="str">
        <f aca="false">IF($A64="","",IF(AND(INDEX(工程マスタ!$I$5:$I$154,$A64)="○",$E64&gt;=AA$3,$E64&lt;=AA$3+6),"▼",IF(AND($E64&gt;=AA$3,$E64&lt;=AA$3+6),$A64,"")))</f>
        <v/>
      </c>
      <c r="AB64" s="47" t="str">
        <f aca="false">IF($A64="","",IF(AND(INDEX(工程マスタ!$I$5:$I$154,$A64)="○",$E64&gt;=AB$3,$E64&lt;=AB$3+6),"▼",IF(AND($E64&gt;=AB$3,$E64&lt;=AB$3+6),$A64,"")))</f>
        <v/>
      </c>
      <c r="AC64" s="47" t="str">
        <f aca="false">IF($A64="","",IF(AND(INDEX(工程マスタ!$I$5:$I$154,$A64)="○",$E64&gt;=AC$3,$E64&lt;=AC$3+6),"▼",IF(AND($E64&gt;=AC$3,$E64&lt;=AC$3+6),$A64,"")))</f>
        <v/>
      </c>
      <c r="AD64" s="47" t="str">
        <f aca="false">IF($A64="","",IF(AND(INDEX(工程マスタ!$I$5:$I$154,$A64)="○",$E64&gt;=AD$3,$E64&lt;=AD$3+6),"▼",IF(AND($E64&gt;=AD$3,$E64&lt;=AD$3+6),$A64,"")))</f>
        <v/>
      </c>
      <c r="AE64" s="47" t="str">
        <f aca="false">IF($A64="","",IF(AND(INDEX(工程マスタ!$I$5:$I$154,$A64)="○",$E64&gt;=AE$3,$E64&lt;=AE$3+6),"▼",IF(AND($E64&gt;=AE$3,$E64&lt;=AE$3+6),$A64,"")))</f>
        <v/>
      </c>
      <c r="AF64" s="47" t="str">
        <f aca="false">IF($A64="","",IF(AND(INDEX(工程マスタ!$I$5:$I$154,$A64)="○",$E64&gt;=AF$3,$E64&lt;=AF$3+6),"▼",IF(AND($E64&gt;=AF$3,$E64&lt;=AF$3+6),$A64,"")))</f>
        <v/>
      </c>
      <c r="AG64" s="47" t="str">
        <f aca="false">IF($A64="","",IF(AND(INDEX(工程マスタ!$I$5:$I$154,$A64)="○",$E64&gt;=AG$3,$E64&lt;=AG$3+6),"▼",IF(AND($E64&gt;=AG$3,$E64&lt;=AG$3+6),$A64,"")))</f>
        <v/>
      </c>
      <c r="AH64" s="47" t="str">
        <f aca="false">IF($A64="","",IF(AND(INDEX(工程マスタ!$I$5:$I$154,$A64)="○",$E64&gt;=AH$3,$E64&lt;=AH$3+6),"▼",IF(AND($E64&gt;=AH$3,$E64&lt;=AH$3+6),$A64,"")))</f>
        <v/>
      </c>
      <c r="AI64" s="47" t="str">
        <f aca="false">IF($A64="","",IF(AND(INDEX(工程マスタ!$I$5:$I$154,$A64)="○",$E64&gt;=AI$3,$E64&lt;=AI$3+6),"▼",IF(AND($E64&gt;=AI$3,$E64&lt;=AI$3+6),$A64,"")))</f>
        <v/>
      </c>
      <c r="AJ64" s="47" t="str">
        <f aca="false">IF($A64="","",IF(AND(INDEX(工程マスタ!$I$5:$I$154,$A64)="○",$E64&gt;=AJ$3,$E64&lt;=AJ$3+6),"▼",IF(AND($E64&gt;=AJ$3,$E64&lt;=AJ$3+6),$A64,"")))</f>
        <v/>
      </c>
      <c r="AK64" s="47" t="str">
        <f aca="false">IF($A64="","",IF(AND(INDEX(工程マスタ!$I$5:$I$154,$A64)="○",$E64&gt;=AK$3,$E64&lt;=AK$3+6),"▼",IF(AND($E64&gt;=AK$3,$E64&lt;=AK$3+6),$A64,"")))</f>
        <v/>
      </c>
      <c r="AL64" s="47" t="str">
        <f aca="false">IF($A64="","",IF(AND(INDEX(工程マスタ!$I$5:$I$154,$A64)="○",$E64&gt;=AL$3,$E64&lt;=AL$3+6),"▼",IF(AND($E64&gt;=AL$3,$E64&lt;=AL$3+6),$A64,"")))</f>
        <v/>
      </c>
      <c r="AM64" s="47" t="str">
        <f aca="false">IF($A64="","",IF(AND(INDEX(工程マスタ!$I$5:$I$154,$A64)="○",$E64&gt;=AM$3,$E64&lt;=AM$3+6),"▼",IF(AND($E64&gt;=AM$3,$E64&lt;=AM$3+6),$A64,"")))</f>
        <v/>
      </c>
      <c r="AN64" s="47" t="str">
        <f aca="false">IF($A64="","",IF(AND(INDEX(工程マスタ!$I$5:$I$154,$A64)="○",$E64&gt;=AN$3,$E64&lt;=AN$3+6),"▼",IF(AND($E64&gt;=AN$3,$E64&lt;=AN$3+6),$A64,"")))</f>
        <v/>
      </c>
      <c r="AO64" s="47" t="str">
        <f aca="false">IF($A64="","",IF(AND(INDEX(工程マスタ!$I$5:$I$154,$A64)="○",$E64&gt;=AO$3,$E64&lt;=AO$3+6),"▼",IF(AND($E64&gt;=AO$3,$E64&lt;=AO$3+6),$A64,"")))</f>
        <v/>
      </c>
      <c r="AP64" s="47" t="str">
        <f aca="false">IF($A64="","",IF(AND(INDEX(工程マスタ!$I$5:$I$154,$A64)="○",$E64&gt;=AP$3,$E64&lt;=AP$3+6),"▼",IF(AND($E64&gt;=AP$3,$E64&lt;=AP$3+6),$A64,"")))</f>
        <v/>
      </c>
      <c r="AQ64" s="47" t="str">
        <f aca="false">IF($A64="","",IF(AND(INDEX(工程マスタ!$I$5:$I$154,$A64)="○",$E64&gt;=AQ$3,$E64&lt;=AQ$3+6),"▼",IF(AND($E64&gt;=AQ$3,$E64&lt;=AQ$3+6),$A64,"")))</f>
        <v/>
      </c>
      <c r="AR64" s="47" t="str">
        <f aca="false">IF($A64="","",IF(AND(INDEX(工程マスタ!$I$5:$I$154,$A64)="○",$E64&gt;=AR$3,$E64&lt;=AR$3+6),"▼",IF(AND($E64&gt;=AR$3,$E64&lt;=AR$3+6),$A64,"")))</f>
        <v/>
      </c>
      <c r="AS64" s="47" t="str">
        <f aca="false">IF($A64="","",IF(AND(INDEX(工程マスタ!$I$5:$I$154,$A64)="○",$E64&gt;=AS$3,$E64&lt;=AS$3+6),"▼",IF(AND($E64&gt;=AS$3,$E64&lt;=AS$3+6),$A64,"")))</f>
        <v/>
      </c>
      <c r="AT64" s="47" t="str">
        <f aca="false">IF($A64="","",IF(AND(INDEX(工程マスタ!$I$5:$I$154,$A64)="○",$E64&gt;=AT$3,$E64&lt;=AT$3+6),"▼",IF(AND($E64&gt;=AT$3,$E64&lt;=AT$3+6),$A64,"")))</f>
        <v/>
      </c>
      <c r="AU64" s="47" t="str">
        <f aca="false">IF($A64="","",IF(AND(INDEX(工程マスタ!$I$5:$I$154,$A64)="○",$E64&gt;=AU$3,$E64&lt;=AU$3+6),"▼",IF(AND($E64&gt;=AU$3,$E64&lt;=AU$3+6),$A64,"")))</f>
        <v/>
      </c>
      <c r="AV64" s="47" t="str">
        <f aca="false">IF($A64="","",IF(AND(INDEX(工程マスタ!$I$5:$I$154,$A64)="○",$E64&gt;=AV$3,$E64&lt;=AV$3+6),"▼",IF(AND($E64&gt;=AV$3,$E64&lt;=AV$3+6),$A64,"")))</f>
        <v/>
      </c>
      <c r="AW64" s="47" t="str">
        <f aca="false">IF($A64="","",IF(AND(INDEX(工程マスタ!$I$5:$I$154,$A64)="○",$E64&gt;=AW$3,$E64&lt;=AW$3+6),"▼",IF(AND($E64&gt;=AW$3,$E64&lt;=AW$3+6),$A64,"")))</f>
        <v/>
      </c>
      <c r="AX64" s="47" t="str">
        <f aca="false">IF($A64="","",IF(AND(INDEX(工程マスタ!$I$5:$I$154,$A64)="○",$E64&gt;=AX$3,$E64&lt;=AX$3+6),"▼",IF(AND($E64&gt;=AX$3,$E64&lt;=AX$3+6),$A64,"")))</f>
        <v/>
      </c>
      <c r="AY64" s="47" t="str">
        <f aca="false">IF($A64="","",IF(AND(INDEX(工程マスタ!$I$5:$I$154,$A64)="○",$E64&gt;=AY$3,$E64&lt;=AY$3+6),"▼",IF(AND($E64&gt;=AY$3,$E64&lt;=AY$3+6),$A64,"")))</f>
        <v/>
      </c>
      <c r="AZ64" s="47" t="str">
        <f aca="false">IF($A64="","",IF(AND(INDEX(工程マスタ!$I$5:$I$154,$A64)="○",$E64&gt;=AZ$3,$E64&lt;=AZ$3+6),"▼",IF(AND($E64&gt;=AZ$3,$E64&lt;=AZ$3+6),$A64,"")))</f>
        <v/>
      </c>
      <c r="BA64" s="47" t="str">
        <f aca="false">IF($A64="","",IF(AND(INDEX(工程マスタ!$I$5:$I$154,$A64)="○",$E64&gt;=BA$3,$E64&lt;=BA$3+6),"▼",IF(AND($E64&gt;=BA$3,$E64&lt;=BA$3+6),$A64,"")))</f>
        <v/>
      </c>
      <c r="BB64" s="47" t="str">
        <f aca="false">IF($A64="","",IF(AND(INDEX(工程マスタ!$I$5:$I$154,$A64)="○",$E64&gt;=BB$3,$E64&lt;=BB$3+6),"▼",IF(AND($E64&gt;=BB$3,$E64&lt;=BB$3+6),$A64,"")))</f>
        <v/>
      </c>
      <c r="BC64" s="47" t="str">
        <f aca="false">IF($A64="","",IF(AND(INDEX(工程マスタ!$I$5:$I$154,$A64)="○",$E64&gt;=BC$3,$E64&lt;=BC$3+6),"▼",IF(AND($E64&gt;=BC$3,$E64&lt;=BC$3+6),$A64,"")))</f>
        <v/>
      </c>
      <c r="BD64" s="47" t="str">
        <f aca="false">IF($A64="","",IF(AND(INDEX(工程マスタ!$I$5:$I$154,$A64)="○",$E64&gt;=BD$3,$E64&lt;=BD$3+6),"▼",IF(AND($E64&gt;=BD$3,$E64&lt;=BD$3+6),$A64,"")))</f>
        <v/>
      </c>
      <c r="BE64" s="47" t="str">
        <f aca="false">IF($A64="","",IF(AND(INDEX(工程マスタ!$I$5:$I$154,$A64)="○",$E64&gt;=BE$3,$E64&lt;=BE$3+6),"▼",IF(AND($E64&gt;=BE$3,$E64&lt;=BE$3+6),$A64,"")))</f>
        <v/>
      </c>
      <c r="BF64" s="47" t="str">
        <f aca="false">IF($A64="","",IF(AND(INDEX(工程マスタ!$I$5:$I$154,$A64)="○",$E64&gt;=BF$3,$E64&lt;=BF$3+6),"▼",IF(AND($E64&gt;=BF$3,$E64&lt;=BF$3+6),$A64,"")))</f>
        <v/>
      </c>
      <c r="BG64" s="47" t="str">
        <f aca="false">IF($A64="","",IF(AND(INDEX(工程マスタ!$I$5:$I$154,$A64)="○",$E64&gt;=BG$3,$E64&lt;=BG$3+6),"▼",IF(AND($E64&gt;=BG$3,$E64&lt;=BG$3+6),$A64,"")))</f>
        <v/>
      </c>
      <c r="BH64" s="47" t="str">
        <f aca="false">IF($A64="","",IF(AND(INDEX(工程マスタ!$I$5:$I$154,$A64)="○",$E64&gt;=BH$3,$E64&lt;=BH$3+6),"▼",IF(AND($E64&gt;=BH$3,$E64&lt;=BH$3+6),$A64,"")))</f>
        <v/>
      </c>
      <c r="BI64" s="47" t="str">
        <f aca="false">IF($A64="","",IF(AND(INDEX(工程マスタ!$I$5:$I$154,$A64)="○",$E64&gt;=BI$3,$E64&lt;=BI$3+6),"▼",IF(AND($E64&gt;=BI$3,$E64&lt;=BI$3+6),$A64,"")))</f>
        <v/>
      </c>
      <c r="BJ64" s="47" t="str">
        <f aca="false">IF($A64="","",IF(AND(INDEX(工程マスタ!$I$5:$I$154,$A64)="○",$E64&gt;=BJ$3,$E64&lt;=BJ$3+6),"▼",IF(AND($E64&gt;=BJ$3,$E64&lt;=BJ$3+6),$A64,"")))</f>
        <v/>
      </c>
    </row>
    <row r="65" customFormat="false" ht="15" hidden="false" customHeight="false" outlineLevel="0" collapsed="false">
      <c r="A65" s="28" t="str">
        <f aca="false">IF(工程マスタ!$C63="","",工程マスタ!$A63)</f>
        <v/>
      </c>
      <c r="B65" s="46" t="str">
        <f aca="false">IF($A65="","",工程マスタ!$C63)</f>
        <v/>
      </c>
      <c r="C65" s="28" t="str">
        <f aca="false">IF($A65="","",MAX(1,工程マスタ!$G63))</f>
        <v/>
      </c>
      <c r="D65" s="28" t="str">
        <f aca="false">IF($A65="","",_xlfn.TEXTJOIN(",",TRUE(),工程マスタ!$N63:$P63))</f>
        <v/>
      </c>
      <c r="E65" s="29" t="str">
        <f aca="false">IF($A65="","",IF(COUNT(工程マスタ!$N63:$P63)=0,設定!$B$8,MAX(IF(工程マスタ!$N63="",0,INDEX($F$7:$F$156,工程マスタ!$N63)),IF(工程マスタ!$O63="",0,INDEX($F$7:$F$156,工程マスタ!$O63)),IF(工程マスタ!$P63="",0,INDEX($F$7:$F$156,工程マスタ!$P63)))+1))</f>
        <v/>
      </c>
      <c r="F65" s="29" t="str">
        <f aca="false">IF($A65="","",$E65+$C65-1)</f>
        <v/>
      </c>
      <c r="G65" s="29" t="str">
        <f aca="false">IF($A65="","",$H65-$C65+1)</f>
        <v/>
      </c>
      <c r="H65" s="29" t="str">
        <f aca="false" t="array" ref="H65:H65">IF($A65="","",IF(SUMPRODUCT((工程マスタ!$N$64:$N$154=$A65)*1)+SUMPRODUCT((工程マスタ!$O$64:$O$154=$A65)*1)+SUMPRODUCT((工程マスタ!$P$64:$P$154=$A65)*1)=0,MAX($F$7:$F$156),MIN(IF((工程マスタ!$N$64:$N$154=$A65)+(工程マスタ!$O$64:$O$154=$A65)+(工程マスタ!$P$64:$P$154=$A65),$G66:$G$156))-1))</f>
        <v/>
      </c>
      <c r="I65" s="28" t="str">
        <f aca="false">IF($A65="","",$G65-$E65)</f>
        <v/>
      </c>
      <c r="J65" s="28" t="str">
        <f aca="false">IF($A65="","",IF($I65&lt;=0,"●",""))</f>
        <v/>
      </c>
      <c r="K65" s="47" t="str">
        <f aca="false">IF($A65="","",IF(AND(INDEX(工程マスタ!$I$5:$I$154,$A65)="○",$E65&gt;=K$3,$E65&lt;=K$3+6),"▼",IF(AND($E65&gt;=K$3,$E65&lt;=K$3+6),$A65,"")))</f>
        <v/>
      </c>
      <c r="L65" s="47" t="str">
        <f aca="false">IF($A65="","",IF(AND(INDEX(工程マスタ!$I$5:$I$154,$A65)="○",$E65&gt;=L$3,$E65&lt;=L$3+6),"▼",IF(AND($E65&gt;=L$3,$E65&lt;=L$3+6),$A65,"")))</f>
        <v/>
      </c>
      <c r="M65" s="47" t="str">
        <f aca="false">IF($A65="","",IF(AND(INDEX(工程マスタ!$I$5:$I$154,$A65)="○",$E65&gt;=M$3,$E65&lt;=M$3+6),"▼",IF(AND($E65&gt;=M$3,$E65&lt;=M$3+6),$A65,"")))</f>
        <v/>
      </c>
      <c r="N65" s="47" t="str">
        <f aca="false">IF($A65="","",IF(AND(INDEX(工程マスタ!$I$5:$I$154,$A65)="○",$E65&gt;=N$3,$E65&lt;=N$3+6),"▼",IF(AND($E65&gt;=N$3,$E65&lt;=N$3+6),$A65,"")))</f>
        <v/>
      </c>
      <c r="O65" s="47" t="str">
        <f aca="false">IF($A65="","",IF(AND(INDEX(工程マスタ!$I$5:$I$154,$A65)="○",$E65&gt;=O$3,$E65&lt;=O$3+6),"▼",IF(AND($E65&gt;=O$3,$E65&lt;=O$3+6),$A65,"")))</f>
        <v/>
      </c>
      <c r="P65" s="47" t="str">
        <f aca="false">IF($A65="","",IF(AND(INDEX(工程マスタ!$I$5:$I$154,$A65)="○",$E65&gt;=P$3,$E65&lt;=P$3+6),"▼",IF(AND($E65&gt;=P$3,$E65&lt;=P$3+6),$A65,"")))</f>
        <v/>
      </c>
      <c r="Q65" s="47" t="str">
        <f aca="false">IF($A65="","",IF(AND(INDEX(工程マスタ!$I$5:$I$154,$A65)="○",$E65&gt;=Q$3,$E65&lt;=Q$3+6),"▼",IF(AND($E65&gt;=Q$3,$E65&lt;=Q$3+6),$A65,"")))</f>
        <v/>
      </c>
      <c r="R65" s="47" t="str">
        <f aca="false">IF($A65="","",IF(AND(INDEX(工程マスタ!$I$5:$I$154,$A65)="○",$E65&gt;=R$3,$E65&lt;=R$3+6),"▼",IF(AND($E65&gt;=R$3,$E65&lt;=R$3+6),$A65,"")))</f>
        <v/>
      </c>
      <c r="S65" s="47" t="str">
        <f aca="false">IF($A65="","",IF(AND(INDEX(工程マスタ!$I$5:$I$154,$A65)="○",$E65&gt;=S$3,$E65&lt;=S$3+6),"▼",IF(AND($E65&gt;=S$3,$E65&lt;=S$3+6),$A65,"")))</f>
        <v/>
      </c>
      <c r="T65" s="47" t="str">
        <f aca="false">IF($A65="","",IF(AND(INDEX(工程マスタ!$I$5:$I$154,$A65)="○",$E65&gt;=T$3,$E65&lt;=T$3+6),"▼",IF(AND($E65&gt;=T$3,$E65&lt;=T$3+6),$A65,"")))</f>
        <v/>
      </c>
      <c r="U65" s="47" t="str">
        <f aca="false">IF($A65="","",IF(AND(INDEX(工程マスタ!$I$5:$I$154,$A65)="○",$E65&gt;=U$3,$E65&lt;=U$3+6),"▼",IF(AND($E65&gt;=U$3,$E65&lt;=U$3+6),$A65,"")))</f>
        <v/>
      </c>
      <c r="V65" s="47" t="str">
        <f aca="false">IF($A65="","",IF(AND(INDEX(工程マスタ!$I$5:$I$154,$A65)="○",$E65&gt;=V$3,$E65&lt;=V$3+6),"▼",IF(AND($E65&gt;=V$3,$E65&lt;=V$3+6),$A65,"")))</f>
        <v/>
      </c>
      <c r="W65" s="47" t="str">
        <f aca="false">IF($A65="","",IF(AND(INDEX(工程マスタ!$I$5:$I$154,$A65)="○",$E65&gt;=W$3,$E65&lt;=W$3+6),"▼",IF(AND($E65&gt;=W$3,$E65&lt;=W$3+6),$A65,"")))</f>
        <v/>
      </c>
      <c r="X65" s="47" t="str">
        <f aca="false">IF($A65="","",IF(AND(INDEX(工程マスタ!$I$5:$I$154,$A65)="○",$E65&gt;=X$3,$E65&lt;=X$3+6),"▼",IF(AND($E65&gt;=X$3,$E65&lt;=X$3+6),$A65,"")))</f>
        <v/>
      </c>
      <c r="Y65" s="47" t="str">
        <f aca="false">IF($A65="","",IF(AND(INDEX(工程マスタ!$I$5:$I$154,$A65)="○",$E65&gt;=Y$3,$E65&lt;=Y$3+6),"▼",IF(AND($E65&gt;=Y$3,$E65&lt;=Y$3+6),$A65,"")))</f>
        <v/>
      </c>
      <c r="Z65" s="47" t="str">
        <f aca="false">IF($A65="","",IF(AND(INDEX(工程マスタ!$I$5:$I$154,$A65)="○",$E65&gt;=Z$3,$E65&lt;=Z$3+6),"▼",IF(AND($E65&gt;=Z$3,$E65&lt;=Z$3+6),$A65,"")))</f>
        <v/>
      </c>
      <c r="AA65" s="47" t="str">
        <f aca="false">IF($A65="","",IF(AND(INDEX(工程マスタ!$I$5:$I$154,$A65)="○",$E65&gt;=AA$3,$E65&lt;=AA$3+6),"▼",IF(AND($E65&gt;=AA$3,$E65&lt;=AA$3+6),$A65,"")))</f>
        <v/>
      </c>
      <c r="AB65" s="47" t="str">
        <f aca="false">IF($A65="","",IF(AND(INDEX(工程マスタ!$I$5:$I$154,$A65)="○",$E65&gt;=AB$3,$E65&lt;=AB$3+6),"▼",IF(AND($E65&gt;=AB$3,$E65&lt;=AB$3+6),$A65,"")))</f>
        <v/>
      </c>
      <c r="AC65" s="47" t="str">
        <f aca="false">IF($A65="","",IF(AND(INDEX(工程マスタ!$I$5:$I$154,$A65)="○",$E65&gt;=AC$3,$E65&lt;=AC$3+6),"▼",IF(AND($E65&gt;=AC$3,$E65&lt;=AC$3+6),$A65,"")))</f>
        <v/>
      </c>
      <c r="AD65" s="47" t="str">
        <f aca="false">IF($A65="","",IF(AND(INDEX(工程マスタ!$I$5:$I$154,$A65)="○",$E65&gt;=AD$3,$E65&lt;=AD$3+6),"▼",IF(AND($E65&gt;=AD$3,$E65&lt;=AD$3+6),$A65,"")))</f>
        <v/>
      </c>
      <c r="AE65" s="47" t="str">
        <f aca="false">IF($A65="","",IF(AND(INDEX(工程マスタ!$I$5:$I$154,$A65)="○",$E65&gt;=AE$3,$E65&lt;=AE$3+6),"▼",IF(AND($E65&gt;=AE$3,$E65&lt;=AE$3+6),$A65,"")))</f>
        <v/>
      </c>
      <c r="AF65" s="47" t="str">
        <f aca="false">IF($A65="","",IF(AND(INDEX(工程マスタ!$I$5:$I$154,$A65)="○",$E65&gt;=AF$3,$E65&lt;=AF$3+6),"▼",IF(AND($E65&gt;=AF$3,$E65&lt;=AF$3+6),$A65,"")))</f>
        <v/>
      </c>
      <c r="AG65" s="47" t="str">
        <f aca="false">IF($A65="","",IF(AND(INDEX(工程マスタ!$I$5:$I$154,$A65)="○",$E65&gt;=AG$3,$E65&lt;=AG$3+6),"▼",IF(AND($E65&gt;=AG$3,$E65&lt;=AG$3+6),$A65,"")))</f>
        <v/>
      </c>
      <c r="AH65" s="47" t="str">
        <f aca="false">IF($A65="","",IF(AND(INDEX(工程マスタ!$I$5:$I$154,$A65)="○",$E65&gt;=AH$3,$E65&lt;=AH$3+6),"▼",IF(AND($E65&gt;=AH$3,$E65&lt;=AH$3+6),$A65,"")))</f>
        <v/>
      </c>
      <c r="AI65" s="47" t="str">
        <f aca="false">IF($A65="","",IF(AND(INDEX(工程マスタ!$I$5:$I$154,$A65)="○",$E65&gt;=AI$3,$E65&lt;=AI$3+6),"▼",IF(AND($E65&gt;=AI$3,$E65&lt;=AI$3+6),$A65,"")))</f>
        <v/>
      </c>
      <c r="AJ65" s="47" t="str">
        <f aca="false">IF($A65="","",IF(AND(INDEX(工程マスタ!$I$5:$I$154,$A65)="○",$E65&gt;=AJ$3,$E65&lt;=AJ$3+6),"▼",IF(AND($E65&gt;=AJ$3,$E65&lt;=AJ$3+6),$A65,"")))</f>
        <v/>
      </c>
      <c r="AK65" s="47" t="str">
        <f aca="false">IF($A65="","",IF(AND(INDEX(工程マスタ!$I$5:$I$154,$A65)="○",$E65&gt;=AK$3,$E65&lt;=AK$3+6),"▼",IF(AND($E65&gt;=AK$3,$E65&lt;=AK$3+6),$A65,"")))</f>
        <v/>
      </c>
      <c r="AL65" s="47" t="str">
        <f aca="false">IF($A65="","",IF(AND(INDEX(工程マスタ!$I$5:$I$154,$A65)="○",$E65&gt;=AL$3,$E65&lt;=AL$3+6),"▼",IF(AND($E65&gt;=AL$3,$E65&lt;=AL$3+6),$A65,"")))</f>
        <v/>
      </c>
      <c r="AM65" s="47" t="str">
        <f aca="false">IF($A65="","",IF(AND(INDEX(工程マスタ!$I$5:$I$154,$A65)="○",$E65&gt;=AM$3,$E65&lt;=AM$3+6),"▼",IF(AND($E65&gt;=AM$3,$E65&lt;=AM$3+6),$A65,"")))</f>
        <v/>
      </c>
      <c r="AN65" s="47" t="str">
        <f aca="false">IF($A65="","",IF(AND(INDEX(工程マスタ!$I$5:$I$154,$A65)="○",$E65&gt;=AN$3,$E65&lt;=AN$3+6),"▼",IF(AND($E65&gt;=AN$3,$E65&lt;=AN$3+6),$A65,"")))</f>
        <v/>
      </c>
      <c r="AO65" s="47" t="str">
        <f aca="false">IF($A65="","",IF(AND(INDEX(工程マスタ!$I$5:$I$154,$A65)="○",$E65&gt;=AO$3,$E65&lt;=AO$3+6),"▼",IF(AND($E65&gt;=AO$3,$E65&lt;=AO$3+6),$A65,"")))</f>
        <v/>
      </c>
      <c r="AP65" s="47" t="str">
        <f aca="false">IF($A65="","",IF(AND(INDEX(工程マスタ!$I$5:$I$154,$A65)="○",$E65&gt;=AP$3,$E65&lt;=AP$3+6),"▼",IF(AND($E65&gt;=AP$3,$E65&lt;=AP$3+6),$A65,"")))</f>
        <v/>
      </c>
      <c r="AQ65" s="47" t="str">
        <f aca="false">IF($A65="","",IF(AND(INDEX(工程マスタ!$I$5:$I$154,$A65)="○",$E65&gt;=AQ$3,$E65&lt;=AQ$3+6),"▼",IF(AND($E65&gt;=AQ$3,$E65&lt;=AQ$3+6),$A65,"")))</f>
        <v/>
      </c>
      <c r="AR65" s="47" t="str">
        <f aca="false">IF($A65="","",IF(AND(INDEX(工程マスタ!$I$5:$I$154,$A65)="○",$E65&gt;=AR$3,$E65&lt;=AR$3+6),"▼",IF(AND($E65&gt;=AR$3,$E65&lt;=AR$3+6),$A65,"")))</f>
        <v/>
      </c>
      <c r="AS65" s="47" t="str">
        <f aca="false">IF($A65="","",IF(AND(INDEX(工程マスタ!$I$5:$I$154,$A65)="○",$E65&gt;=AS$3,$E65&lt;=AS$3+6),"▼",IF(AND($E65&gt;=AS$3,$E65&lt;=AS$3+6),$A65,"")))</f>
        <v/>
      </c>
      <c r="AT65" s="47" t="str">
        <f aca="false">IF($A65="","",IF(AND(INDEX(工程マスタ!$I$5:$I$154,$A65)="○",$E65&gt;=AT$3,$E65&lt;=AT$3+6),"▼",IF(AND($E65&gt;=AT$3,$E65&lt;=AT$3+6),$A65,"")))</f>
        <v/>
      </c>
      <c r="AU65" s="47" t="str">
        <f aca="false">IF($A65="","",IF(AND(INDEX(工程マスタ!$I$5:$I$154,$A65)="○",$E65&gt;=AU$3,$E65&lt;=AU$3+6),"▼",IF(AND($E65&gt;=AU$3,$E65&lt;=AU$3+6),$A65,"")))</f>
        <v/>
      </c>
      <c r="AV65" s="47" t="str">
        <f aca="false">IF($A65="","",IF(AND(INDEX(工程マスタ!$I$5:$I$154,$A65)="○",$E65&gt;=AV$3,$E65&lt;=AV$3+6),"▼",IF(AND($E65&gt;=AV$3,$E65&lt;=AV$3+6),$A65,"")))</f>
        <v/>
      </c>
      <c r="AW65" s="47" t="str">
        <f aca="false">IF($A65="","",IF(AND(INDEX(工程マスタ!$I$5:$I$154,$A65)="○",$E65&gt;=AW$3,$E65&lt;=AW$3+6),"▼",IF(AND($E65&gt;=AW$3,$E65&lt;=AW$3+6),$A65,"")))</f>
        <v/>
      </c>
      <c r="AX65" s="47" t="str">
        <f aca="false">IF($A65="","",IF(AND(INDEX(工程マスタ!$I$5:$I$154,$A65)="○",$E65&gt;=AX$3,$E65&lt;=AX$3+6),"▼",IF(AND($E65&gt;=AX$3,$E65&lt;=AX$3+6),$A65,"")))</f>
        <v/>
      </c>
      <c r="AY65" s="47" t="str">
        <f aca="false">IF($A65="","",IF(AND(INDEX(工程マスタ!$I$5:$I$154,$A65)="○",$E65&gt;=AY$3,$E65&lt;=AY$3+6),"▼",IF(AND($E65&gt;=AY$3,$E65&lt;=AY$3+6),$A65,"")))</f>
        <v/>
      </c>
      <c r="AZ65" s="47" t="str">
        <f aca="false">IF($A65="","",IF(AND(INDEX(工程マスタ!$I$5:$I$154,$A65)="○",$E65&gt;=AZ$3,$E65&lt;=AZ$3+6),"▼",IF(AND($E65&gt;=AZ$3,$E65&lt;=AZ$3+6),$A65,"")))</f>
        <v/>
      </c>
      <c r="BA65" s="47" t="str">
        <f aca="false">IF($A65="","",IF(AND(INDEX(工程マスタ!$I$5:$I$154,$A65)="○",$E65&gt;=BA$3,$E65&lt;=BA$3+6),"▼",IF(AND($E65&gt;=BA$3,$E65&lt;=BA$3+6),$A65,"")))</f>
        <v/>
      </c>
      <c r="BB65" s="47" t="str">
        <f aca="false">IF($A65="","",IF(AND(INDEX(工程マスタ!$I$5:$I$154,$A65)="○",$E65&gt;=BB$3,$E65&lt;=BB$3+6),"▼",IF(AND($E65&gt;=BB$3,$E65&lt;=BB$3+6),$A65,"")))</f>
        <v/>
      </c>
      <c r="BC65" s="47" t="str">
        <f aca="false">IF($A65="","",IF(AND(INDEX(工程マスタ!$I$5:$I$154,$A65)="○",$E65&gt;=BC$3,$E65&lt;=BC$3+6),"▼",IF(AND($E65&gt;=BC$3,$E65&lt;=BC$3+6),$A65,"")))</f>
        <v/>
      </c>
      <c r="BD65" s="47" t="str">
        <f aca="false">IF($A65="","",IF(AND(INDEX(工程マスタ!$I$5:$I$154,$A65)="○",$E65&gt;=BD$3,$E65&lt;=BD$3+6),"▼",IF(AND($E65&gt;=BD$3,$E65&lt;=BD$3+6),$A65,"")))</f>
        <v/>
      </c>
      <c r="BE65" s="47" t="str">
        <f aca="false">IF($A65="","",IF(AND(INDEX(工程マスタ!$I$5:$I$154,$A65)="○",$E65&gt;=BE$3,$E65&lt;=BE$3+6),"▼",IF(AND($E65&gt;=BE$3,$E65&lt;=BE$3+6),$A65,"")))</f>
        <v/>
      </c>
      <c r="BF65" s="47" t="str">
        <f aca="false">IF($A65="","",IF(AND(INDEX(工程マスタ!$I$5:$I$154,$A65)="○",$E65&gt;=BF$3,$E65&lt;=BF$3+6),"▼",IF(AND($E65&gt;=BF$3,$E65&lt;=BF$3+6),$A65,"")))</f>
        <v/>
      </c>
      <c r="BG65" s="47" t="str">
        <f aca="false">IF($A65="","",IF(AND(INDEX(工程マスタ!$I$5:$I$154,$A65)="○",$E65&gt;=BG$3,$E65&lt;=BG$3+6),"▼",IF(AND($E65&gt;=BG$3,$E65&lt;=BG$3+6),$A65,"")))</f>
        <v/>
      </c>
      <c r="BH65" s="47" t="str">
        <f aca="false">IF($A65="","",IF(AND(INDEX(工程マスタ!$I$5:$I$154,$A65)="○",$E65&gt;=BH$3,$E65&lt;=BH$3+6),"▼",IF(AND($E65&gt;=BH$3,$E65&lt;=BH$3+6),$A65,"")))</f>
        <v/>
      </c>
      <c r="BI65" s="47" t="str">
        <f aca="false">IF($A65="","",IF(AND(INDEX(工程マスタ!$I$5:$I$154,$A65)="○",$E65&gt;=BI$3,$E65&lt;=BI$3+6),"▼",IF(AND($E65&gt;=BI$3,$E65&lt;=BI$3+6),$A65,"")))</f>
        <v/>
      </c>
      <c r="BJ65" s="47" t="str">
        <f aca="false">IF($A65="","",IF(AND(INDEX(工程マスタ!$I$5:$I$154,$A65)="○",$E65&gt;=BJ$3,$E65&lt;=BJ$3+6),"▼",IF(AND($E65&gt;=BJ$3,$E65&lt;=BJ$3+6),$A65,"")))</f>
        <v/>
      </c>
    </row>
    <row r="66" customFormat="false" ht="15" hidden="false" customHeight="false" outlineLevel="0" collapsed="false">
      <c r="A66" s="28" t="str">
        <f aca="false">IF(工程マスタ!$C64="","",工程マスタ!$A64)</f>
        <v/>
      </c>
      <c r="B66" s="46" t="str">
        <f aca="false">IF($A66="","",工程マスタ!$C64)</f>
        <v/>
      </c>
      <c r="C66" s="28" t="str">
        <f aca="false">IF($A66="","",MAX(1,工程マスタ!$G64))</f>
        <v/>
      </c>
      <c r="D66" s="28" t="str">
        <f aca="false">IF($A66="","",_xlfn.TEXTJOIN(",",TRUE(),工程マスタ!$N64:$P64))</f>
        <v/>
      </c>
      <c r="E66" s="29" t="str">
        <f aca="false">IF($A66="","",IF(COUNT(工程マスタ!$N64:$P64)=0,設定!$B$8,MAX(IF(工程マスタ!$N64="",0,INDEX($F$7:$F$156,工程マスタ!$N64)),IF(工程マスタ!$O64="",0,INDEX($F$7:$F$156,工程マスタ!$O64)),IF(工程マスタ!$P64="",0,INDEX($F$7:$F$156,工程マスタ!$P64)))+1))</f>
        <v/>
      </c>
      <c r="F66" s="29" t="str">
        <f aca="false">IF($A66="","",$E66+$C66-1)</f>
        <v/>
      </c>
      <c r="G66" s="29" t="str">
        <f aca="false">IF($A66="","",$H66-$C66+1)</f>
        <v/>
      </c>
      <c r="H66" s="29" t="str">
        <f aca="false" t="array" ref="H66:H66">IF($A66="","",IF(SUMPRODUCT((工程マスタ!$N$65:$N$154=$A66)*1)+SUMPRODUCT((工程マスタ!$O$65:$O$154=$A66)*1)+SUMPRODUCT((工程マスタ!$P$65:$P$154=$A66)*1)=0,MAX($F$7:$F$156),MIN(IF((工程マスタ!$N$65:$N$154=$A66)+(工程マスタ!$O$65:$O$154=$A66)+(工程マスタ!$P$65:$P$154=$A66),$G67:$G$156))-1))</f>
        <v/>
      </c>
      <c r="I66" s="28" t="str">
        <f aca="false">IF($A66="","",$G66-$E66)</f>
        <v/>
      </c>
      <c r="J66" s="28" t="str">
        <f aca="false">IF($A66="","",IF($I66&lt;=0,"●",""))</f>
        <v/>
      </c>
      <c r="K66" s="47" t="str">
        <f aca="false">IF($A66="","",IF(AND(INDEX(工程マスタ!$I$5:$I$154,$A66)="○",$E66&gt;=K$3,$E66&lt;=K$3+6),"▼",IF(AND($E66&gt;=K$3,$E66&lt;=K$3+6),$A66,"")))</f>
        <v/>
      </c>
      <c r="L66" s="47" t="str">
        <f aca="false">IF($A66="","",IF(AND(INDEX(工程マスタ!$I$5:$I$154,$A66)="○",$E66&gt;=L$3,$E66&lt;=L$3+6),"▼",IF(AND($E66&gt;=L$3,$E66&lt;=L$3+6),$A66,"")))</f>
        <v/>
      </c>
      <c r="M66" s="47" t="str">
        <f aca="false">IF($A66="","",IF(AND(INDEX(工程マスタ!$I$5:$I$154,$A66)="○",$E66&gt;=M$3,$E66&lt;=M$3+6),"▼",IF(AND($E66&gt;=M$3,$E66&lt;=M$3+6),$A66,"")))</f>
        <v/>
      </c>
      <c r="N66" s="47" t="str">
        <f aca="false">IF($A66="","",IF(AND(INDEX(工程マスタ!$I$5:$I$154,$A66)="○",$E66&gt;=N$3,$E66&lt;=N$3+6),"▼",IF(AND($E66&gt;=N$3,$E66&lt;=N$3+6),$A66,"")))</f>
        <v/>
      </c>
      <c r="O66" s="47" t="str">
        <f aca="false">IF($A66="","",IF(AND(INDEX(工程マスタ!$I$5:$I$154,$A66)="○",$E66&gt;=O$3,$E66&lt;=O$3+6),"▼",IF(AND($E66&gt;=O$3,$E66&lt;=O$3+6),$A66,"")))</f>
        <v/>
      </c>
      <c r="P66" s="47" t="str">
        <f aca="false">IF($A66="","",IF(AND(INDEX(工程マスタ!$I$5:$I$154,$A66)="○",$E66&gt;=P$3,$E66&lt;=P$3+6),"▼",IF(AND($E66&gt;=P$3,$E66&lt;=P$3+6),$A66,"")))</f>
        <v/>
      </c>
      <c r="Q66" s="47" t="str">
        <f aca="false">IF($A66="","",IF(AND(INDEX(工程マスタ!$I$5:$I$154,$A66)="○",$E66&gt;=Q$3,$E66&lt;=Q$3+6),"▼",IF(AND($E66&gt;=Q$3,$E66&lt;=Q$3+6),$A66,"")))</f>
        <v/>
      </c>
      <c r="R66" s="47" t="str">
        <f aca="false">IF($A66="","",IF(AND(INDEX(工程マスタ!$I$5:$I$154,$A66)="○",$E66&gt;=R$3,$E66&lt;=R$3+6),"▼",IF(AND($E66&gt;=R$3,$E66&lt;=R$3+6),$A66,"")))</f>
        <v/>
      </c>
      <c r="S66" s="47" t="str">
        <f aca="false">IF($A66="","",IF(AND(INDEX(工程マスタ!$I$5:$I$154,$A66)="○",$E66&gt;=S$3,$E66&lt;=S$3+6),"▼",IF(AND($E66&gt;=S$3,$E66&lt;=S$3+6),$A66,"")))</f>
        <v/>
      </c>
      <c r="T66" s="47" t="str">
        <f aca="false">IF($A66="","",IF(AND(INDEX(工程マスタ!$I$5:$I$154,$A66)="○",$E66&gt;=T$3,$E66&lt;=T$3+6),"▼",IF(AND($E66&gt;=T$3,$E66&lt;=T$3+6),$A66,"")))</f>
        <v/>
      </c>
      <c r="U66" s="47" t="str">
        <f aca="false">IF($A66="","",IF(AND(INDEX(工程マスタ!$I$5:$I$154,$A66)="○",$E66&gt;=U$3,$E66&lt;=U$3+6),"▼",IF(AND($E66&gt;=U$3,$E66&lt;=U$3+6),$A66,"")))</f>
        <v/>
      </c>
      <c r="V66" s="47" t="str">
        <f aca="false">IF($A66="","",IF(AND(INDEX(工程マスタ!$I$5:$I$154,$A66)="○",$E66&gt;=V$3,$E66&lt;=V$3+6),"▼",IF(AND($E66&gt;=V$3,$E66&lt;=V$3+6),$A66,"")))</f>
        <v/>
      </c>
      <c r="W66" s="47" t="str">
        <f aca="false">IF($A66="","",IF(AND(INDEX(工程マスタ!$I$5:$I$154,$A66)="○",$E66&gt;=W$3,$E66&lt;=W$3+6),"▼",IF(AND($E66&gt;=W$3,$E66&lt;=W$3+6),$A66,"")))</f>
        <v/>
      </c>
      <c r="X66" s="47" t="str">
        <f aca="false">IF($A66="","",IF(AND(INDEX(工程マスタ!$I$5:$I$154,$A66)="○",$E66&gt;=X$3,$E66&lt;=X$3+6),"▼",IF(AND($E66&gt;=X$3,$E66&lt;=X$3+6),$A66,"")))</f>
        <v/>
      </c>
      <c r="Y66" s="47" t="str">
        <f aca="false">IF($A66="","",IF(AND(INDEX(工程マスタ!$I$5:$I$154,$A66)="○",$E66&gt;=Y$3,$E66&lt;=Y$3+6),"▼",IF(AND($E66&gt;=Y$3,$E66&lt;=Y$3+6),$A66,"")))</f>
        <v/>
      </c>
      <c r="Z66" s="47" t="str">
        <f aca="false">IF($A66="","",IF(AND(INDEX(工程マスタ!$I$5:$I$154,$A66)="○",$E66&gt;=Z$3,$E66&lt;=Z$3+6),"▼",IF(AND($E66&gt;=Z$3,$E66&lt;=Z$3+6),$A66,"")))</f>
        <v/>
      </c>
      <c r="AA66" s="47" t="str">
        <f aca="false">IF($A66="","",IF(AND(INDEX(工程マスタ!$I$5:$I$154,$A66)="○",$E66&gt;=AA$3,$E66&lt;=AA$3+6),"▼",IF(AND($E66&gt;=AA$3,$E66&lt;=AA$3+6),$A66,"")))</f>
        <v/>
      </c>
      <c r="AB66" s="47" t="str">
        <f aca="false">IF($A66="","",IF(AND(INDEX(工程マスタ!$I$5:$I$154,$A66)="○",$E66&gt;=AB$3,$E66&lt;=AB$3+6),"▼",IF(AND($E66&gt;=AB$3,$E66&lt;=AB$3+6),$A66,"")))</f>
        <v/>
      </c>
      <c r="AC66" s="47" t="str">
        <f aca="false">IF($A66="","",IF(AND(INDEX(工程マスタ!$I$5:$I$154,$A66)="○",$E66&gt;=AC$3,$E66&lt;=AC$3+6),"▼",IF(AND($E66&gt;=AC$3,$E66&lt;=AC$3+6),$A66,"")))</f>
        <v/>
      </c>
      <c r="AD66" s="47" t="str">
        <f aca="false">IF($A66="","",IF(AND(INDEX(工程マスタ!$I$5:$I$154,$A66)="○",$E66&gt;=AD$3,$E66&lt;=AD$3+6),"▼",IF(AND($E66&gt;=AD$3,$E66&lt;=AD$3+6),$A66,"")))</f>
        <v/>
      </c>
      <c r="AE66" s="47" t="str">
        <f aca="false">IF($A66="","",IF(AND(INDEX(工程マスタ!$I$5:$I$154,$A66)="○",$E66&gt;=AE$3,$E66&lt;=AE$3+6),"▼",IF(AND($E66&gt;=AE$3,$E66&lt;=AE$3+6),$A66,"")))</f>
        <v/>
      </c>
      <c r="AF66" s="47" t="str">
        <f aca="false">IF($A66="","",IF(AND(INDEX(工程マスタ!$I$5:$I$154,$A66)="○",$E66&gt;=AF$3,$E66&lt;=AF$3+6),"▼",IF(AND($E66&gt;=AF$3,$E66&lt;=AF$3+6),$A66,"")))</f>
        <v/>
      </c>
      <c r="AG66" s="47" t="str">
        <f aca="false">IF($A66="","",IF(AND(INDEX(工程マスタ!$I$5:$I$154,$A66)="○",$E66&gt;=AG$3,$E66&lt;=AG$3+6),"▼",IF(AND($E66&gt;=AG$3,$E66&lt;=AG$3+6),$A66,"")))</f>
        <v/>
      </c>
      <c r="AH66" s="47" t="str">
        <f aca="false">IF($A66="","",IF(AND(INDEX(工程マスタ!$I$5:$I$154,$A66)="○",$E66&gt;=AH$3,$E66&lt;=AH$3+6),"▼",IF(AND($E66&gt;=AH$3,$E66&lt;=AH$3+6),$A66,"")))</f>
        <v/>
      </c>
      <c r="AI66" s="47" t="str">
        <f aca="false">IF($A66="","",IF(AND(INDEX(工程マスタ!$I$5:$I$154,$A66)="○",$E66&gt;=AI$3,$E66&lt;=AI$3+6),"▼",IF(AND($E66&gt;=AI$3,$E66&lt;=AI$3+6),$A66,"")))</f>
        <v/>
      </c>
      <c r="AJ66" s="47" t="str">
        <f aca="false">IF($A66="","",IF(AND(INDEX(工程マスタ!$I$5:$I$154,$A66)="○",$E66&gt;=AJ$3,$E66&lt;=AJ$3+6),"▼",IF(AND($E66&gt;=AJ$3,$E66&lt;=AJ$3+6),$A66,"")))</f>
        <v/>
      </c>
      <c r="AK66" s="47" t="str">
        <f aca="false">IF($A66="","",IF(AND(INDEX(工程マスタ!$I$5:$I$154,$A66)="○",$E66&gt;=AK$3,$E66&lt;=AK$3+6),"▼",IF(AND($E66&gt;=AK$3,$E66&lt;=AK$3+6),$A66,"")))</f>
        <v/>
      </c>
      <c r="AL66" s="47" t="str">
        <f aca="false">IF($A66="","",IF(AND(INDEX(工程マスタ!$I$5:$I$154,$A66)="○",$E66&gt;=AL$3,$E66&lt;=AL$3+6),"▼",IF(AND($E66&gt;=AL$3,$E66&lt;=AL$3+6),$A66,"")))</f>
        <v/>
      </c>
      <c r="AM66" s="47" t="str">
        <f aca="false">IF($A66="","",IF(AND(INDEX(工程マスタ!$I$5:$I$154,$A66)="○",$E66&gt;=AM$3,$E66&lt;=AM$3+6),"▼",IF(AND($E66&gt;=AM$3,$E66&lt;=AM$3+6),$A66,"")))</f>
        <v/>
      </c>
      <c r="AN66" s="47" t="str">
        <f aca="false">IF($A66="","",IF(AND(INDEX(工程マスタ!$I$5:$I$154,$A66)="○",$E66&gt;=AN$3,$E66&lt;=AN$3+6),"▼",IF(AND($E66&gt;=AN$3,$E66&lt;=AN$3+6),$A66,"")))</f>
        <v/>
      </c>
      <c r="AO66" s="47" t="str">
        <f aca="false">IF($A66="","",IF(AND(INDEX(工程マスタ!$I$5:$I$154,$A66)="○",$E66&gt;=AO$3,$E66&lt;=AO$3+6),"▼",IF(AND($E66&gt;=AO$3,$E66&lt;=AO$3+6),$A66,"")))</f>
        <v/>
      </c>
      <c r="AP66" s="47" t="str">
        <f aca="false">IF($A66="","",IF(AND(INDEX(工程マスタ!$I$5:$I$154,$A66)="○",$E66&gt;=AP$3,$E66&lt;=AP$3+6),"▼",IF(AND($E66&gt;=AP$3,$E66&lt;=AP$3+6),$A66,"")))</f>
        <v/>
      </c>
      <c r="AQ66" s="47" t="str">
        <f aca="false">IF($A66="","",IF(AND(INDEX(工程マスタ!$I$5:$I$154,$A66)="○",$E66&gt;=AQ$3,$E66&lt;=AQ$3+6),"▼",IF(AND($E66&gt;=AQ$3,$E66&lt;=AQ$3+6),$A66,"")))</f>
        <v/>
      </c>
      <c r="AR66" s="47" t="str">
        <f aca="false">IF($A66="","",IF(AND(INDEX(工程マスタ!$I$5:$I$154,$A66)="○",$E66&gt;=AR$3,$E66&lt;=AR$3+6),"▼",IF(AND($E66&gt;=AR$3,$E66&lt;=AR$3+6),$A66,"")))</f>
        <v/>
      </c>
      <c r="AS66" s="47" t="str">
        <f aca="false">IF($A66="","",IF(AND(INDEX(工程マスタ!$I$5:$I$154,$A66)="○",$E66&gt;=AS$3,$E66&lt;=AS$3+6),"▼",IF(AND($E66&gt;=AS$3,$E66&lt;=AS$3+6),$A66,"")))</f>
        <v/>
      </c>
      <c r="AT66" s="47" t="str">
        <f aca="false">IF($A66="","",IF(AND(INDEX(工程マスタ!$I$5:$I$154,$A66)="○",$E66&gt;=AT$3,$E66&lt;=AT$3+6),"▼",IF(AND($E66&gt;=AT$3,$E66&lt;=AT$3+6),$A66,"")))</f>
        <v/>
      </c>
      <c r="AU66" s="47" t="str">
        <f aca="false">IF($A66="","",IF(AND(INDEX(工程マスタ!$I$5:$I$154,$A66)="○",$E66&gt;=AU$3,$E66&lt;=AU$3+6),"▼",IF(AND($E66&gt;=AU$3,$E66&lt;=AU$3+6),$A66,"")))</f>
        <v/>
      </c>
      <c r="AV66" s="47" t="str">
        <f aca="false">IF($A66="","",IF(AND(INDEX(工程マスタ!$I$5:$I$154,$A66)="○",$E66&gt;=AV$3,$E66&lt;=AV$3+6),"▼",IF(AND($E66&gt;=AV$3,$E66&lt;=AV$3+6),$A66,"")))</f>
        <v/>
      </c>
      <c r="AW66" s="47" t="str">
        <f aca="false">IF($A66="","",IF(AND(INDEX(工程マスタ!$I$5:$I$154,$A66)="○",$E66&gt;=AW$3,$E66&lt;=AW$3+6),"▼",IF(AND($E66&gt;=AW$3,$E66&lt;=AW$3+6),$A66,"")))</f>
        <v/>
      </c>
      <c r="AX66" s="47" t="str">
        <f aca="false">IF($A66="","",IF(AND(INDEX(工程マスタ!$I$5:$I$154,$A66)="○",$E66&gt;=AX$3,$E66&lt;=AX$3+6),"▼",IF(AND($E66&gt;=AX$3,$E66&lt;=AX$3+6),$A66,"")))</f>
        <v/>
      </c>
      <c r="AY66" s="47" t="str">
        <f aca="false">IF($A66="","",IF(AND(INDEX(工程マスタ!$I$5:$I$154,$A66)="○",$E66&gt;=AY$3,$E66&lt;=AY$3+6),"▼",IF(AND($E66&gt;=AY$3,$E66&lt;=AY$3+6),$A66,"")))</f>
        <v/>
      </c>
      <c r="AZ66" s="47" t="str">
        <f aca="false">IF($A66="","",IF(AND(INDEX(工程マスタ!$I$5:$I$154,$A66)="○",$E66&gt;=AZ$3,$E66&lt;=AZ$3+6),"▼",IF(AND($E66&gt;=AZ$3,$E66&lt;=AZ$3+6),$A66,"")))</f>
        <v/>
      </c>
      <c r="BA66" s="47" t="str">
        <f aca="false">IF($A66="","",IF(AND(INDEX(工程マスタ!$I$5:$I$154,$A66)="○",$E66&gt;=BA$3,$E66&lt;=BA$3+6),"▼",IF(AND($E66&gt;=BA$3,$E66&lt;=BA$3+6),$A66,"")))</f>
        <v/>
      </c>
      <c r="BB66" s="47" t="str">
        <f aca="false">IF($A66="","",IF(AND(INDEX(工程マスタ!$I$5:$I$154,$A66)="○",$E66&gt;=BB$3,$E66&lt;=BB$3+6),"▼",IF(AND($E66&gt;=BB$3,$E66&lt;=BB$3+6),$A66,"")))</f>
        <v/>
      </c>
      <c r="BC66" s="47" t="str">
        <f aca="false">IF($A66="","",IF(AND(INDEX(工程マスタ!$I$5:$I$154,$A66)="○",$E66&gt;=BC$3,$E66&lt;=BC$3+6),"▼",IF(AND($E66&gt;=BC$3,$E66&lt;=BC$3+6),$A66,"")))</f>
        <v/>
      </c>
      <c r="BD66" s="47" t="str">
        <f aca="false">IF($A66="","",IF(AND(INDEX(工程マスタ!$I$5:$I$154,$A66)="○",$E66&gt;=BD$3,$E66&lt;=BD$3+6),"▼",IF(AND($E66&gt;=BD$3,$E66&lt;=BD$3+6),$A66,"")))</f>
        <v/>
      </c>
      <c r="BE66" s="47" t="str">
        <f aca="false">IF($A66="","",IF(AND(INDEX(工程マスタ!$I$5:$I$154,$A66)="○",$E66&gt;=BE$3,$E66&lt;=BE$3+6),"▼",IF(AND($E66&gt;=BE$3,$E66&lt;=BE$3+6),$A66,"")))</f>
        <v/>
      </c>
      <c r="BF66" s="47" t="str">
        <f aca="false">IF($A66="","",IF(AND(INDEX(工程マスタ!$I$5:$I$154,$A66)="○",$E66&gt;=BF$3,$E66&lt;=BF$3+6),"▼",IF(AND($E66&gt;=BF$3,$E66&lt;=BF$3+6),$A66,"")))</f>
        <v/>
      </c>
      <c r="BG66" s="47" t="str">
        <f aca="false">IF($A66="","",IF(AND(INDEX(工程マスタ!$I$5:$I$154,$A66)="○",$E66&gt;=BG$3,$E66&lt;=BG$3+6),"▼",IF(AND($E66&gt;=BG$3,$E66&lt;=BG$3+6),$A66,"")))</f>
        <v/>
      </c>
      <c r="BH66" s="47" t="str">
        <f aca="false">IF($A66="","",IF(AND(INDEX(工程マスタ!$I$5:$I$154,$A66)="○",$E66&gt;=BH$3,$E66&lt;=BH$3+6),"▼",IF(AND($E66&gt;=BH$3,$E66&lt;=BH$3+6),$A66,"")))</f>
        <v/>
      </c>
      <c r="BI66" s="47" t="str">
        <f aca="false">IF($A66="","",IF(AND(INDEX(工程マスタ!$I$5:$I$154,$A66)="○",$E66&gt;=BI$3,$E66&lt;=BI$3+6),"▼",IF(AND($E66&gt;=BI$3,$E66&lt;=BI$3+6),$A66,"")))</f>
        <v/>
      </c>
      <c r="BJ66" s="47" t="str">
        <f aca="false">IF($A66="","",IF(AND(INDEX(工程マスタ!$I$5:$I$154,$A66)="○",$E66&gt;=BJ$3,$E66&lt;=BJ$3+6),"▼",IF(AND($E66&gt;=BJ$3,$E66&lt;=BJ$3+6),$A66,"")))</f>
        <v/>
      </c>
    </row>
    <row r="67" customFormat="false" ht="15" hidden="false" customHeight="false" outlineLevel="0" collapsed="false">
      <c r="A67" s="28" t="str">
        <f aca="false">IF(工程マスタ!$C65="","",工程マスタ!$A65)</f>
        <v/>
      </c>
      <c r="B67" s="46" t="str">
        <f aca="false">IF($A67="","",工程マスタ!$C65)</f>
        <v/>
      </c>
      <c r="C67" s="28" t="str">
        <f aca="false">IF($A67="","",MAX(1,工程マスタ!$G65))</f>
        <v/>
      </c>
      <c r="D67" s="28" t="str">
        <f aca="false">IF($A67="","",_xlfn.TEXTJOIN(",",TRUE(),工程マスタ!$N65:$P65))</f>
        <v/>
      </c>
      <c r="E67" s="29" t="str">
        <f aca="false">IF($A67="","",IF(COUNT(工程マスタ!$N65:$P65)=0,設定!$B$8,MAX(IF(工程マスタ!$N65="",0,INDEX($F$7:$F$156,工程マスタ!$N65)),IF(工程マスタ!$O65="",0,INDEX($F$7:$F$156,工程マスタ!$O65)),IF(工程マスタ!$P65="",0,INDEX($F$7:$F$156,工程マスタ!$P65)))+1))</f>
        <v/>
      </c>
      <c r="F67" s="29" t="str">
        <f aca="false">IF($A67="","",$E67+$C67-1)</f>
        <v/>
      </c>
      <c r="G67" s="29" t="str">
        <f aca="false">IF($A67="","",$H67-$C67+1)</f>
        <v/>
      </c>
      <c r="H67" s="29" t="str">
        <f aca="false" t="array" ref="H67:H67">IF($A67="","",IF(SUMPRODUCT((工程マスタ!$N$66:$N$154=$A67)*1)+SUMPRODUCT((工程マスタ!$O$66:$O$154=$A67)*1)+SUMPRODUCT((工程マスタ!$P$66:$P$154=$A67)*1)=0,MAX($F$7:$F$156),MIN(IF((工程マスタ!$N$66:$N$154=$A67)+(工程マスタ!$O$66:$O$154=$A67)+(工程マスタ!$P$66:$P$154=$A67),$G68:$G$156))-1))</f>
        <v/>
      </c>
      <c r="I67" s="28" t="str">
        <f aca="false">IF($A67="","",$G67-$E67)</f>
        <v/>
      </c>
      <c r="J67" s="28" t="str">
        <f aca="false">IF($A67="","",IF($I67&lt;=0,"●",""))</f>
        <v/>
      </c>
      <c r="K67" s="47" t="str">
        <f aca="false">IF($A67="","",IF(AND(INDEX(工程マスタ!$I$5:$I$154,$A67)="○",$E67&gt;=K$3,$E67&lt;=K$3+6),"▼",IF(AND($E67&gt;=K$3,$E67&lt;=K$3+6),$A67,"")))</f>
        <v/>
      </c>
      <c r="L67" s="47" t="str">
        <f aca="false">IF($A67="","",IF(AND(INDEX(工程マスタ!$I$5:$I$154,$A67)="○",$E67&gt;=L$3,$E67&lt;=L$3+6),"▼",IF(AND($E67&gt;=L$3,$E67&lt;=L$3+6),$A67,"")))</f>
        <v/>
      </c>
      <c r="M67" s="47" t="str">
        <f aca="false">IF($A67="","",IF(AND(INDEX(工程マスタ!$I$5:$I$154,$A67)="○",$E67&gt;=M$3,$E67&lt;=M$3+6),"▼",IF(AND($E67&gt;=M$3,$E67&lt;=M$3+6),$A67,"")))</f>
        <v/>
      </c>
      <c r="N67" s="47" t="str">
        <f aca="false">IF($A67="","",IF(AND(INDEX(工程マスタ!$I$5:$I$154,$A67)="○",$E67&gt;=N$3,$E67&lt;=N$3+6),"▼",IF(AND($E67&gt;=N$3,$E67&lt;=N$3+6),$A67,"")))</f>
        <v/>
      </c>
      <c r="O67" s="47" t="str">
        <f aca="false">IF($A67="","",IF(AND(INDEX(工程マスタ!$I$5:$I$154,$A67)="○",$E67&gt;=O$3,$E67&lt;=O$3+6),"▼",IF(AND($E67&gt;=O$3,$E67&lt;=O$3+6),$A67,"")))</f>
        <v/>
      </c>
      <c r="P67" s="47" t="str">
        <f aca="false">IF($A67="","",IF(AND(INDEX(工程マスタ!$I$5:$I$154,$A67)="○",$E67&gt;=P$3,$E67&lt;=P$3+6),"▼",IF(AND($E67&gt;=P$3,$E67&lt;=P$3+6),$A67,"")))</f>
        <v/>
      </c>
      <c r="Q67" s="47" t="str">
        <f aca="false">IF($A67="","",IF(AND(INDEX(工程マスタ!$I$5:$I$154,$A67)="○",$E67&gt;=Q$3,$E67&lt;=Q$3+6),"▼",IF(AND($E67&gt;=Q$3,$E67&lt;=Q$3+6),$A67,"")))</f>
        <v/>
      </c>
      <c r="R67" s="47" t="str">
        <f aca="false">IF($A67="","",IF(AND(INDEX(工程マスタ!$I$5:$I$154,$A67)="○",$E67&gt;=R$3,$E67&lt;=R$3+6),"▼",IF(AND($E67&gt;=R$3,$E67&lt;=R$3+6),$A67,"")))</f>
        <v/>
      </c>
      <c r="S67" s="47" t="str">
        <f aca="false">IF($A67="","",IF(AND(INDEX(工程マスタ!$I$5:$I$154,$A67)="○",$E67&gt;=S$3,$E67&lt;=S$3+6),"▼",IF(AND($E67&gt;=S$3,$E67&lt;=S$3+6),$A67,"")))</f>
        <v/>
      </c>
      <c r="T67" s="47" t="str">
        <f aca="false">IF($A67="","",IF(AND(INDEX(工程マスタ!$I$5:$I$154,$A67)="○",$E67&gt;=T$3,$E67&lt;=T$3+6),"▼",IF(AND($E67&gt;=T$3,$E67&lt;=T$3+6),$A67,"")))</f>
        <v/>
      </c>
      <c r="U67" s="47" t="str">
        <f aca="false">IF($A67="","",IF(AND(INDEX(工程マスタ!$I$5:$I$154,$A67)="○",$E67&gt;=U$3,$E67&lt;=U$3+6),"▼",IF(AND($E67&gt;=U$3,$E67&lt;=U$3+6),$A67,"")))</f>
        <v/>
      </c>
      <c r="V67" s="47" t="str">
        <f aca="false">IF($A67="","",IF(AND(INDEX(工程マスタ!$I$5:$I$154,$A67)="○",$E67&gt;=V$3,$E67&lt;=V$3+6),"▼",IF(AND($E67&gt;=V$3,$E67&lt;=V$3+6),$A67,"")))</f>
        <v/>
      </c>
      <c r="W67" s="47" t="str">
        <f aca="false">IF($A67="","",IF(AND(INDEX(工程マスタ!$I$5:$I$154,$A67)="○",$E67&gt;=W$3,$E67&lt;=W$3+6),"▼",IF(AND($E67&gt;=W$3,$E67&lt;=W$3+6),$A67,"")))</f>
        <v/>
      </c>
      <c r="X67" s="47" t="str">
        <f aca="false">IF($A67="","",IF(AND(INDEX(工程マスタ!$I$5:$I$154,$A67)="○",$E67&gt;=X$3,$E67&lt;=X$3+6),"▼",IF(AND($E67&gt;=X$3,$E67&lt;=X$3+6),$A67,"")))</f>
        <v/>
      </c>
      <c r="Y67" s="47" t="str">
        <f aca="false">IF($A67="","",IF(AND(INDEX(工程マスタ!$I$5:$I$154,$A67)="○",$E67&gt;=Y$3,$E67&lt;=Y$3+6),"▼",IF(AND($E67&gt;=Y$3,$E67&lt;=Y$3+6),$A67,"")))</f>
        <v/>
      </c>
      <c r="Z67" s="47" t="str">
        <f aca="false">IF($A67="","",IF(AND(INDEX(工程マスタ!$I$5:$I$154,$A67)="○",$E67&gt;=Z$3,$E67&lt;=Z$3+6),"▼",IF(AND($E67&gt;=Z$3,$E67&lt;=Z$3+6),$A67,"")))</f>
        <v/>
      </c>
      <c r="AA67" s="47" t="str">
        <f aca="false">IF($A67="","",IF(AND(INDEX(工程マスタ!$I$5:$I$154,$A67)="○",$E67&gt;=AA$3,$E67&lt;=AA$3+6),"▼",IF(AND($E67&gt;=AA$3,$E67&lt;=AA$3+6),$A67,"")))</f>
        <v/>
      </c>
      <c r="AB67" s="47" t="str">
        <f aca="false">IF($A67="","",IF(AND(INDEX(工程マスタ!$I$5:$I$154,$A67)="○",$E67&gt;=AB$3,$E67&lt;=AB$3+6),"▼",IF(AND($E67&gt;=AB$3,$E67&lt;=AB$3+6),$A67,"")))</f>
        <v/>
      </c>
      <c r="AC67" s="47" t="str">
        <f aca="false">IF($A67="","",IF(AND(INDEX(工程マスタ!$I$5:$I$154,$A67)="○",$E67&gt;=AC$3,$E67&lt;=AC$3+6),"▼",IF(AND($E67&gt;=AC$3,$E67&lt;=AC$3+6),$A67,"")))</f>
        <v/>
      </c>
      <c r="AD67" s="47" t="str">
        <f aca="false">IF($A67="","",IF(AND(INDEX(工程マスタ!$I$5:$I$154,$A67)="○",$E67&gt;=AD$3,$E67&lt;=AD$3+6),"▼",IF(AND($E67&gt;=AD$3,$E67&lt;=AD$3+6),$A67,"")))</f>
        <v/>
      </c>
      <c r="AE67" s="47" t="str">
        <f aca="false">IF($A67="","",IF(AND(INDEX(工程マスタ!$I$5:$I$154,$A67)="○",$E67&gt;=AE$3,$E67&lt;=AE$3+6),"▼",IF(AND($E67&gt;=AE$3,$E67&lt;=AE$3+6),$A67,"")))</f>
        <v/>
      </c>
      <c r="AF67" s="47" t="str">
        <f aca="false">IF($A67="","",IF(AND(INDEX(工程マスタ!$I$5:$I$154,$A67)="○",$E67&gt;=AF$3,$E67&lt;=AF$3+6),"▼",IF(AND($E67&gt;=AF$3,$E67&lt;=AF$3+6),$A67,"")))</f>
        <v/>
      </c>
      <c r="AG67" s="47" t="str">
        <f aca="false">IF($A67="","",IF(AND(INDEX(工程マスタ!$I$5:$I$154,$A67)="○",$E67&gt;=AG$3,$E67&lt;=AG$3+6),"▼",IF(AND($E67&gt;=AG$3,$E67&lt;=AG$3+6),$A67,"")))</f>
        <v/>
      </c>
      <c r="AH67" s="47" t="str">
        <f aca="false">IF($A67="","",IF(AND(INDEX(工程マスタ!$I$5:$I$154,$A67)="○",$E67&gt;=AH$3,$E67&lt;=AH$3+6),"▼",IF(AND($E67&gt;=AH$3,$E67&lt;=AH$3+6),$A67,"")))</f>
        <v/>
      </c>
      <c r="AI67" s="47" t="str">
        <f aca="false">IF($A67="","",IF(AND(INDEX(工程マスタ!$I$5:$I$154,$A67)="○",$E67&gt;=AI$3,$E67&lt;=AI$3+6),"▼",IF(AND($E67&gt;=AI$3,$E67&lt;=AI$3+6),$A67,"")))</f>
        <v/>
      </c>
      <c r="AJ67" s="47" t="str">
        <f aca="false">IF($A67="","",IF(AND(INDEX(工程マスタ!$I$5:$I$154,$A67)="○",$E67&gt;=AJ$3,$E67&lt;=AJ$3+6),"▼",IF(AND($E67&gt;=AJ$3,$E67&lt;=AJ$3+6),$A67,"")))</f>
        <v/>
      </c>
      <c r="AK67" s="47" t="str">
        <f aca="false">IF($A67="","",IF(AND(INDEX(工程マスタ!$I$5:$I$154,$A67)="○",$E67&gt;=AK$3,$E67&lt;=AK$3+6),"▼",IF(AND($E67&gt;=AK$3,$E67&lt;=AK$3+6),$A67,"")))</f>
        <v/>
      </c>
      <c r="AL67" s="47" t="str">
        <f aca="false">IF($A67="","",IF(AND(INDEX(工程マスタ!$I$5:$I$154,$A67)="○",$E67&gt;=AL$3,$E67&lt;=AL$3+6),"▼",IF(AND($E67&gt;=AL$3,$E67&lt;=AL$3+6),$A67,"")))</f>
        <v/>
      </c>
      <c r="AM67" s="47" t="str">
        <f aca="false">IF($A67="","",IF(AND(INDEX(工程マスタ!$I$5:$I$154,$A67)="○",$E67&gt;=AM$3,$E67&lt;=AM$3+6),"▼",IF(AND($E67&gt;=AM$3,$E67&lt;=AM$3+6),$A67,"")))</f>
        <v/>
      </c>
      <c r="AN67" s="47" t="str">
        <f aca="false">IF($A67="","",IF(AND(INDEX(工程マスタ!$I$5:$I$154,$A67)="○",$E67&gt;=AN$3,$E67&lt;=AN$3+6),"▼",IF(AND($E67&gt;=AN$3,$E67&lt;=AN$3+6),$A67,"")))</f>
        <v/>
      </c>
      <c r="AO67" s="47" t="str">
        <f aca="false">IF($A67="","",IF(AND(INDEX(工程マスタ!$I$5:$I$154,$A67)="○",$E67&gt;=AO$3,$E67&lt;=AO$3+6),"▼",IF(AND($E67&gt;=AO$3,$E67&lt;=AO$3+6),$A67,"")))</f>
        <v/>
      </c>
      <c r="AP67" s="47" t="str">
        <f aca="false">IF($A67="","",IF(AND(INDEX(工程マスタ!$I$5:$I$154,$A67)="○",$E67&gt;=AP$3,$E67&lt;=AP$3+6),"▼",IF(AND($E67&gt;=AP$3,$E67&lt;=AP$3+6),$A67,"")))</f>
        <v/>
      </c>
      <c r="AQ67" s="47" t="str">
        <f aca="false">IF($A67="","",IF(AND(INDEX(工程マスタ!$I$5:$I$154,$A67)="○",$E67&gt;=AQ$3,$E67&lt;=AQ$3+6),"▼",IF(AND($E67&gt;=AQ$3,$E67&lt;=AQ$3+6),$A67,"")))</f>
        <v/>
      </c>
      <c r="AR67" s="47" t="str">
        <f aca="false">IF($A67="","",IF(AND(INDEX(工程マスタ!$I$5:$I$154,$A67)="○",$E67&gt;=AR$3,$E67&lt;=AR$3+6),"▼",IF(AND($E67&gt;=AR$3,$E67&lt;=AR$3+6),$A67,"")))</f>
        <v/>
      </c>
      <c r="AS67" s="47" t="str">
        <f aca="false">IF($A67="","",IF(AND(INDEX(工程マスタ!$I$5:$I$154,$A67)="○",$E67&gt;=AS$3,$E67&lt;=AS$3+6),"▼",IF(AND($E67&gt;=AS$3,$E67&lt;=AS$3+6),$A67,"")))</f>
        <v/>
      </c>
      <c r="AT67" s="47" t="str">
        <f aca="false">IF($A67="","",IF(AND(INDEX(工程マスタ!$I$5:$I$154,$A67)="○",$E67&gt;=AT$3,$E67&lt;=AT$3+6),"▼",IF(AND($E67&gt;=AT$3,$E67&lt;=AT$3+6),$A67,"")))</f>
        <v/>
      </c>
      <c r="AU67" s="47" t="str">
        <f aca="false">IF($A67="","",IF(AND(INDEX(工程マスタ!$I$5:$I$154,$A67)="○",$E67&gt;=AU$3,$E67&lt;=AU$3+6),"▼",IF(AND($E67&gt;=AU$3,$E67&lt;=AU$3+6),$A67,"")))</f>
        <v/>
      </c>
      <c r="AV67" s="47" t="str">
        <f aca="false">IF($A67="","",IF(AND(INDEX(工程マスタ!$I$5:$I$154,$A67)="○",$E67&gt;=AV$3,$E67&lt;=AV$3+6),"▼",IF(AND($E67&gt;=AV$3,$E67&lt;=AV$3+6),$A67,"")))</f>
        <v/>
      </c>
      <c r="AW67" s="47" t="str">
        <f aca="false">IF($A67="","",IF(AND(INDEX(工程マスタ!$I$5:$I$154,$A67)="○",$E67&gt;=AW$3,$E67&lt;=AW$3+6),"▼",IF(AND($E67&gt;=AW$3,$E67&lt;=AW$3+6),$A67,"")))</f>
        <v/>
      </c>
      <c r="AX67" s="47" t="str">
        <f aca="false">IF($A67="","",IF(AND(INDEX(工程マスタ!$I$5:$I$154,$A67)="○",$E67&gt;=AX$3,$E67&lt;=AX$3+6),"▼",IF(AND($E67&gt;=AX$3,$E67&lt;=AX$3+6),$A67,"")))</f>
        <v/>
      </c>
      <c r="AY67" s="47" t="str">
        <f aca="false">IF($A67="","",IF(AND(INDEX(工程マスタ!$I$5:$I$154,$A67)="○",$E67&gt;=AY$3,$E67&lt;=AY$3+6),"▼",IF(AND($E67&gt;=AY$3,$E67&lt;=AY$3+6),$A67,"")))</f>
        <v/>
      </c>
      <c r="AZ67" s="47" t="str">
        <f aca="false">IF($A67="","",IF(AND(INDEX(工程マスタ!$I$5:$I$154,$A67)="○",$E67&gt;=AZ$3,$E67&lt;=AZ$3+6),"▼",IF(AND($E67&gt;=AZ$3,$E67&lt;=AZ$3+6),$A67,"")))</f>
        <v/>
      </c>
      <c r="BA67" s="47" t="str">
        <f aca="false">IF($A67="","",IF(AND(INDEX(工程マスタ!$I$5:$I$154,$A67)="○",$E67&gt;=BA$3,$E67&lt;=BA$3+6),"▼",IF(AND($E67&gt;=BA$3,$E67&lt;=BA$3+6),$A67,"")))</f>
        <v/>
      </c>
      <c r="BB67" s="47" t="str">
        <f aca="false">IF($A67="","",IF(AND(INDEX(工程マスタ!$I$5:$I$154,$A67)="○",$E67&gt;=BB$3,$E67&lt;=BB$3+6),"▼",IF(AND($E67&gt;=BB$3,$E67&lt;=BB$3+6),$A67,"")))</f>
        <v/>
      </c>
      <c r="BC67" s="47" t="str">
        <f aca="false">IF($A67="","",IF(AND(INDEX(工程マスタ!$I$5:$I$154,$A67)="○",$E67&gt;=BC$3,$E67&lt;=BC$3+6),"▼",IF(AND($E67&gt;=BC$3,$E67&lt;=BC$3+6),$A67,"")))</f>
        <v/>
      </c>
      <c r="BD67" s="47" t="str">
        <f aca="false">IF($A67="","",IF(AND(INDEX(工程マスタ!$I$5:$I$154,$A67)="○",$E67&gt;=BD$3,$E67&lt;=BD$3+6),"▼",IF(AND($E67&gt;=BD$3,$E67&lt;=BD$3+6),$A67,"")))</f>
        <v/>
      </c>
      <c r="BE67" s="47" t="str">
        <f aca="false">IF($A67="","",IF(AND(INDEX(工程マスタ!$I$5:$I$154,$A67)="○",$E67&gt;=BE$3,$E67&lt;=BE$3+6),"▼",IF(AND($E67&gt;=BE$3,$E67&lt;=BE$3+6),$A67,"")))</f>
        <v/>
      </c>
      <c r="BF67" s="47" t="str">
        <f aca="false">IF($A67="","",IF(AND(INDEX(工程マスタ!$I$5:$I$154,$A67)="○",$E67&gt;=BF$3,$E67&lt;=BF$3+6),"▼",IF(AND($E67&gt;=BF$3,$E67&lt;=BF$3+6),$A67,"")))</f>
        <v/>
      </c>
      <c r="BG67" s="47" t="str">
        <f aca="false">IF($A67="","",IF(AND(INDEX(工程マスタ!$I$5:$I$154,$A67)="○",$E67&gt;=BG$3,$E67&lt;=BG$3+6),"▼",IF(AND($E67&gt;=BG$3,$E67&lt;=BG$3+6),$A67,"")))</f>
        <v/>
      </c>
      <c r="BH67" s="47" t="str">
        <f aca="false">IF($A67="","",IF(AND(INDEX(工程マスタ!$I$5:$I$154,$A67)="○",$E67&gt;=BH$3,$E67&lt;=BH$3+6),"▼",IF(AND($E67&gt;=BH$3,$E67&lt;=BH$3+6),$A67,"")))</f>
        <v/>
      </c>
      <c r="BI67" s="47" t="str">
        <f aca="false">IF($A67="","",IF(AND(INDEX(工程マスタ!$I$5:$I$154,$A67)="○",$E67&gt;=BI$3,$E67&lt;=BI$3+6),"▼",IF(AND($E67&gt;=BI$3,$E67&lt;=BI$3+6),$A67,"")))</f>
        <v/>
      </c>
      <c r="BJ67" s="47" t="str">
        <f aca="false">IF($A67="","",IF(AND(INDEX(工程マスタ!$I$5:$I$154,$A67)="○",$E67&gt;=BJ$3,$E67&lt;=BJ$3+6),"▼",IF(AND($E67&gt;=BJ$3,$E67&lt;=BJ$3+6),$A67,"")))</f>
        <v/>
      </c>
    </row>
    <row r="68" customFormat="false" ht="15" hidden="false" customHeight="false" outlineLevel="0" collapsed="false">
      <c r="A68" s="28" t="str">
        <f aca="false">IF(工程マスタ!$C66="","",工程マスタ!$A66)</f>
        <v/>
      </c>
      <c r="B68" s="46" t="str">
        <f aca="false">IF($A68="","",工程マスタ!$C66)</f>
        <v/>
      </c>
      <c r="C68" s="28" t="str">
        <f aca="false">IF($A68="","",MAX(1,工程マスタ!$G66))</f>
        <v/>
      </c>
      <c r="D68" s="28" t="str">
        <f aca="false">IF($A68="","",_xlfn.TEXTJOIN(",",TRUE(),工程マスタ!$N66:$P66))</f>
        <v/>
      </c>
      <c r="E68" s="29" t="str">
        <f aca="false">IF($A68="","",IF(COUNT(工程マスタ!$N66:$P66)=0,設定!$B$8,MAX(IF(工程マスタ!$N66="",0,INDEX($F$7:$F$156,工程マスタ!$N66)),IF(工程マスタ!$O66="",0,INDEX($F$7:$F$156,工程マスタ!$O66)),IF(工程マスタ!$P66="",0,INDEX($F$7:$F$156,工程マスタ!$P66)))+1))</f>
        <v/>
      </c>
      <c r="F68" s="29" t="str">
        <f aca="false">IF($A68="","",$E68+$C68-1)</f>
        <v/>
      </c>
      <c r="G68" s="29" t="str">
        <f aca="false">IF($A68="","",$H68-$C68+1)</f>
        <v/>
      </c>
      <c r="H68" s="29" t="str">
        <f aca="false" t="array" ref="H68:H68">IF($A68="","",IF(SUMPRODUCT((工程マスタ!$N$67:$N$154=$A68)*1)+SUMPRODUCT((工程マスタ!$O$67:$O$154=$A68)*1)+SUMPRODUCT((工程マスタ!$P$67:$P$154=$A68)*1)=0,MAX($F$7:$F$156),MIN(IF((工程マスタ!$N$67:$N$154=$A68)+(工程マスタ!$O$67:$O$154=$A68)+(工程マスタ!$P$67:$P$154=$A68),$G69:$G$156))-1))</f>
        <v/>
      </c>
      <c r="I68" s="28" t="str">
        <f aca="false">IF($A68="","",$G68-$E68)</f>
        <v/>
      </c>
      <c r="J68" s="28" t="str">
        <f aca="false">IF($A68="","",IF($I68&lt;=0,"●",""))</f>
        <v/>
      </c>
      <c r="K68" s="47" t="str">
        <f aca="false">IF($A68="","",IF(AND(INDEX(工程マスタ!$I$5:$I$154,$A68)="○",$E68&gt;=K$3,$E68&lt;=K$3+6),"▼",IF(AND($E68&gt;=K$3,$E68&lt;=K$3+6),$A68,"")))</f>
        <v/>
      </c>
      <c r="L68" s="47" t="str">
        <f aca="false">IF($A68="","",IF(AND(INDEX(工程マスタ!$I$5:$I$154,$A68)="○",$E68&gt;=L$3,$E68&lt;=L$3+6),"▼",IF(AND($E68&gt;=L$3,$E68&lt;=L$3+6),$A68,"")))</f>
        <v/>
      </c>
      <c r="M68" s="47" t="str">
        <f aca="false">IF($A68="","",IF(AND(INDEX(工程マスタ!$I$5:$I$154,$A68)="○",$E68&gt;=M$3,$E68&lt;=M$3+6),"▼",IF(AND($E68&gt;=M$3,$E68&lt;=M$3+6),$A68,"")))</f>
        <v/>
      </c>
      <c r="N68" s="47" t="str">
        <f aca="false">IF($A68="","",IF(AND(INDEX(工程マスタ!$I$5:$I$154,$A68)="○",$E68&gt;=N$3,$E68&lt;=N$3+6),"▼",IF(AND($E68&gt;=N$3,$E68&lt;=N$3+6),$A68,"")))</f>
        <v/>
      </c>
      <c r="O68" s="47" t="str">
        <f aca="false">IF($A68="","",IF(AND(INDEX(工程マスタ!$I$5:$I$154,$A68)="○",$E68&gt;=O$3,$E68&lt;=O$3+6),"▼",IF(AND($E68&gt;=O$3,$E68&lt;=O$3+6),$A68,"")))</f>
        <v/>
      </c>
      <c r="P68" s="47" t="str">
        <f aca="false">IF($A68="","",IF(AND(INDEX(工程マスタ!$I$5:$I$154,$A68)="○",$E68&gt;=P$3,$E68&lt;=P$3+6),"▼",IF(AND($E68&gt;=P$3,$E68&lt;=P$3+6),$A68,"")))</f>
        <v/>
      </c>
      <c r="Q68" s="47" t="str">
        <f aca="false">IF($A68="","",IF(AND(INDEX(工程マスタ!$I$5:$I$154,$A68)="○",$E68&gt;=Q$3,$E68&lt;=Q$3+6),"▼",IF(AND($E68&gt;=Q$3,$E68&lt;=Q$3+6),$A68,"")))</f>
        <v/>
      </c>
      <c r="R68" s="47" t="str">
        <f aca="false">IF($A68="","",IF(AND(INDEX(工程マスタ!$I$5:$I$154,$A68)="○",$E68&gt;=R$3,$E68&lt;=R$3+6),"▼",IF(AND($E68&gt;=R$3,$E68&lt;=R$3+6),$A68,"")))</f>
        <v/>
      </c>
      <c r="S68" s="47" t="str">
        <f aca="false">IF($A68="","",IF(AND(INDEX(工程マスタ!$I$5:$I$154,$A68)="○",$E68&gt;=S$3,$E68&lt;=S$3+6),"▼",IF(AND($E68&gt;=S$3,$E68&lt;=S$3+6),$A68,"")))</f>
        <v/>
      </c>
      <c r="T68" s="47" t="str">
        <f aca="false">IF($A68="","",IF(AND(INDEX(工程マスタ!$I$5:$I$154,$A68)="○",$E68&gt;=T$3,$E68&lt;=T$3+6),"▼",IF(AND($E68&gt;=T$3,$E68&lt;=T$3+6),$A68,"")))</f>
        <v/>
      </c>
      <c r="U68" s="47" t="str">
        <f aca="false">IF($A68="","",IF(AND(INDEX(工程マスタ!$I$5:$I$154,$A68)="○",$E68&gt;=U$3,$E68&lt;=U$3+6),"▼",IF(AND($E68&gt;=U$3,$E68&lt;=U$3+6),$A68,"")))</f>
        <v/>
      </c>
      <c r="V68" s="47" t="str">
        <f aca="false">IF($A68="","",IF(AND(INDEX(工程マスタ!$I$5:$I$154,$A68)="○",$E68&gt;=V$3,$E68&lt;=V$3+6),"▼",IF(AND($E68&gt;=V$3,$E68&lt;=V$3+6),$A68,"")))</f>
        <v/>
      </c>
      <c r="W68" s="47" t="str">
        <f aca="false">IF($A68="","",IF(AND(INDEX(工程マスタ!$I$5:$I$154,$A68)="○",$E68&gt;=W$3,$E68&lt;=W$3+6),"▼",IF(AND($E68&gt;=W$3,$E68&lt;=W$3+6),$A68,"")))</f>
        <v/>
      </c>
      <c r="X68" s="47" t="str">
        <f aca="false">IF($A68="","",IF(AND(INDEX(工程マスタ!$I$5:$I$154,$A68)="○",$E68&gt;=X$3,$E68&lt;=X$3+6),"▼",IF(AND($E68&gt;=X$3,$E68&lt;=X$3+6),$A68,"")))</f>
        <v/>
      </c>
      <c r="Y68" s="47" t="str">
        <f aca="false">IF($A68="","",IF(AND(INDEX(工程マスタ!$I$5:$I$154,$A68)="○",$E68&gt;=Y$3,$E68&lt;=Y$3+6),"▼",IF(AND($E68&gt;=Y$3,$E68&lt;=Y$3+6),$A68,"")))</f>
        <v/>
      </c>
      <c r="Z68" s="47" t="str">
        <f aca="false">IF($A68="","",IF(AND(INDEX(工程マスタ!$I$5:$I$154,$A68)="○",$E68&gt;=Z$3,$E68&lt;=Z$3+6),"▼",IF(AND($E68&gt;=Z$3,$E68&lt;=Z$3+6),$A68,"")))</f>
        <v/>
      </c>
      <c r="AA68" s="47" t="str">
        <f aca="false">IF($A68="","",IF(AND(INDEX(工程マスタ!$I$5:$I$154,$A68)="○",$E68&gt;=AA$3,$E68&lt;=AA$3+6),"▼",IF(AND($E68&gt;=AA$3,$E68&lt;=AA$3+6),$A68,"")))</f>
        <v/>
      </c>
      <c r="AB68" s="47" t="str">
        <f aca="false">IF($A68="","",IF(AND(INDEX(工程マスタ!$I$5:$I$154,$A68)="○",$E68&gt;=AB$3,$E68&lt;=AB$3+6),"▼",IF(AND($E68&gt;=AB$3,$E68&lt;=AB$3+6),$A68,"")))</f>
        <v/>
      </c>
      <c r="AC68" s="47" t="str">
        <f aca="false">IF($A68="","",IF(AND(INDEX(工程マスタ!$I$5:$I$154,$A68)="○",$E68&gt;=AC$3,$E68&lt;=AC$3+6),"▼",IF(AND($E68&gt;=AC$3,$E68&lt;=AC$3+6),$A68,"")))</f>
        <v/>
      </c>
      <c r="AD68" s="47" t="str">
        <f aca="false">IF($A68="","",IF(AND(INDEX(工程マスタ!$I$5:$I$154,$A68)="○",$E68&gt;=AD$3,$E68&lt;=AD$3+6),"▼",IF(AND($E68&gt;=AD$3,$E68&lt;=AD$3+6),$A68,"")))</f>
        <v/>
      </c>
      <c r="AE68" s="47" t="str">
        <f aca="false">IF($A68="","",IF(AND(INDEX(工程マスタ!$I$5:$I$154,$A68)="○",$E68&gt;=AE$3,$E68&lt;=AE$3+6),"▼",IF(AND($E68&gt;=AE$3,$E68&lt;=AE$3+6),$A68,"")))</f>
        <v/>
      </c>
      <c r="AF68" s="47" t="str">
        <f aca="false">IF($A68="","",IF(AND(INDEX(工程マスタ!$I$5:$I$154,$A68)="○",$E68&gt;=AF$3,$E68&lt;=AF$3+6),"▼",IF(AND($E68&gt;=AF$3,$E68&lt;=AF$3+6),$A68,"")))</f>
        <v/>
      </c>
      <c r="AG68" s="47" t="str">
        <f aca="false">IF($A68="","",IF(AND(INDEX(工程マスタ!$I$5:$I$154,$A68)="○",$E68&gt;=AG$3,$E68&lt;=AG$3+6),"▼",IF(AND($E68&gt;=AG$3,$E68&lt;=AG$3+6),$A68,"")))</f>
        <v/>
      </c>
      <c r="AH68" s="47" t="str">
        <f aca="false">IF($A68="","",IF(AND(INDEX(工程マスタ!$I$5:$I$154,$A68)="○",$E68&gt;=AH$3,$E68&lt;=AH$3+6),"▼",IF(AND($E68&gt;=AH$3,$E68&lt;=AH$3+6),$A68,"")))</f>
        <v/>
      </c>
      <c r="AI68" s="47" t="str">
        <f aca="false">IF($A68="","",IF(AND(INDEX(工程マスタ!$I$5:$I$154,$A68)="○",$E68&gt;=AI$3,$E68&lt;=AI$3+6),"▼",IF(AND($E68&gt;=AI$3,$E68&lt;=AI$3+6),$A68,"")))</f>
        <v/>
      </c>
      <c r="AJ68" s="47" t="str">
        <f aca="false">IF($A68="","",IF(AND(INDEX(工程マスタ!$I$5:$I$154,$A68)="○",$E68&gt;=AJ$3,$E68&lt;=AJ$3+6),"▼",IF(AND($E68&gt;=AJ$3,$E68&lt;=AJ$3+6),$A68,"")))</f>
        <v/>
      </c>
      <c r="AK68" s="47" t="str">
        <f aca="false">IF($A68="","",IF(AND(INDEX(工程マスタ!$I$5:$I$154,$A68)="○",$E68&gt;=AK$3,$E68&lt;=AK$3+6),"▼",IF(AND($E68&gt;=AK$3,$E68&lt;=AK$3+6),$A68,"")))</f>
        <v/>
      </c>
      <c r="AL68" s="47" t="str">
        <f aca="false">IF($A68="","",IF(AND(INDEX(工程マスタ!$I$5:$I$154,$A68)="○",$E68&gt;=AL$3,$E68&lt;=AL$3+6),"▼",IF(AND($E68&gt;=AL$3,$E68&lt;=AL$3+6),$A68,"")))</f>
        <v/>
      </c>
      <c r="AM68" s="47" t="str">
        <f aca="false">IF($A68="","",IF(AND(INDEX(工程マスタ!$I$5:$I$154,$A68)="○",$E68&gt;=AM$3,$E68&lt;=AM$3+6),"▼",IF(AND($E68&gt;=AM$3,$E68&lt;=AM$3+6),$A68,"")))</f>
        <v/>
      </c>
      <c r="AN68" s="47" t="str">
        <f aca="false">IF($A68="","",IF(AND(INDEX(工程マスタ!$I$5:$I$154,$A68)="○",$E68&gt;=AN$3,$E68&lt;=AN$3+6),"▼",IF(AND($E68&gt;=AN$3,$E68&lt;=AN$3+6),$A68,"")))</f>
        <v/>
      </c>
      <c r="AO68" s="47" t="str">
        <f aca="false">IF($A68="","",IF(AND(INDEX(工程マスタ!$I$5:$I$154,$A68)="○",$E68&gt;=AO$3,$E68&lt;=AO$3+6),"▼",IF(AND($E68&gt;=AO$3,$E68&lt;=AO$3+6),$A68,"")))</f>
        <v/>
      </c>
      <c r="AP68" s="47" t="str">
        <f aca="false">IF($A68="","",IF(AND(INDEX(工程マスタ!$I$5:$I$154,$A68)="○",$E68&gt;=AP$3,$E68&lt;=AP$3+6),"▼",IF(AND($E68&gt;=AP$3,$E68&lt;=AP$3+6),$A68,"")))</f>
        <v/>
      </c>
      <c r="AQ68" s="47" t="str">
        <f aca="false">IF($A68="","",IF(AND(INDEX(工程マスタ!$I$5:$I$154,$A68)="○",$E68&gt;=AQ$3,$E68&lt;=AQ$3+6),"▼",IF(AND($E68&gt;=AQ$3,$E68&lt;=AQ$3+6),$A68,"")))</f>
        <v/>
      </c>
      <c r="AR68" s="47" t="str">
        <f aca="false">IF($A68="","",IF(AND(INDEX(工程マスタ!$I$5:$I$154,$A68)="○",$E68&gt;=AR$3,$E68&lt;=AR$3+6),"▼",IF(AND($E68&gt;=AR$3,$E68&lt;=AR$3+6),$A68,"")))</f>
        <v/>
      </c>
      <c r="AS68" s="47" t="str">
        <f aca="false">IF($A68="","",IF(AND(INDEX(工程マスタ!$I$5:$I$154,$A68)="○",$E68&gt;=AS$3,$E68&lt;=AS$3+6),"▼",IF(AND($E68&gt;=AS$3,$E68&lt;=AS$3+6),$A68,"")))</f>
        <v/>
      </c>
      <c r="AT68" s="47" t="str">
        <f aca="false">IF($A68="","",IF(AND(INDEX(工程マスタ!$I$5:$I$154,$A68)="○",$E68&gt;=AT$3,$E68&lt;=AT$3+6),"▼",IF(AND($E68&gt;=AT$3,$E68&lt;=AT$3+6),$A68,"")))</f>
        <v/>
      </c>
      <c r="AU68" s="47" t="str">
        <f aca="false">IF($A68="","",IF(AND(INDEX(工程マスタ!$I$5:$I$154,$A68)="○",$E68&gt;=AU$3,$E68&lt;=AU$3+6),"▼",IF(AND($E68&gt;=AU$3,$E68&lt;=AU$3+6),$A68,"")))</f>
        <v/>
      </c>
      <c r="AV68" s="47" t="str">
        <f aca="false">IF($A68="","",IF(AND(INDEX(工程マスタ!$I$5:$I$154,$A68)="○",$E68&gt;=AV$3,$E68&lt;=AV$3+6),"▼",IF(AND($E68&gt;=AV$3,$E68&lt;=AV$3+6),$A68,"")))</f>
        <v/>
      </c>
      <c r="AW68" s="47" t="str">
        <f aca="false">IF($A68="","",IF(AND(INDEX(工程マスタ!$I$5:$I$154,$A68)="○",$E68&gt;=AW$3,$E68&lt;=AW$3+6),"▼",IF(AND($E68&gt;=AW$3,$E68&lt;=AW$3+6),$A68,"")))</f>
        <v/>
      </c>
      <c r="AX68" s="47" t="str">
        <f aca="false">IF($A68="","",IF(AND(INDEX(工程マスタ!$I$5:$I$154,$A68)="○",$E68&gt;=AX$3,$E68&lt;=AX$3+6),"▼",IF(AND($E68&gt;=AX$3,$E68&lt;=AX$3+6),$A68,"")))</f>
        <v/>
      </c>
      <c r="AY68" s="47" t="str">
        <f aca="false">IF($A68="","",IF(AND(INDEX(工程マスタ!$I$5:$I$154,$A68)="○",$E68&gt;=AY$3,$E68&lt;=AY$3+6),"▼",IF(AND($E68&gt;=AY$3,$E68&lt;=AY$3+6),$A68,"")))</f>
        <v/>
      </c>
      <c r="AZ68" s="47" t="str">
        <f aca="false">IF($A68="","",IF(AND(INDEX(工程マスタ!$I$5:$I$154,$A68)="○",$E68&gt;=AZ$3,$E68&lt;=AZ$3+6),"▼",IF(AND($E68&gt;=AZ$3,$E68&lt;=AZ$3+6),$A68,"")))</f>
        <v/>
      </c>
      <c r="BA68" s="47" t="str">
        <f aca="false">IF($A68="","",IF(AND(INDEX(工程マスタ!$I$5:$I$154,$A68)="○",$E68&gt;=BA$3,$E68&lt;=BA$3+6),"▼",IF(AND($E68&gt;=BA$3,$E68&lt;=BA$3+6),$A68,"")))</f>
        <v/>
      </c>
      <c r="BB68" s="47" t="str">
        <f aca="false">IF($A68="","",IF(AND(INDEX(工程マスタ!$I$5:$I$154,$A68)="○",$E68&gt;=BB$3,$E68&lt;=BB$3+6),"▼",IF(AND($E68&gt;=BB$3,$E68&lt;=BB$3+6),$A68,"")))</f>
        <v/>
      </c>
      <c r="BC68" s="47" t="str">
        <f aca="false">IF($A68="","",IF(AND(INDEX(工程マスタ!$I$5:$I$154,$A68)="○",$E68&gt;=BC$3,$E68&lt;=BC$3+6),"▼",IF(AND($E68&gt;=BC$3,$E68&lt;=BC$3+6),$A68,"")))</f>
        <v/>
      </c>
      <c r="BD68" s="47" t="str">
        <f aca="false">IF($A68="","",IF(AND(INDEX(工程マスタ!$I$5:$I$154,$A68)="○",$E68&gt;=BD$3,$E68&lt;=BD$3+6),"▼",IF(AND($E68&gt;=BD$3,$E68&lt;=BD$3+6),$A68,"")))</f>
        <v/>
      </c>
      <c r="BE68" s="47" t="str">
        <f aca="false">IF($A68="","",IF(AND(INDEX(工程マスタ!$I$5:$I$154,$A68)="○",$E68&gt;=BE$3,$E68&lt;=BE$3+6),"▼",IF(AND($E68&gt;=BE$3,$E68&lt;=BE$3+6),$A68,"")))</f>
        <v/>
      </c>
      <c r="BF68" s="47" t="str">
        <f aca="false">IF($A68="","",IF(AND(INDEX(工程マスタ!$I$5:$I$154,$A68)="○",$E68&gt;=BF$3,$E68&lt;=BF$3+6),"▼",IF(AND($E68&gt;=BF$3,$E68&lt;=BF$3+6),$A68,"")))</f>
        <v/>
      </c>
      <c r="BG68" s="47" t="str">
        <f aca="false">IF($A68="","",IF(AND(INDEX(工程マスタ!$I$5:$I$154,$A68)="○",$E68&gt;=BG$3,$E68&lt;=BG$3+6),"▼",IF(AND($E68&gt;=BG$3,$E68&lt;=BG$3+6),$A68,"")))</f>
        <v/>
      </c>
      <c r="BH68" s="47" t="str">
        <f aca="false">IF($A68="","",IF(AND(INDEX(工程マスタ!$I$5:$I$154,$A68)="○",$E68&gt;=BH$3,$E68&lt;=BH$3+6),"▼",IF(AND($E68&gt;=BH$3,$E68&lt;=BH$3+6),$A68,"")))</f>
        <v/>
      </c>
      <c r="BI68" s="47" t="str">
        <f aca="false">IF($A68="","",IF(AND(INDEX(工程マスタ!$I$5:$I$154,$A68)="○",$E68&gt;=BI$3,$E68&lt;=BI$3+6),"▼",IF(AND($E68&gt;=BI$3,$E68&lt;=BI$3+6),$A68,"")))</f>
        <v/>
      </c>
      <c r="BJ68" s="47" t="str">
        <f aca="false">IF($A68="","",IF(AND(INDEX(工程マスタ!$I$5:$I$154,$A68)="○",$E68&gt;=BJ$3,$E68&lt;=BJ$3+6),"▼",IF(AND($E68&gt;=BJ$3,$E68&lt;=BJ$3+6),$A68,"")))</f>
        <v/>
      </c>
    </row>
    <row r="69" customFormat="false" ht="15" hidden="false" customHeight="false" outlineLevel="0" collapsed="false">
      <c r="A69" s="28" t="str">
        <f aca="false">IF(工程マスタ!$C67="","",工程マスタ!$A67)</f>
        <v/>
      </c>
      <c r="B69" s="46" t="str">
        <f aca="false">IF($A69="","",工程マスタ!$C67)</f>
        <v/>
      </c>
      <c r="C69" s="28" t="str">
        <f aca="false">IF($A69="","",MAX(1,工程マスタ!$G67))</f>
        <v/>
      </c>
      <c r="D69" s="28" t="str">
        <f aca="false">IF($A69="","",_xlfn.TEXTJOIN(",",TRUE(),工程マスタ!$N67:$P67))</f>
        <v/>
      </c>
      <c r="E69" s="29" t="str">
        <f aca="false">IF($A69="","",IF(COUNT(工程マスタ!$N67:$P67)=0,設定!$B$8,MAX(IF(工程マスタ!$N67="",0,INDEX($F$7:$F$156,工程マスタ!$N67)),IF(工程マスタ!$O67="",0,INDEX($F$7:$F$156,工程マスタ!$O67)),IF(工程マスタ!$P67="",0,INDEX($F$7:$F$156,工程マスタ!$P67)))+1))</f>
        <v/>
      </c>
      <c r="F69" s="29" t="str">
        <f aca="false">IF($A69="","",$E69+$C69-1)</f>
        <v/>
      </c>
      <c r="G69" s="29" t="str">
        <f aca="false">IF($A69="","",$H69-$C69+1)</f>
        <v/>
      </c>
      <c r="H69" s="29" t="str">
        <f aca="false" t="array" ref="H69:H69">IF($A69="","",IF(SUMPRODUCT((工程マスタ!$N$68:$N$154=$A69)*1)+SUMPRODUCT((工程マスタ!$O$68:$O$154=$A69)*1)+SUMPRODUCT((工程マスタ!$P$68:$P$154=$A69)*1)=0,MAX($F$7:$F$156),MIN(IF((工程マスタ!$N$68:$N$154=$A69)+(工程マスタ!$O$68:$O$154=$A69)+(工程マスタ!$P$68:$P$154=$A69),$G70:$G$156))-1))</f>
        <v/>
      </c>
      <c r="I69" s="28" t="str">
        <f aca="false">IF($A69="","",$G69-$E69)</f>
        <v/>
      </c>
      <c r="J69" s="28" t="str">
        <f aca="false">IF($A69="","",IF($I69&lt;=0,"●",""))</f>
        <v/>
      </c>
      <c r="K69" s="47" t="str">
        <f aca="false">IF($A69="","",IF(AND(INDEX(工程マスタ!$I$5:$I$154,$A69)="○",$E69&gt;=K$3,$E69&lt;=K$3+6),"▼",IF(AND($E69&gt;=K$3,$E69&lt;=K$3+6),$A69,"")))</f>
        <v/>
      </c>
      <c r="L69" s="47" t="str">
        <f aca="false">IF($A69="","",IF(AND(INDEX(工程マスタ!$I$5:$I$154,$A69)="○",$E69&gt;=L$3,$E69&lt;=L$3+6),"▼",IF(AND($E69&gt;=L$3,$E69&lt;=L$3+6),$A69,"")))</f>
        <v/>
      </c>
      <c r="M69" s="47" t="str">
        <f aca="false">IF($A69="","",IF(AND(INDEX(工程マスタ!$I$5:$I$154,$A69)="○",$E69&gt;=M$3,$E69&lt;=M$3+6),"▼",IF(AND($E69&gt;=M$3,$E69&lt;=M$3+6),$A69,"")))</f>
        <v/>
      </c>
      <c r="N69" s="47" t="str">
        <f aca="false">IF($A69="","",IF(AND(INDEX(工程マスタ!$I$5:$I$154,$A69)="○",$E69&gt;=N$3,$E69&lt;=N$3+6),"▼",IF(AND($E69&gt;=N$3,$E69&lt;=N$3+6),$A69,"")))</f>
        <v/>
      </c>
      <c r="O69" s="47" t="str">
        <f aca="false">IF($A69="","",IF(AND(INDEX(工程マスタ!$I$5:$I$154,$A69)="○",$E69&gt;=O$3,$E69&lt;=O$3+6),"▼",IF(AND($E69&gt;=O$3,$E69&lt;=O$3+6),$A69,"")))</f>
        <v/>
      </c>
      <c r="P69" s="47" t="str">
        <f aca="false">IF($A69="","",IF(AND(INDEX(工程マスタ!$I$5:$I$154,$A69)="○",$E69&gt;=P$3,$E69&lt;=P$3+6),"▼",IF(AND($E69&gt;=P$3,$E69&lt;=P$3+6),$A69,"")))</f>
        <v/>
      </c>
      <c r="Q69" s="47" t="str">
        <f aca="false">IF($A69="","",IF(AND(INDEX(工程マスタ!$I$5:$I$154,$A69)="○",$E69&gt;=Q$3,$E69&lt;=Q$3+6),"▼",IF(AND($E69&gt;=Q$3,$E69&lt;=Q$3+6),$A69,"")))</f>
        <v/>
      </c>
      <c r="R69" s="47" t="str">
        <f aca="false">IF($A69="","",IF(AND(INDEX(工程マスタ!$I$5:$I$154,$A69)="○",$E69&gt;=R$3,$E69&lt;=R$3+6),"▼",IF(AND($E69&gt;=R$3,$E69&lt;=R$3+6),$A69,"")))</f>
        <v/>
      </c>
      <c r="S69" s="47" t="str">
        <f aca="false">IF($A69="","",IF(AND(INDEX(工程マスタ!$I$5:$I$154,$A69)="○",$E69&gt;=S$3,$E69&lt;=S$3+6),"▼",IF(AND($E69&gt;=S$3,$E69&lt;=S$3+6),$A69,"")))</f>
        <v/>
      </c>
      <c r="T69" s="47" t="str">
        <f aca="false">IF($A69="","",IF(AND(INDEX(工程マスタ!$I$5:$I$154,$A69)="○",$E69&gt;=T$3,$E69&lt;=T$3+6),"▼",IF(AND($E69&gt;=T$3,$E69&lt;=T$3+6),$A69,"")))</f>
        <v/>
      </c>
      <c r="U69" s="47" t="str">
        <f aca="false">IF($A69="","",IF(AND(INDEX(工程マスタ!$I$5:$I$154,$A69)="○",$E69&gt;=U$3,$E69&lt;=U$3+6),"▼",IF(AND($E69&gt;=U$3,$E69&lt;=U$3+6),$A69,"")))</f>
        <v/>
      </c>
      <c r="V69" s="47" t="str">
        <f aca="false">IF($A69="","",IF(AND(INDEX(工程マスタ!$I$5:$I$154,$A69)="○",$E69&gt;=V$3,$E69&lt;=V$3+6),"▼",IF(AND($E69&gt;=V$3,$E69&lt;=V$3+6),$A69,"")))</f>
        <v/>
      </c>
      <c r="W69" s="47" t="str">
        <f aca="false">IF($A69="","",IF(AND(INDEX(工程マスタ!$I$5:$I$154,$A69)="○",$E69&gt;=W$3,$E69&lt;=W$3+6),"▼",IF(AND($E69&gt;=W$3,$E69&lt;=W$3+6),$A69,"")))</f>
        <v/>
      </c>
      <c r="X69" s="47" t="str">
        <f aca="false">IF($A69="","",IF(AND(INDEX(工程マスタ!$I$5:$I$154,$A69)="○",$E69&gt;=X$3,$E69&lt;=X$3+6),"▼",IF(AND($E69&gt;=X$3,$E69&lt;=X$3+6),$A69,"")))</f>
        <v/>
      </c>
      <c r="Y69" s="47" t="str">
        <f aca="false">IF($A69="","",IF(AND(INDEX(工程マスタ!$I$5:$I$154,$A69)="○",$E69&gt;=Y$3,$E69&lt;=Y$3+6),"▼",IF(AND($E69&gt;=Y$3,$E69&lt;=Y$3+6),$A69,"")))</f>
        <v/>
      </c>
      <c r="Z69" s="47" t="str">
        <f aca="false">IF($A69="","",IF(AND(INDEX(工程マスタ!$I$5:$I$154,$A69)="○",$E69&gt;=Z$3,$E69&lt;=Z$3+6),"▼",IF(AND($E69&gt;=Z$3,$E69&lt;=Z$3+6),$A69,"")))</f>
        <v/>
      </c>
      <c r="AA69" s="47" t="str">
        <f aca="false">IF($A69="","",IF(AND(INDEX(工程マスタ!$I$5:$I$154,$A69)="○",$E69&gt;=AA$3,$E69&lt;=AA$3+6),"▼",IF(AND($E69&gt;=AA$3,$E69&lt;=AA$3+6),$A69,"")))</f>
        <v/>
      </c>
      <c r="AB69" s="47" t="str">
        <f aca="false">IF($A69="","",IF(AND(INDEX(工程マスタ!$I$5:$I$154,$A69)="○",$E69&gt;=AB$3,$E69&lt;=AB$3+6),"▼",IF(AND($E69&gt;=AB$3,$E69&lt;=AB$3+6),$A69,"")))</f>
        <v/>
      </c>
      <c r="AC69" s="47" t="str">
        <f aca="false">IF($A69="","",IF(AND(INDEX(工程マスタ!$I$5:$I$154,$A69)="○",$E69&gt;=AC$3,$E69&lt;=AC$3+6),"▼",IF(AND($E69&gt;=AC$3,$E69&lt;=AC$3+6),$A69,"")))</f>
        <v/>
      </c>
      <c r="AD69" s="47" t="str">
        <f aca="false">IF($A69="","",IF(AND(INDEX(工程マスタ!$I$5:$I$154,$A69)="○",$E69&gt;=AD$3,$E69&lt;=AD$3+6),"▼",IF(AND($E69&gt;=AD$3,$E69&lt;=AD$3+6),$A69,"")))</f>
        <v/>
      </c>
      <c r="AE69" s="47" t="str">
        <f aca="false">IF($A69="","",IF(AND(INDEX(工程マスタ!$I$5:$I$154,$A69)="○",$E69&gt;=AE$3,$E69&lt;=AE$3+6),"▼",IF(AND($E69&gt;=AE$3,$E69&lt;=AE$3+6),$A69,"")))</f>
        <v/>
      </c>
      <c r="AF69" s="47" t="str">
        <f aca="false">IF($A69="","",IF(AND(INDEX(工程マスタ!$I$5:$I$154,$A69)="○",$E69&gt;=AF$3,$E69&lt;=AF$3+6),"▼",IF(AND($E69&gt;=AF$3,$E69&lt;=AF$3+6),$A69,"")))</f>
        <v/>
      </c>
      <c r="AG69" s="47" t="str">
        <f aca="false">IF($A69="","",IF(AND(INDEX(工程マスタ!$I$5:$I$154,$A69)="○",$E69&gt;=AG$3,$E69&lt;=AG$3+6),"▼",IF(AND($E69&gt;=AG$3,$E69&lt;=AG$3+6),$A69,"")))</f>
        <v/>
      </c>
      <c r="AH69" s="47" t="str">
        <f aca="false">IF($A69="","",IF(AND(INDEX(工程マスタ!$I$5:$I$154,$A69)="○",$E69&gt;=AH$3,$E69&lt;=AH$3+6),"▼",IF(AND($E69&gt;=AH$3,$E69&lt;=AH$3+6),$A69,"")))</f>
        <v/>
      </c>
      <c r="AI69" s="47" t="str">
        <f aca="false">IF($A69="","",IF(AND(INDEX(工程マスタ!$I$5:$I$154,$A69)="○",$E69&gt;=AI$3,$E69&lt;=AI$3+6),"▼",IF(AND($E69&gt;=AI$3,$E69&lt;=AI$3+6),$A69,"")))</f>
        <v/>
      </c>
      <c r="AJ69" s="47" t="str">
        <f aca="false">IF($A69="","",IF(AND(INDEX(工程マスタ!$I$5:$I$154,$A69)="○",$E69&gt;=AJ$3,$E69&lt;=AJ$3+6),"▼",IF(AND($E69&gt;=AJ$3,$E69&lt;=AJ$3+6),$A69,"")))</f>
        <v/>
      </c>
      <c r="AK69" s="47" t="str">
        <f aca="false">IF($A69="","",IF(AND(INDEX(工程マスタ!$I$5:$I$154,$A69)="○",$E69&gt;=AK$3,$E69&lt;=AK$3+6),"▼",IF(AND($E69&gt;=AK$3,$E69&lt;=AK$3+6),$A69,"")))</f>
        <v/>
      </c>
      <c r="AL69" s="47" t="str">
        <f aca="false">IF($A69="","",IF(AND(INDEX(工程マスタ!$I$5:$I$154,$A69)="○",$E69&gt;=AL$3,$E69&lt;=AL$3+6),"▼",IF(AND($E69&gt;=AL$3,$E69&lt;=AL$3+6),$A69,"")))</f>
        <v/>
      </c>
      <c r="AM69" s="47" t="str">
        <f aca="false">IF($A69="","",IF(AND(INDEX(工程マスタ!$I$5:$I$154,$A69)="○",$E69&gt;=AM$3,$E69&lt;=AM$3+6),"▼",IF(AND($E69&gt;=AM$3,$E69&lt;=AM$3+6),$A69,"")))</f>
        <v/>
      </c>
      <c r="AN69" s="47" t="str">
        <f aca="false">IF($A69="","",IF(AND(INDEX(工程マスタ!$I$5:$I$154,$A69)="○",$E69&gt;=AN$3,$E69&lt;=AN$3+6),"▼",IF(AND($E69&gt;=AN$3,$E69&lt;=AN$3+6),$A69,"")))</f>
        <v/>
      </c>
      <c r="AO69" s="47" t="str">
        <f aca="false">IF($A69="","",IF(AND(INDEX(工程マスタ!$I$5:$I$154,$A69)="○",$E69&gt;=AO$3,$E69&lt;=AO$3+6),"▼",IF(AND($E69&gt;=AO$3,$E69&lt;=AO$3+6),$A69,"")))</f>
        <v/>
      </c>
      <c r="AP69" s="47" t="str">
        <f aca="false">IF($A69="","",IF(AND(INDEX(工程マスタ!$I$5:$I$154,$A69)="○",$E69&gt;=AP$3,$E69&lt;=AP$3+6),"▼",IF(AND($E69&gt;=AP$3,$E69&lt;=AP$3+6),$A69,"")))</f>
        <v/>
      </c>
      <c r="AQ69" s="47" t="str">
        <f aca="false">IF($A69="","",IF(AND(INDEX(工程マスタ!$I$5:$I$154,$A69)="○",$E69&gt;=AQ$3,$E69&lt;=AQ$3+6),"▼",IF(AND($E69&gt;=AQ$3,$E69&lt;=AQ$3+6),$A69,"")))</f>
        <v/>
      </c>
      <c r="AR69" s="47" t="str">
        <f aca="false">IF($A69="","",IF(AND(INDEX(工程マスタ!$I$5:$I$154,$A69)="○",$E69&gt;=AR$3,$E69&lt;=AR$3+6),"▼",IF(AND($E69&gt;=AR$3,$E69&lt;=AR$3+6),$A69,"")))</f>
        <v/>
      </c>
      <c r="AS69" s="47" t="str">
        <f aca="false">IF($A69="","",IF(AND(INDEX(工程マスタ!$I$5:$I$154,$A69)="○",$E69&gt;=AS$3,$E69&lt;=AS$3+6),"▼",IF(AND($E69&gt;=AS$3,$E69&lt;=AS$3+6),$A69,"")))</f>
        <v/>
      </c>
      <c r="AT69" s="47" t="str">
        <f aca="false">IF($A69="","",IF(AND(INDEX(工程マスタ!$I$5:$I$154,$A69)="○",$E69&gt;=AT$3,$E69&lt;=AT$3+6),"▼",IF(AND($E69&gt;=AT$3,$E69&lt;=AT$3+6),$A69,"")))</f>
        <v/>
      </c>
      <c r="AU69" s="47" t="str">
        <f aca="false">IF($A69="","",IF(AND(INDEX(工程マスタ!$I$5:$I$154,$A69)="○",$E69&gt;=AU$3,$E69&lt;=AU$3+6),"▼",IF(AND($E69&gt;=AU$3,$E69&lt;=AU$3+6),$A69,"")))</f>
        <v/>
      </c>
      <c r="AV69" s="47" t="str">
        <f aca="false">IF($A69="","",IF(AND(INDEX(工程マスタ!$I$5:$I$154,$A69)="○",$E69&gt;=AV$3,$E69&lt;=AV$3+6),"▼",IF(AND($E69&gt;=AV$3,$E69&lt;=AV$3+6),$A69,"")))</f>
        <v/>
      </c>
      <c r="AW69" s="47" t="str">
        <f aca="false">IF($A69="","",IF(AND(INDEX(工程マスタ!$I$5:$I$154,$A69)="○",$E69&gt;=AW$3,$E69&lt;=AW$3+6),"▼",IF(AND($E69&gt;=AW$3,$E69&lt;=AW$3+6),$A69,"")))</f>
        <v/>
      </c>
      <c r="AX69" s="47" t="str">
        <f aca="false">IF($A69="","",IF(AND(INDEX(工程マスタ!$I$5:$I$154,$A69)="○",$E69&gt;=AX$3,$E69&lt;=AX$3+6),"▼",IF(AND($E69&gt;=AX$3,$E69&lt;=AX$3+6),$A69,"")))</f>
        <v/>
      </c>
      <c r="AY69" s="47" t="str">
        <f aca="false">IF($A69="","",IF(AND(INDEX(工程マスタ!$I$5:$I$154,$A69)="○",$E69&gt;=AY$3,$E69&lt;=AY$3+6),"▼",IF(AND($E69&gt;=AY$3,$E69&lt;=AY$3+6),$A69,"")))</f>
        <v/>
      </c>
      <c r="AZ69" s="47" t="str">
        <f aca="false">IF($A69="","",IF(AND(INDEX(工程マスタ!$I$5:$I$154,$A69)="○",$E69&gt;=AZ$3,$E69&lt;=AZ$3+6),"▼",IF(AND($E69&gt;=AZ$3,$E69&lt;=AZ$3+6),$A69,"")))</f>
        <v/>
      </c>
      <c r="BA69" s="47" t="str">
        <f aca="false">IF($A69="","",IF(AND(INDEX(工程マスタ!$I$5:$I$154,$A69)="○",$E69&gt;=BA$3,$E69&lt;=BA$3+6),"▼",IF(AND($E69&gt;=BA$3,$E69&lt;=BA$3+6),$A69,"")))</f>
        <v/>
      </c>
      <c r="BB69" s="47" t="str">
        <f aca="false">IF($A69="","",IF(AND(INDEX(工程マスタ!$I$5:$I$154,$A69)="○",$E69&gt;=BB$3,$E69&lt;=BB$3+6),"▼",IF(AND($E69&gt;=BB$3,$E69&lt;=BB$3+6),$A69,"")))</f>
        <v/>
      </c>
      <c r="BC69" s="47" t="str">
        <f aca="false">IF($A69="","",IF(AND(INDEX(工程マスタ!$I$5:$I$154,$A69)="○",$E69&gt;=BC$3,$E69&lt;=BC$3+6),"▼",IF(AND($E69&gt;=BC$3,$E69&lt;=BC$3+6),$A69,"")))</f>
        <v/>
      </c>
      <c r="BD69" s="47" t="str">
        <f aca="false">IF($A69="","",IF(AND(INDEX(工程マスタ!$I$5:$I$154,$A69)="○",$E69&gt;=BD$3,$E69&lt;=BD$3+6),"▼",IF(AND($E69&gt;=BD$3,$E69&lt;=BD$3+6),$A69,"")))</f>
        <v/>
      </c>
      <c r="BE69" s="47" t="str">
        <f aca="false">IF($A69="","",IF(AND(INDEX(工程マスタ!$I$5:$I$154,$A69)="○",$E69&gt;=BE$3,$E69&lt;=BE$3+6),"▼",IF(AND($E69&gt;=BE$3,$E69&lt;=BE$3+6),$A69,"")))</f>
        <v/>
      </c>
      <c r="BF69" s="47" t="str">
        <f aca="false">IF($A69="","",IF(AND(INDEX(工程マスタ!$I$5:$I$154,$A69)="○",$E69&gt;=BF$3,$E69&lt;=BF$3+6),"▼",IF(AND($E69&gt;=BF$3,$E69&lt;=BF$3+6),$A69,"")))</f>
        <v/>
      </c>
      <c r="BG69" s="47" t="str">
        <f aca="false">IF($A69="","",IF(AND(INDEX(工程マスタ!$I$5:$I$154,$A69)="○",$E69&gt;=BG$3,$E69&lt;=BG$3+6),"▼",IF(AND($E69&gt;=BG$3,$E69&lt;=BG$3+6),$A69,"")))</f>
        <v/>
      </c>
      <c r="BH69" s="47" t="str">
        <f aca="false">IF($A69="","",IF(AND(INDEX(工程マスタ!$I$5:$I$154,$A69)="○",$E69&gt;=BH$3,$E69&lt;=BH$3+6),"▼",IF(AND($E69&gt;=BH$3,$E69&lt;=BH$3+6),$A69,"")))</f>
        <v/>
      </c>
      <c r="BI69" s="47" t="str">
        <f aca="false">IF($A69="","",IF(AND(INDEX(工程マスタ!$I$5:$I$154,$A69)="○",$E69&gt;=BI$3,$E69&lt;=BI$3+6),"▼",IF(AND($E69&gt;=BI$3,$E69&lt;=BI$3+6),$A69,"")))</f>
        <v/>
      </c>
      <c r="BJ69" s="47" t="str">
        <f aca="false">IF($A69="","",IF(AND(INDEX(工程マスタ!$I$5:$I$154,$A69)="○",$E69&gt;=BJ$3,$E69&lt;=BJ$3+6),"▼",IF(AND($E69&gt;=BJ$3,$E69&lt;=BJ$3+6),$A69,"")))</f>
        <v/>
      </c>
    </row>
    <row r="70" customFormat="false" ht="15" hidden="false" customHeight="false" outlineLevel="0" collapsed="false">
      <c r="A70" s="28" t="str">
        <f aca="false">IF(工程マスタ!$C68="","",工程マスタ!$A68)</f>
        <v/>
      </c>
      <c r="B70" s="46" t="str">
        <f aca="false">IF($A70="","",工程マスタ!$C68)</f>
        <v/>
      </c>
      <c r="C70" s="28" t="str">
        <f aca="false">IF($A70="","",MAX(1,工程マスタ!$G68))</f>
        <v/>
      </c>
      <c r="D70" s="28" t="str">
        <f aca="false">IF($A70="","",_xlfn.TEXTJOIN(",",TRUE(),工程マスタ!$N68:$P68))</f>
        <v/>
      </c>
      <c r="E70" s="29" t="str">
        <f aca="false">IF($A70="","",IF(COUNT(工程マスタ!$N68:$P68)=0,設定!$B$8,MAX(IF(工程マスタ!$N68="",0,INDEX($F$7:$F$156,工程マスタ!$N68)),IF(工程マスタ!$O68="",0,INDEX($F$7:$F$156,工程マスタ!$O68)),IF(工程マスタ!$P68="",0,INDEX($F$7:$F$156,工程マスタ!$P68)))+1))</f>
        <v/>
      </c>
      <c r="F70" s="29" t="str">
        <f aca="false">IF($A70="","",$E70+$C70-1)</f>
        <v/>
      </c>
      <c r="G70" s="29" t="str">
        <f aca="false">IF($A70="","",$H70-$C70+1)</f>
        <v/>
      </c>
      <c r="H70" s="29" t="str">
        <f aca="false" t="array" ref="H70:H70">IF($A70="","",IF(SUMPRODUCT((工程マスタ!$N$69:$N$154=$A70)*1)+SUMPRODUCT((工程マスタ!$O$69:$O$154=$A70)*1)+SUMPRODUCT((工程マスタ!$P$69:$P$154=$A70)*1)=0,MAX($F$7:$F$156),MIN(IF((工程マスタ!$N$69:$N$154=$A70)+(工程マスタ!$O$69:$O$154=$A70)+(工程マスタ!$P$69:$P$154=$A70),$G71:$G$156))-1))</f>
        <v/>
      </c>
      <c r="I70" s="28" t="str">
        <f aca="false">IF($A70="","",$G70-$E70)</f>
        <v/>
      </c>
      <c r="J70" s="28" t="str">
        <f aca="false">IF($A70="","",IF($I70&lt;=0,"●",""))</f>
        <v/>
      </c>
      <c r="K70" s="47" t="str">
        <f aca="false">IF($A70="","",IF(AND(INDEX(工程マスタ!$I$5:$I$154,$A70)="○",$E70&gt;=K$3,$E70&lt;=K$3+6),"▼",IF(AND($E70&gt;=K$3,$E70&lt;=K$3+6),$A70,"")))</f>
        <v/>
      </c>
      <c r="L70" s="47" t="str">
        <f aca="false">IF($A70="","",IF(AND(INDEX(工程マスタ!$I$5:$I$154,$A70)="○",$E70&gt;=L$3,$E70&lt;=L$3+6),"▼",IF(AND($E70&gt;=L$3,$E70&lt;=L$3+6),$A70,"")))</f>
        <v/>
      </c>
      <c r="M70" s="47" t="str">
        <f aca="false">IF($A70="","",IF(AND(INDEX(工程マスタ!$I$5:$I$154,$A70)="○",$E70&gt;=M$3,$E70&lt;=M$3+6),"▼",IF(AND($E70&gt;=M$3,$E70&lt;=M$3+6),$A70,"")))</f>
        <v/>
      </c>
      <c r="N70" s="47" t="str">
        <f aca="false">IF($A70="","",IF(AND(INDEX(工程マスタ!$I$5:$I$154,$A70)="○",$E70&gt;=N$3,$E70&lt;=N$3+6),"▼",IF(AND($E70&gt;=N$3,$E70&lt;=N$3+6),$A70,"")))</f>
        <v/>
      </c>
      <c r="O70" s="47" t="str">
        <f aca="false">IF($A70="","",IF(AND(INDEX(工程マスタ!$I$5:$I$154,$A70)="○",$E70&gt;=O$3,$E70&lt;=O$3+6),"▼",IF(AND($E70&gt;=O$3,$E70&lt;=O$3+6),$A70,"")))</f>
        <v/>
      </c>
      <c r="P70" s="47" t="str">
        <f aca="false">IF($A70="","",IF(AND(INDEX(工程マスタ!$I$5:$I$154,$A70)="○",$E70&gt;=P$3,$E70&lt;=P$3+6),"▼",IF(AND($E70&gt;=P$3,$E70&lt;=P$3+6),$A70,"")))</f>
        <v/>
      </c>
      <c r="Q70" s="47" t="str">
        <f aca="false">IF($A70="","",IF(AND(INDEX(工程マスタ!$I$5:$I$154,$A70)="○",$E70&gt;=Q$3,$E70&lt;=Q$3+6),"▼",IF(AND($E70&gt;=Q$3,$E70&lt;=Q$3+6),$A70,"")))</f>
        <v/>
      </c>
      <c r="R70" s="47" t="str">
        <f aca="false">IF($A70="","",IF(AND(INDEX(工程マスタ!$I$5:$I$154,$A70)="○",$E70&gt;=R$3,$E70&lt;=R$3+6),"▼",IF(AND($E70&gt;=R$3,$E70&lt;=R$3+6),$A70,"")))</f>
        <v/>
      </c>
      <c r="S70" s="47" t="str">
        <f aca="false">IF($A70="","",IF(AND(INDEX(工程マスタ!$I$5:$I$154,$A70)="○",$E70&gt;=S$3,$E70&lt;=S$3+6),"▼",IF(AND($E70&gt;=S$3,$E70&lt;=S$3+6),$A70,"")))</f>
        <v/>
      </c>
      <c r="T70" s="47" t="str">
        <f aca="false">IF($A70="","",IF(AND(INDEX(工程マスタ!$I$5:$I$154,$A70)="○",$E70&gt;=T$3,$E70&lt;=T$3+6),"▼",IF(AND($E70&gt;=T$3,$E70&lt;=T$3+6),$A70,"")))</f>
        <v/>
      </c>
      <c r="U70" s="47" t="str">
        <f aca="false">IF($A70="","",IF(AND(INDEX(工程マスタ!$I$5:$I$154,$A70)="○",$E70&gt;=U$3,$E70&lt;=U$3+6),"▼",IF(AND($E70&gt;=U$3,$E70&lt;=U$3+6),$A70,"")))</f>
        <v/>
      </c>
      <c r="V70" s="47" t="str">
        <f aca="false">IF($A70="","",IF(AND(INDEX(工程マスタ!$I$5:$I$154,$A70)="○",$E70&gt;=V$3,$E70&lt;=V$3+6),"▼",IF(AND($E70&gt;=V$3,$E70&lt;=V$3+6),$A70,"")))</f>
        <v/>
      </c>
      <c r="W70" s="47" t="str">
        <f aca="false">IF($A70="","",IF(AND(INDEX(工程マスタ!$I$5:$I$154,$A70)="○",$E70&gt;=W$3,$E70&lt;=W$3+6),"▼",IF(AND($E70&gt;=W$3,$E70&lt;=W$3+6),$A70,"")))</f>
        <v/>
      </c>
      <c r="X70" s="47" t="str">
        <f aca="false">IF($A70="","",IF(AND(INDEX(工程マスタ!$I$5:$I$154,$A70)="○",$E70&gt;=X$3,$E70&lt;=X$3+6),"▼",IF(AND($E70&gt;=X$3,$E70&lt;=X$3+6),$A70,"")))</f>
        <v/>
      </c>
      <c r="Y70" s="47" t="str">
        <f aca="false">IF($A70="","",IF(AND(INDEX(工程マスタ!$I$5:$I$154,$A70)="○",$E70&gt;=Y$3,$E70&lt;=Y$3+6),"▼",IF(AND($E70&gt;=Y$3,$E70&lt;=Y$3+6),$A70,"")))</f>
        <v/>
      </c>
      <c r="Z70" s="47" t="str">
        <f aca="false">IF($A70="","",IF(AND(INDEX(工程マスタ!$I$5:$I$154,$A70)="○",$E70&gt;=Z$3,$E70&lt;=Z$3+6),"▼",IF(AND($E70&gt;=Z$3,$E70&lt;=Z$3+6),$A70,"")))</f>
        <v/>
      </c>
      <c r="AA70" s="47" t="str">
        <f aca="false">IF($A70="","",IF(AND(INDEX(工程マスタ!$I$5:$I$154,$A70)="○",$E70&gt;=AA$3,$E70&lt;=AA$3+6),"▼",IF(AND($E70&gt;=AA$3,$E70&lt;=AA$3+6),$A70,"")))</f>
        <v/>
      </c>
      <c r="AB70" s="47" t="str">
        <f aca="false">IF($A70="","",IF(AND(INDEX(工程マスタ!$I$5:$I$154,$A70)="○",$E70&gt;=AB$3,$E70&lt;=AB$3+6),"▼",IF(AND($E70&gt;=AB$3,$E70&lt;=AB$3+6),$A70,"")))</f>
        <v/>
      </c>
      <c r="AC70" s="47" t="str">
        <f aca="false">IF($A70="","",IF(AND(INDEX(工程マスタ!$I$5:$I$154,$A70)="○",$E70&gt;=AC$3,$E70&lt;=AC$3+6),"▼",IF(AND($E70&gt;=AC$3,$E70&lt;=AC$3+6),$A70,"")))</f>
        <v/>
      </c>
      <c r="AD70" s="47" t="str">
        <f aca="false">IF($A70="","",IF(AND(INDEX(工程マスタ!$I$5:$I$154,$A70)="○",$E70&gt;=AD$3,$E70&lt;=AD$3+6),"▼",IF(AND($E70&gt;=AD$3,$E70&lt;=AD$3+6),$A70,"")))</f>
        <v/>
      </c>
      <c r="AE70" s="47" t="str">
        <f aca="false">IF($A70="","",IF(AND(INDEX(工程マスタ!$I$5:$I$154,$A70)="○",$E70&gt;=AE$3,$E70&lt;=AE$3+6),"▼",IF(AND($E70&gt;=AE$3,$E70&lt;=AE$3+6),$A70,"")))</f>
        <v/>
      </c>
      <c r="AF70" s="47" t="str">
        <f aca="false">IF($A70="","",IF(AND(INDEX(工程マスタ!$I$5:$I$154,$A70)="○",$E70&gt;=AF$3,$E70&lt;=AF$3+6),"▼",IF(AND($E70&gt;=AF$3,$E70&lt;=AF$3+6),$A70,"")))</f>
        <v/>
      </c>
      <c r="AG70" s="47" t="str">
        <f aca="false">IF($A70="","",IF(AND(INDEX(工程マスタ!$I$5:$I$154,$A70)="○",$E70&gt;=AG$3,$E70&lt;=AG$3+6),"▼",IF(AND($E70&gt;=AG$3,$E70&lt;=AG$3+6),$A70,"")))</f>
        <v/>
      </c>
      <c r="AH70" s="47" t="str">
        <f aca="false">IF($A70="","",IF(AND(INDEX(工程マスタ!$I$5:$I$154,$A70)="○",$E70&gt;=AH$3,$E70&lt;=AH$3+6),"▼",IF(AND($E70&gt;=AH$3,$E70&lt;=AH$3+6),$A70,"")))</f>
        <v/>
      </c>
      <c r="AI70" s="47" t="str">
        <f aca="false">IF($A70="","",IF(AND(INDEX(工程マスタ!$I$5:$I$154,$A70)="○",$E70&gt;=AI$3,$E70&lt;=AI$3+6),"▼",IF(AND($E70&gt;=AI$3,$E70&lt;=AI$3+6),$A70,"")))</f>
        <v/>
      </c>
      <c r="AJ70" s="47" t="str">
        <f aca="false">IF($A70="","",IF(AND(INDEX(工程マスタ!$I$5:$I$154,$A70)="○",$E70&gt;=AJ$3,$E70&lt;=AJ$3+6),"▼",IF(AND($E70&gt;=AJ$3,$E70&lt;=AJ$3+6),$A70,"")))</f>
        <v/>
      </c>
      <c r="AK70" s="47" t="str">
        <f aca="false">IF($A70="","",IF(AND(INDEX(工程マスタ!$I$5:$I$154,$A70)="○",$E70&gt;=AK$3,$E70&lt;=AK$3+6),"▼",IF(AND($E70&gt;=AK$3,$E70&lt;=AK$3+6),$A70,"")))</f>
        <v/>
      </c>
      <c r="AL70" s="47" t="str">
        <f aca="false">IF($A70="","",IF(AND(INDEX(工程マスタ!$I$5:$I$154,$A70)="○",$E70&gt;=AL$3,$E70&lt;=AL$3+6),"▼",IF(AND($E70&gt;=AL$3,$E70&lt;=AL$3+6),$A70,"")))</f>
        <v/>
      </c>
      <c r="AM70" s="47" t="str">
        <f aca="false">IF($A70="","",IF(AND(INDEX(工程マスタ!$I$5:$I$154,$A70)="○",$E70&gt;=AM$3,$E70&lt;=AM$3+6),"▼",IF(AND($E70&gt;=AM$3,$E70&lt;=AM$3+6),$A70,"")))</f>
        <v/>
      </c>
      <c r="AN70" s="47" t="str">
        <f aca="false">IF($A70="","",IF(AND(INDEX(工程マスタ!$I$5:$I$154,$A70)="○",$E70&gt;=AN$3,$E70&lt;=AN$3+6),"▼",IF(AND($E70&gt;=AN$3,$E70&lt;=AN$3+6),$A70,"")))</f>
        <v/>
      </c>
      <c r="AO70" s="47" t="str">
        <f aca="false">IF($A70="","",IF(AND(INDEX(工程マスタ!$I$5:$I$154,$A70)="○",$E70&gt;=AO$3,$E70&lt;=AO$3+6),"▼",IF(AND($E70&gt;=AO$3,$E70&lt;=AO$3+6),$A70,"")))</f>
        <v/>
      </c>
      <c r="AP70" s="47" t="str">
        <f aca="false">IF($A70="","",IF(AND(INDEX(工程マスタ!$I$5:$I$154,$A70)="○",$E70&gt;=AP$3,$E70&lt;=AP$3+6),"▼",IF(AND($E70&gt;=AP$3,$E70&lt;=AP$3+6),$A70,"")))</f>
        <v/>
      </c>
      <c r="AQ70" s="47" t="str">
        <f aca="false">IF($A70="","",IF(AND(INDEX(工程マスタ!$I$5:$I$154,$A70)="○",$E70&gt;=AQ$3,$E70&lt;=AQ$3+6),"▼",IF(AND($E70&gt;=AQ$3,$E70&lt;=AQ$3+6),$A70,"")))</f>
        <v/>
      </c>
      <c r="AR70" s="47" t="str">
        <f aca="false">IF($A70="","",IF(AND(INDEX(工程マスタ!$I$5:$I$154,$A70)="○",$E70&gt;=AR$3,$E70&lt;=AR$3+6),"▼",IF(AND($E70&gt;=AR$3,$E70&lt;=AR$3+6),$A70,"")))</f>
        <v/>
      </c>
      <c r="AS70" s="47" t="str">
        <f aca="false">IF($A70="","",IF(AND(INDEX(工程マスタ!$I$5:$I$154,$A70)="○",$E70&gt;=AS$3,$E70&lt;=AS$3+6),"▼",IF(AND($E70&gt;=AS$3,$E70&lt;=AS$3+6),$A70,"")))</f>
        <v/>
      </c>
      <c r="AT70" s="47" t="str">
        <f aca="false">IF($A70="","",IF(AND(INDEX(工程マスタ!$I$5:$I$154,$A70)="○",$E70&gt;=AT$3,$E70&lt;=AT$3+6),"▼",IF(AND($E70&gt;=AT$3,$E70&lt;=AT$3+6),$A70,"")))</f>
        <v/>
      </c>
      <c r="AU70" s="47" t="str">
        <f aca="false">IF($A70="","",IF(AND(INDEX(工程マスタ!$I$5:$I$154,$A70)="○",$E70&gt;=AU$3,$E70&lt;=AU$3+6),"▼",IF(AND($E70&gt;=AU$3,$E70&lt;=AU$3+6),$A70,"")))</f>
        <v/>
      </c>
      <c r="AV70" s="47" t="str">
        <f aca="false">IF($A70="","",IF(AND(INDEX(工程マスタ!$I$5:$I$154,$A70)="○",$E70&gt;=AV$3,$E70&lt;=AV$3+6),"▼",IF(AND($E70&gt;=AV$3,$E70&lt;=AV$3+6),$A70,"")))</f>
        <v/>
      </c>
      <c r="AW70" s="47" t="str">
        <f aca="false">IF($A70="","",IF(AND(INDEX(工程マスタ!$I$5:$I$154,$A70)="○",$E70&gt;=AW$3,$E70&lt;=AW$3+6),"▼",IF(AND($E70&gt;=AW$3,$E70&lt;=AW$3+6),$A70,"")))</f>
        <v/>
      </c>
      <c r="AX70" s="47" t="str">
        <f aca="false">IF($A70="","",IF(AND(INDEX(工程マスタ!$I$5:$I$154,$A70)="○",$E70&gt;=AX$3,$E70&lt;=AX$3+6),"▼",IF(AND($E70&gt;=AX$3,$E70&lt;=AX$3+6),$A70,"")))</f>
        <v/>
      </c>
      <c r="AY70" s="47" t="str">
        <f aca="false">IF($A70="","",IF(AND(INDEX(工程マスタ!$I$5:$I$154,$A70)="○",$E70&gt;=AY$3,$E70&lt;=AY$3+6),"▼",IF(AND($E70&gt;=AY$3,$E70&lt;=AY$3+6),$A70,"")))</f>
        <v/>
      </c>
      <c r="AZ70" s="47" t="str">
        <f aca="false">IF($A70="","",IF(AND(INDEX(工程マスタ!$I$5:$I$154,$A70)="○",$E70&gt;=AZ$3,$E70&lt;=AZ$3+6),"▼",IF(AND($E70&gt;=AZ$3,$E70&lt;=AZ$3+6),$A70,"")))</f>
        <v/>
      </c>
      <c r="BA70" s="47" t="str">
        <f aca="false">IF($A70="","",IF(AND(INDEX(工程マスタ!$I$5:$I$154,$A70)="○",$E70&gt;=BA$3,$E70&lt;=BA$3+6),"▼",IF(AND($E70&gt;=BA$3,$E70&lt;=BA$3+6),$A70,"")))</f>
        <v/>
      </c>
      <c r="BB70" s="47" t="str">
        <f aca="false">IF($A70="","",IF(AND(INDEX(工程マスタ!$I$5:$I$154,$A70)="○",$E70&gt;=BB$3,$E70&lt;=BB$3+6),"▼",IF(AND($E70&gt;=BB$3,$E70&lt;=BB$3+6),$A70,"")))</f>
        <v/>
      </c>
      <c r="BC70" s="47" t="str">
        <f aca="false">IF($A70="","",IF(AND(INDEX(工程マスタ!$I$5:$I$154,$A70)="○",$E70&gt;=BC$3,$E70&lt;=BC$3+6),"▼",IF(AND($E70&gt;=BC$3,$E70&lt;=BC$3+6),$A70,"")))</f>
        <v/>
      </c>
      <c r="BD70" s="47" t="str">
        <f aca="false">IF($A70="","",IF(AND(INDEX(工程マスタ!$I$5:$I$154,$A70)="○",$E70&gt;=BD$3,$E70&lt;=BD$3+6),"▼",IF(AND($E70&gt;=BD$3,$E70&lt;=BD$3+6),$A70,"")))</f>
        <v/>
      </c>
      <c r="BE70" s="47" t="str">
        <f aca="false">IF($A70="","",IF(AND(INDEX(工程マスタ!$I$5:$I$154,$A70)="○",$E70&gt;=BE$3,$E70&lt;=BE$3+6),"▼",IF(AND($E70&gt;=BE$3,$E70&lt;=BE$3+6),$A70,"")))</f>
        <v/>
      </c>
      <c r="BF70" s="47" t="str">
        <f aca="false">IF($A70="","",IF(AND(INDEX(工程マスタ!$I$5:$I$154,$A70)="○",$E70&gt;=BF$3,$E70&lt;=BF$3+6),"▼",IF(AND($E70&gt;=BF$3,$E70&lt;=BF$3+6),$A70,"")))</f>
        <v/>
      </c>
      <c r="BG70" s="47" t="str">
        <f aca="false">IF($A70="","",IF(AND(INDEX(工程マスタ!$I$5:$I$154,$A70)="○",$E70&gt;=BG$3,$E70&lt;=BG$3+6),"▼",IF(AND($E70&gt;=BG$3,$E70&lt;=BG$3+6),$A70,"")))</f>
        <v/>
      </c>
      <c r="BH70" s="47" t="str">
        <f aca="false">IF($A70="","",IF(AND(INDEX(工程マスタ!$I$5:$I$154,$A70)="○",$E70&gt;=BH$3,$E70&lt;=BH$3+6),"▼",IF(AND($E70&gt;=BH$3,$E70&lt;=BH$3+6),$A70,"")))</f>
        <v/>
      </c>
      <c r="BI70" s="47" t="str">
        <f aca="false">IF($A70="","",IF(AND(INDEX(工程マスタ!$I$5:$I$154,$A70)="○",$E70&gt;=BI$3,$E70&lt;=BI$3+6),"▼",IF(AND($E70&gt;=BI$3,$E70&lt;=BI$3+6),$A70,"")))</f>
        <v/>
      </c>
      <c r="BJ70" s="47" t="str">
        <f aca="false">IF($A70="","",IF(AND(INDEX(工程マスタ!$I$5:$I$154,$A70)="○",$E70&gt;=BJ$3,$E70&lt;=BJ$3+6),"▼",IF(AND($E70&gt;=BJ$3,$E70&lt;=BJ$3+6),$A70,"")))</f>
        <v/>
      </c>
    </row>
    <row r="71" customFormat="false" ht="15" hidden="false" customHeight="false" outlineLevel="0" collapsed="false">
      <c r="A71" s="28" t="str">
        <f aca="false">IF(工程マスタ!$C69="","",工程マスタ!$A69)</f>
        <v/>
      </c>
      <c r="B71" s="46" t="str">
        <f aca="false">IF($A71="","",工程マスタ!$C69)</f>
        <v/>
      </c>
      <c r="C71" s="28" t="str">
        <f aca="false">IF($A71="","",MAX(1,工程マスタ!$G69))</f>
        <v/>
      </c>
      <c r="D71" s="28" t="str">
        <f aca="false">IF($A71="","",_xlfn.TEXTJOIN(",",TRUE(),工程マスタ!$N69:$P69))</f>
        <v/>
      </c>
      <c r="E71" s="29" t="str">
        <f aca="false">IF($A71="","",IF(COUNT(工程マスタ!$N69:$P69)=0,設定!$B$8,MAX(IF(工程マスタ!$N69="",0,INDEX($F$7:$F$156,工程マスタ!$N69)),IF(工程マスタ!$O69="",0,INDEX($F$7:$F$156,工程マスタ!$O69)),IF(工程マスタ!$P69="",0,INDEX($F$7:$F$156,工程マスタ!$P69)))+1))</f>
        <v/>
      </c>
      <c r="F71" s="29" t="str">
        <f aca="false">IF($A71="","",$E71+$C71-1)</f>
        <v/>
      </c>
      <c r="G71" s="29" t="str">
        <f aca="false">IF($A71="","",$H71-$C71+1)</f>
        <v/>
      </c>
      <c r="H71" s="29" t="str">
        <f aca="false" t="array" ref="H71:H71">IF($A71="","",IF(SUMPRODUCT((工程マスタ!$N$70:$N$154=$A71)*1)+SUMPRODUCT((工程マスタ!$O$70:$O$154=$A71)*1)+SUMPRODUCT((工程マスタ!$P$70:$P$154=$A71)*1)=0,MAX($F$7:$F$156),MIN(IF((工程マスタ!$N$70:$N$154=$A71)+(工程マスタ!$O$70:$O$154=$A71)+(工程マスタ!$P$70:$P$154=$A71),$G72:$G$156))-1))</f>
        <v/>
      </c>
      <c r="I71" s="28" t="str">
        <f aca="false">IF($A71="","",$G71-$E71)</f>
        <v/>
      </c>
      <c r="J71" s="28" t="str">
        <f aca="false">IF($A71="","",IF($I71&lt;=0,"●",""))</f>
        <v/>
      </c>
      <c r="K71" s="47" t="str">
        <f aca="false">IF($A71="","",IF(AND(INDEX(工程マスタ!$I$5:$I$154,$A71)="○",$E71&gt;=K$3,$E71&lt;=K$3+6),"▼",IF(AND($E71&gt;=K$3,$E71&lt;=K$3+6),$A71,"")))</f>
        <v/>
      </c>
      <c r="L71" s="47" t="str">
        <f aca="false">IF($A71="","",IF(AND(INDEX(工程マスタ!$I$5:$I$154,$A71)="○",$E71&gt;=L$3,$E71&lt;=L$3+6),"▼",IF(AND($E71&gt;=L$3,$E71&lt;=L$3+6),$A71,"")))</f>
        <v/>
      </c>
      <c r="M71" s="47" t="str">
        <f aca="false">IF($A71="","",IF(AND(INDEX(工程マスタ!$I$5:$I$154,$A71)="○",$E71&gt;=M$3,$E71&lt;=M$3+6),"▼",IF(AND($E71&gt;=M$3,$E71&lt;=M$3+6),$A71,"")))</f>
        <v/>
      </c>
      <c r="N71" s="47" t="str">
        <f aca="false">IF($A71="","",IF(AND(INDEX(工程マスタ!$I$5:$I$154,$A71)="○",$E71&gt;=N$3,$E71&lt;=N$3+6),"▼",IF(AND($E71&gt;=N$3,$E71&lt;=N$3+6),$A71,"")))</f>
        <v/>
      </c>
      <c r="O71" s="47" t="str">
        <f aca="false">IF($A71="","",IF(AND(INDEX(工程マスタ!$I$5:$I$154,$A71)="○",$E71&gt;=O$3,$E71&lt;=O$3+6),"▼",IF(AND($E71&gt;=O$3,$E71&lt;=O$3+6),$A71,"")))</f>
        <v/>
      </c>
      <c r="P71" s="47" t="str">
        <f aca="false">IF($A71="","",IF(AND(INDEX(工程マスタ!$I$5:$I$154,$A71)="○",$E71&gt;=P$3,$E71&lt;=P$3+6),"▼",IF(AND($E71&gt;=P$3,$E71&lt;=P$3+6),$A71,"")))</f>
        <v/>
      </c>
      <c r="Q71" s="47" t="str">
        <f aca="false">IF($A71="","",IF(AND(INDEX(工程マスタ!$I$5:$I$154,$A71)="○",$E71&gt;=Q$3,$E71&lt;=Q$3+6),"▼",IF(AND($E71&gt;=Q$3,$E71&lt;=Q$3+6),$A71,"")))</f>
        <v/>
      </c>
      <c r="R71" s="47" t="str">
        <f aca="false">IF($A71="","",IF(AND(INDEX(工程マスタ!$I$5:$I$154,$A71)="○",$E71&gt;=R$3,$E71&lt;=R$3+6),"▼",IF(AND($E71&gt;=R$3,$E71&lt;=R$3+6),$A71,"")))</f>
        <v/>
      </c>
      <c r="S71" s="47" t="str">
        <f aca="false">IF($A71="","",IF(AND(INDEX(工程マスタ!$I$5:$I$154,$A71)="○",$E71&gt;=S$3,$E71&lt;=S$3+6),"▼",IF(AND($E71&gt;=S$3,$E71&lt;=S$3+6),$A71,"")))</f>
        <v/>
      </c>
      <c r="T71" s="47" t="str">
        <f aca="false">IF($A71="","",IF(AND(INDEX(工程マスタ!$I$5:$I$154,$A71)="○",$E71&gt;=T$3,$E71&lt;=T$3+6),"▼",IF(AND($E71&gt;=T$3,$E71&lt;=T$3+6),$A71,"")))</f>
        <v/>
      </c>
      <c r="U71" s="47" t="str">
        <f aca="false">IF($A71="","",IF(AND(INDEX(工程マスタ!$I$5:$I$154,$A71)="○",$E71&gt;=U$3,$E71&lt;=U$3+6),"▼",IF(AND($E71&gt;=U$3,$E71&lt;=U$3+6),$A71,"")))</f>
        <v/>
      </c>
      <c r="V71" s="47" t="str">
        <f aca="false">IF($A71="","",IF(AND(INDEX(工程マスタ!$I$5:$I$154,$A71)="○",$E71&gt;=V$3,$E71&lt;=V$3+6),"▼",IF(AND($E71&gt;=V$3,$E71&lt;=V$3+6),$A71,"")))</f>
        <v/>
      </c>
      <c r="W71" s="47" t="str">
        <f aca="false">IF($A71="","",IF(AND(INDEX(工程マスタ!$I$5:$I$154,$A71)="○",$E71&gt;=W$3,$E71&lt;=W$3+6),"▼",IF(AND($E71&gt;=W$3,$E71&lt;=W$3+6),$A71,"")))</f>
        <v/>
      </c>
      <c r="X71" s="47" t="str">
        <f aca="false">IF($A71="","",IF(AND(INDEX(工程マスタ!$I$5:$I$154,$A71)="○",$E71&gt;=X$3,$E71&lt;=X$3+6),"▼",IF(AND($E71&gt;=X$3,$E71&lt;=X$3+6),$A71,"")))</f>
        <v/>
      </c>
      <c r="Y71" s="47" t="str">
        <f aca="false">IF($A71="","",IF(AND(INDEX(工程マスタ!$I$5:$I$154,$A71)="○",$E71&gt;=Y$3,$E71&lt;=Y$3+6),"▼",IF(AND($E71&gt;=Y$3,$E71&lt;=Y$3+6),$A71,"")))</f>
        <v/>
      </c>
      <c r="Z71" s="47" t="str">
        <f aca="false">IF($A71="","",IF(AND(INDEX(工程マスタ!$I$5:$I$154,$A71)="○",$E71&gt;=Z$3,$E71&lt;=Z$3+6),"▼",IF(AND($E71&gt;=Z$3,$E71&lt;=Z$3+6),$A71,"")))</f>
        <v/>
      </c>
      <c r="AA71" s="47" t="str">
        <f aca="false">IF($A71="","",IF(AND(INDEX(工程マスタ!$I$5:$I$154,$A71)="○",$E71&gt;=AA$3,$E71&lt;=AA$3+6),"▼",IF(AND($E71&gt;=AA$3,$E71&lt;=AA$3+6),$A71,"")))</f>
        <v/>
      </c>
      <c r="AB71" s="47" t="str">
        <f aca="false">IF($A71="","",IF(AND(INDEX(工程マスタ!$I$5:$I$154,$A71)="○",$E71&gt;=AB$3,$E71&lt;=AB$3+6),"▼",IF(AND($E71&gt;=AB$3,$E71&lt;=AB$3+6),$A71,"")))</f>
        <v/>
      </c>
      <c r="AC71" s="47" t="str">
        <f aca="false">IF($A71="","",IF(AND(INDEX(工程マスタ!$I$5:$I$154,$A71)="○",$E71&gt;=AC$3,$E71&lt;=AC$3+6),"▼",IF(AND($E71&gt;=AC$3,$E71&lt;=AC$3+6),$A71,"")))</f>
        <v/>
      </c>
      <c r="AD71" s="47" t="str">
        <f aca="false">IF($A71="","",IF(AND(INDEX(工程マスタ!$I$5:$I$154,$A71)="○",$E71&gt;=AD$3,$E71&lt;=AD$3+6),"▼",IF(AND($E71&gt;=AD$3,$E71&lt;=AD$3+6),$A71,"")))</f>
        <v/>
      </c>
      <c r="AE71" s="47" t="str">
        <f aca="false">IF($A71="","",IF(AND(INDEX(工程マスタ!$I$5:$I$154,$A71)="○",$E71&gt;=AE$3,$E71&lt;=AE$3+6),"▼",IF(AND($E71&gt;=AE$3,$E71&lt;=AE$3+6),$A71,"")))</f>
        <v/>
      </c>
      <c r="AF71" s="47" t="str">
        <f aca="false">IF($A71="","",IF(AND(INDEX(工程マスタ!$I$5:$I$154,$A71)="○",$E71&gt;=AF$3,$E71&lt;=AF$3+6),"▼",IF(AND($E71&gt;=AF$3,$E71&lt;=AF$3+6),$A71,"")))</f>
        <v/>
      </c>
      <c r="AG71" s="47" t="str">
        <f aca="false">IF($A71="","",IF(AND(INDEX(工程マスタ!$I$5:$I$154,$A71)="○",$E71&gt;=AG$3,$E71&lt;=AG$3+6),"▼",IF(AND($E71&gt;=AG$3,$E71&lt;=AG$3+6),$A71,"")))</f>
        <v/>
      </c>
      <c r="AH71" s="47" t="str">
        <f aca="false">IF($A71="","",IF(AND(INDEX(工程マスタ!$I$5:$I$154,$A71)="○",$E71&gt;=AH$3,$E71&lt;=AH$3+6),"▼",IF(AND($E71&gt;=AH$3,$E71&lt;=AH$3+6),$A71,"")))</f>
        <v/>
      </c>
      <c r="AI71" s="47" t="str">
        <f aca="false">IF($A71="","",IF(AND(INDEX(工程マスタ!$I$5:$I$154,$A71)="○",$E71&gt;=AI$3,$E71&lt;=AI$3+6),"▼",IF(AND($E71&gt;=AI$3,$E71&lt;=AI$3+6),$A71,"")))</f>
        <v/>
      </c>
      <c r="AJ71" s="47" t="str">
        <f aca="false">IF($A71="","",IF(AND(INDEX(工程マスタ!$I$5:$I$154,$A71)="○",$E71&gt;=AJ$3,$E71&lt;=AJ$3+6),"▼",IF(AND($E71&gt;=AJ$3,$E71&lt;=AJ$3+6),$A71,"")))</f>
        <v/>
      </c>
      <c r="AK71" s="47" t="str">
        <f aca="false">IF($A71="","",IF(AND(INDEX(工程マスタ!$I$5:$I$154,$A71)="○",$E71&gt;=AK$3,$E71&lt;=AK$3+6),"▼",IF(AND($E71&gt;=AK$3,$E71&lt;=AK$3+6),$A71,"")))</f>
        <v/>
      </c>
      <c r="AL71" s="47" t="str">
        <f aca="false">IF($A71="","",IF(AND(INDEX(工程マスタ!$I$5:$I$154,$A71)="○",$E71&gt;=AL$3,$E71&lt;=AL$3+6),"▼",IF(AND($E71&gt;=AL$3,$E71&lt;=AL$3+6),$A71,"")))</f>
        <v/>
      </c>
      <c r="AM71" s="47" t="str">
        <f aca="false">IF($A71="","",IF(AND(INDEX(工程マスタ!$I$5:$I$154,$A71)="○",$E71&gt;=AM$3,$E71&lt;=AM$3+6),"▼",IF(AND($E71&gt;=AM$3,$E71&lt;=AM$3+6),$A71,"")))</f>
        <v/>
      </c>
      <c r="AN71" s="47" t="str">
        <f aca="false">IF($A71="","",IF(AND(INDEX(工程マスタ!$I$5:$I$154,$A71)="○",$E71&gt;=AN$3,$E71&lt;=AN$3+6),"▼",IF(AND($E71&gt;=AN$3,$E71&lt;=AN$3+6),$A71,"")))</f>
        <v/>
      </c>
      <c r="AO71" s="47" t="str">
        <f aca="false">IF($A71="","",IF(AND(INDEX(工程マスタ!$I$5:$I$154,$A71)="○",$E71&gt;=AO$3,$E71&lt;=AO$3+6),"▼",IF(AND($E71&gt;=AO$3,$E71&lt;=AO$3+6),$A71,"")))</f>
        <v/>
      </c>
      <c r="AP71" s="47" t="str">
        <f aca="false">IF($A71="","",IF(AND(INDEX(工程マスタ!$I$5:$I$154,$A71)="○",$E71&gt;=AP$3,$E71&lt;=AP$3+6),"▼",IF(AND($E71&gt;=AP$3,$E71&lt;=AP$3+6),$A71,"")))</f>
        <v/>
      </c>
      <c r="AQ71" s="47" t="str">
        <f aca="false">IF($A71="","",IF(AND(INDEX(工程マスタ!$I$5:$I$154,$A71)="○",$E71&gt;=AQ$3,$E71&lt;=AQ$3+6),"▼",IF(AND($E71&gt;=AQ$3,$E71&lt;=AQ$3+6),$A71,"")))</f>
        <v/>
      </c>
      <c r="AR71" s="47" t="str">
        <f aca="false">IF($A71="","",IF(AND(INDEX(工程マスタ!$I$5:$I$154,$A71)="○",$E71&gt;=AR$3,$E71&lt;=AR$3+6),"▼",IF(AND($E71&gt;=AR$3,$E71&lt;=AR$3+6),$A71,"")))</f>
        <v/>
      </c>
      <c r="AS71" s="47" t="str">
        <f aca="false">IF($A71="","",IF(AND(INDEX(工程マスタ!$I$5:$I$154,$A71)="○",$E71&gt;=AS$3,$E71&lt;=AS$3+6),"▼",IF(AND($E71&gt;=AS$3,$E71&lt;=AS$3+6),$A71,"")))</f>
        <v/>
      </c>
      <c r="AT71" s="47" t="str">
        <f aca="false">IF($A71="","",IF(AND(INDEX(工程マスタ!$I$5:$I$154,$A71)="○",$E71&gt;=AT$3,$E71&lt;=AT$3+6),"▼",IF(AND($E71&gt;=AT$3,$E71&lt;=AT$3+6),$A71,"")))</f>
        <v/>
      </c>
      <c r="AU71" s="47" t="str">
        <f aca="false">IF($A71="","",IF(AND(INDEX(工程マスタ!$I$5:$I$154,$A71)="○",$E71&gt;=AU$3,$E71&lt;=AU$3+6),"▼",IF(AND($E71&gt;=AU$3,$E71&lt;=AU$3+6),$A71,"")))</f>
        <v/>
      </c>
      <c r="AV71" s="47" t="str">
        <f aca="false">IF($A71="","",IF(AND(INDEX(工程マスタ!$I$5:$I$154,$A71)="○",$E71&gt;=AV$3,$E71&lt;=AV$3+6),"▼",IF(AND($E71&gt;=AV$3,$E71&lt;=AV$3+6),$A71,"")))</f>
        <v/>
      </c>
      <c r="AW71" s="47" t="str">
        <f aca="false">IF($A71="","",IF(AND(INDEX(工程マスタ!$I$5:$I$154,$A71)="○",$E71&gt;=AW$3,$E71&lt;=AW$3+6),"▼",IF(AND($E71&gt;=AW$3,$E71&lt;=AW$3+6),$A71,"")))</f>
        <v/>
      </c>
      <c r="AX71" s="47" t="str">
        <f aca="false">IF($A71="","",IF(AND(INDEX(工程マスタ!$I$5:$I$154,$A71)="○",$E71&gt;=AX$3,$E71&lt;=AX$3+6),"▼",IF(AND($E71&gt;=AX$3,$E71&lt;=AX$3+6),$A71,"")))</f>
        <v/>
      </c>
      <c r="AY71" s="47" t="str">
        <f aca="false">IF($A71="","",IF(AND(INDEX(工程マスタ!$I$5:$I$154,$A71)="○",$E71&gt;=AY$3,$E71&lt;=AY$3+6),"▼",IF(AND($E71&gt;=AY$3,$E71&lt;=AY$3+6),$A71,"")))</f>
        <v/>
      </c>
      <c r="AZ71" s="47" t="str">
        <f aca="false">IF($A71="","",IF(AND(INDEX(工程マスタ!$I$5:$I$154,$A71)="○",$E71&gt;=AZ$3,$E71&lt;=AZ$3+6),"▼",IF(AND($E71&gt;=AZ$3,$E71&lt;=AZ$3+6),$A71,"")))</f>
        <v/>
      </c>
      <c r="BA71" s="47" t="str">
        <f aca="false">IF($A71="","",IF(AND(INDEX(工程マスタ!$I$5:$I$154,$A71)="○",$E71&gt;=BA$3,$E71&lt;=BA$3+6),"▼",IF(AND($E71&gt;=BA$3,$E71&lt;=BA$3+6),$A71,"")))</f>
        <v/>
      </c>
      <c r="BB71" s="47" t="str">
        <f aca="false">IF($A71="","",IF(AND(INDEX(工程マスタ!$I$5:$I$154,$A71)="○",$E71&gt;=BB$3,$E71&lt;=BB$3+6),"▼",IF(AND($E71&gt;=BB$3,$E71&lt;=BB$3+6),$A71,"")))</f>
        <v/>
      </c>
      <c r="BC71" s="47" t="str">
        <f aca="false">IF($A71="","",IF(AND(INDEX(工程マスタ!$I$5:$I$154,$A71)="○",$E71&gt;=BC$3,$E71&lt;=BC$3+6),"▼",IF(AND($E71&gt;=BC$3,$E71&lt;=BC$3+6),$A71,"")))</f>
        <v/>
      </c>
      <c r="BD71" s="47" t="str">
        <f aca="false">IF($A71="","",IF(AND(INDEX(工程マスタ!$I$5:$I$154,$A71)="○",$E71&gt;=BD$3,$E71&lt;=BD$3+6),"▼",IF(AND($E71&gt;=BD$3,$E71&lt;=BD$3+6),$A71,"")))</f>
        <v/>
      </c>
      <c r="BE71" s="47" t="str">
        <f aca="false">IF($A71="","",IF(AND(INDEX(工程マスタ!$I$5:$I$154,$A71)="○",$E71&gt;=BE$3,$E71&lt;=BE$3+6),"▼",IF(AND($E71&gt;=BE$3,$E71&lt;=BE$3+6),$A71,"")))</f>
        <v/>
      </c>
      <c r="BF71" s="47" t="str">
        <f aca="false">IF($A71="","",IF(AND(INDEX(工程マスタ!$I$5:$I$154,$A71)="○",$E71&gt;=BF$3,$E71&lt;=BF$3+6),"▼",IF(AND($E71&gt;=BF$3,$E71&lt;=BF$3+6),$A71,"")))</f>
        <v/>
      </c>
      <c r="BG71" s="47" t="str">
        <f aca="false">IF($A71="","",IF(AND(INDEX(工程マスタ!$I$5:$I$154,$A71)="○",$E71&gt;=BG$3,$E71&lt;=BG$3+6),"▼",IF(AND($E71&gt;=BG$3,$E71&lt;=BG$3+6),$A71,"")))</f>
        <v/>
      </c>
      <c r="BH71" s="47" t="str">
        <f aca="false">IF($A71="","",IF(AND(INDEX(工程マスタ!$I$5:$I$154,$A71)="○",$E71&gt;=BH$3,$E71&lt;=BH$3+6),"▼",IF(AND($E71&gt;=BH$3,$E71&lt;=BH$3+6),$A71,"")))</f>
        <v/>
      </c>
      <c r="BI71" s="47" t="str">
        <f aca="false">IF($A71="","",IF(AND(INDEX(工程マスタ!$I$5:$I$154,$A71)="○",$E71&gt;=BI$3,$E71&lt;=BI$3+6),"▼",IF(AND($E71&gt;=BI$3,$E71&lt;=BI$3+6),$A71,"")))</f>
        <v/>
      </c>
      <c r="BJ71" s="47" t="str">
        <f aca="false">IF($A71="","",IF(AND(INDEX(工程マスタ!$I$5:$I$154,$A71)="○",$E71&gt;=BJ$3,$E71&lt;=BJ$3+6),"▼",IF(AND($E71&gt;=BJ$3,$E71&lt;=BJ$3+6),$A71,"")))</f>
        <v/>
      </c>
    </row>
    <row r="72" customFormat="false" ht="15" hidden="false" customHeight="false" outlineLevel="0" collapsed="false">
      <c r="A72" s="28" t="str">
        <f aca="false">IF(工程マスタ!$C70="","",工程マスタ!$A70)</f>
        <v/>
      </c>
      <c r="B72" s="46" t="str">
        <f aca="false">IF($A72="","",工程マスタ!$C70)</f>
        <v/>
      </c>
      <c r="C72" s="28" t="str">
        <f aca="false">IF($A72="","",MAX(1,工程マスタ!$G70))</f>
        <v/>
      </c>
      <c r="D72" s="28" t="str">
        <f aca="false">IF($A72="","",_xlfn.TEXTJOIN(",",TRUE(),工程マスタ!$N70:$P70))</f>
        <v/>
      </c>
      <c r="E72" s="29" t="str">
        <f aca="false">IF($A72="","",IF(COUNT(工程マスタ!$N70:$P70)=0,設定!$B$8,MAX(IF(工程マスタ!$N70="",0,INDEX($F$7:$F$156,工程マスタ!$N70)),IF(工程マスタ!$O70="",0,INDEX($F$7:$F$156,工程マスタ!$O70)),IF(工程マスタ!$P70="",0,INDEX($F$7:$F$156,工程マスタ!$P70)))+1))</f>
        <v/>
      </c>
      <c r="F72" s="29" t="str">
        <f aca="false">IF($A72="","",$E72+$C72-1)</f>
        <v/>
      </c>
      <c r="G72" s="29" t="str">
        <f aca="false">IF($A72="","",$H72-$C72+1)</f>
        <v/>
      </c>
      <c r="H72" s="29" t="str">
        <f aca="false" t="array" ref="H72:H72">IF($A72="","",IF(SUMPRODUCT((工程マスタ!$N$71:$N$154=$A72)*1)+SUMPRODUCT((工程マスタ!$O$71:$O$154=$A72)*1)+SUMPRODUCT((工程マスタ!$P$71:$P$154=$A72)*1)=0,MAX($F$7:$F$156),MIN(IF((工程マスタ!$N$71:$N$154=$A72)+(工程マスタ!$O$71:$O$154=$A72)+(工程マスタ!$P$71:$P$154=$A72),$G73:$G$156))-1))</f>
        <v/>
      </c>
      <c r="I72" s="28" t="str">
        <f aca="false">IF($A72="","",$G72-$E72)</f>
        <v/>
      </c>
      <c r="J72" s="28" t="str">
        <f aca="false">IF($A72="","",IF($I72&lt;=0,"●",""))</f>
        <v/>
      </c>
      <c r="K72" s="47" t="str">
        <f aca="false">IF($A72="","",IF(AND(INDEX(工程マスタ!$I$5:$I$154,$A72)="○",$E72&gt;=K$3,$E72&lt;=K$3+6),"▼",IF(AND($E72&gt;=K$3,$E72&lt;=K$3+6),$A72,"")))</f>
        <v/>
      </c>
      <c r="L72" s="47" t="str">
        <f aca="false">IF($A72="","",IF(AND(INDEX(工程マスタ!$I$5:$I$154,$A72)="○",$E72&gt;=L$3,$E72&lt;=L$3+6),"▼",IF(AND($E72&gt;=L$3,$E72&lt;=L$3+6),$A72,"")))</f>
        <v/>
      </c>
      <c r="M72" s="47" t="str">
        <f aca="false">IF($A72="","",IF(AND(INDEX(工程マスタ!$I$5:$I$154,$A72)="○",$E72&gt;=M$3,$E72&lt;=M$3+6),"▼",IF(AND($E72&gt;=M$3,$E72&lt;=M$3+6),$A72,"")))</f>
        <v/>
      </c>
      <c r="N72" s="47" t="str">
        <f aca="false">IF($A72="","",IF(AND(INDEX(工程マスタ!$I$5:$I$154,$A72)="○",$E72&gt;=N$3,$E72&lt;=N$3+6),"▼",IF(AND($E72&gt;=N$3,$E72&lt;=N$3+6),$A72,"")))</f>
        <v/>
      </c>
      <c r="O72" s="47" t="str">
        <f aca="false">IF($A72="","",IF(AND(INDEX(工程マスタ!$I$5:$I$154,$A72)="○",$E72&gt;=O$3,$E72&lt;=O$3+6),"▼",IF(AND($E72&gt;=O$3,$E72&lt;=O$3+6),$A72,"")))</f>
        <v/>
      </c>
      <c r="P72" s="47" t="str">
        <f aca="false">IF($A72="","",IF(AND(INDEX(工程マスタ!$I$5:$I$154,$A72)="○",$E72&gt;=P$3,$E72&lt;=P$3+6),"▼",IF(AND($E72&gt;=P$3,$E72&lt;=P$3+6),$A72,"")))</f>
        <v/>
      </c>
      <c r="Q72" s="47" t="str">
        <f aca="false">IF($A72="","",IF(AND(INDEX(工程マスタ!$I$5:$I$154,$A72)="○",$E72&gt;=Q$3,$E72&lt;=Q$3+6),"▼",IF(AND($E72&gt;=Q$3,$E72&lt;=Q$3+6),$A72,"")))</f>
        <v/>
      </c>
      <c r="R72" s="47" t="str">
        <f aca="false">IF($A72="","",IF(AND(INDEX(工程マスタ!$I$5:$I$154,$A72)="○",$E72&gt;=R$3,$E72&lt;=R$3+6),"▼",IF(AND($E72&gt;=R$3,$E72&lt;=R$3+6),$A72,"")))</f>
        <v/>
      </c>
      <c r="S72" s="47" t="str">
        <f aca="false">IF($A72="","",IF(AND(INDEX(工程マスタ!$I$5:$I$154,$A72)="○",$E72&gt;=S$3,$E72&lt;=S$3+6),"▼",IF(AND($E72&gt;=S$3,$E72&lt;=S$3+6),$A72,"")))</f>
        <v/>
      </c>
      <c r="T72" s="47" t="str">
        <f aca="false">IF($A72="","",IF(AND(INDEX(工程マスタ!$I$5:$I$154,$A72)="○",$E72&gt;=T$3,$E72&lt;=T$3+6),"▼",IF(AND($E72&gt;=T$3,$E72&lt;=T$3+6),$A72,"")))</f>
        <v/>
      </c>
      <c r="U72" s="47" t="str">
        <f aca="false">IF($A72="","",IF(AND(INDEX(工程マスタ!$I$5:$I$154,$A72)="○",$E72&gt;=U$3,$E72&lt;=U$3+6),"▼",IF(AND($E72&gt;=U$3,$E72&lt;=U$3+6),$A72,"")))</f>
        <v/>
      </c>
      <c r="V72" s="47" t="str">
        <f aca="false">IF($A72="","",IF(AND(INDEX(工程マスタ!$I$5:$I$154,$A72)="○",$E72&gt;=V$3,$E72&lt;=V$3+6),"▼",IF(AND($E72&gt;=V$3,$E72&lt;=V$3+6),$A72,"")))</f>
        <v/>
      </c>
      <c r="W72" s="47" t="str">
        <f aca="false">IF($A72="","",IF(AND(INDEX(工程マスタ!$I$5:$I$154,$A72)="○",$E72&gt;=W$3,$E72&lt;=W$3+6),"▼",IF(AND($E72&gt;=W$3,$E72&lt;=W$3+6),$A72,"")))</f>
        <v/>
      </c>
      <c r="X72" s="47" t="str">
        <f aca="false">IF($A72="","",IF(AND(INDEX(工程マスタ!$I$5:$I$154,$A72)="○",$E72&gt;=X$3,$E72&lt;=X$3+6),"▼",IF(AND($E72&gt;=X$3,$E72&lt;=X$3+6),$A72,"")))</f>
        <v/>
      </c>
      <c r="Y72" s="47" t="str">
        <f aca="false">IF($A72="","",IF(AND(INDEX(工程マスタ!$I$5:$I$154,$A72)="○",$E72&gt;=Y$3,$E72&lt;=Y$3+6),"▼",IF(AND($E72&gt;=Y$3,$E72&lt;=Y$3+6),$A72,"")))</f>
        <v/>
      </c>
      <c r="Z72" s="47" t="str">
        <f aca="false">IF($A72="","",IF(AND(INDEX(工程マスタ!$I$5:$I$154,$A72)="○",$E72&gt;=Z$3,$E72&lt;=Z$3+6),"▼",IF(AND($E72&gt;=Z$3,$E72&lt;=Z$3+6),$A72,"")))</f>
        <v/>
      </c>
      <c r="AA72" s="47" t="str">
        <f aca="false">IF($A72="","",IF(AND(INDEX(工程マスタ!$I$5:$I$154,$A72)="○",$E72&gt;=AA$3,$E72&lt;=AA$3+6),"▼",IF(AND($E72&gt;=AA$3,$E72&lt;=AA$3+6),$A72,"")))</f>
        <v/>
      </c>
      <c r="AB72" s="47" t="str">
        <f aca="false">IF($A72="","",IF(AND(INDEX(工程マスタ!$I$5:$I$154,$A72)="○",$E72&gt;=AB$3,$E72&lt;=AB$3+6),"▼",IF(AND($E72&gt;=AB$3,$E72&lt;=AB$3+6),$A72,"")))</f>
        <v/>
      </c>
      <c r="AC72" s="47" t="str">
        <f aca="false">IF($A72="","",IF(AND(INDEX(工程マスタ!$I$5:$I$154,$A72)="○",$E72&gt;=AC$3,$E72&lt;=AC$3+6),"▼",IF(AND($E72&gt;=AC$3,$E72&lt;=AC$3+6),$A72,"")))</f>
        <v/>
      </c>
      <c r="AD72" s="47" t="str">
        <f aca="false">IF($A72="","",IF(AND(INDEX(工程マスタ!$I$5:$I$154,$A72)="○",$E72&gt;=AD$3,$E72&lt;=AD$3+6),"▼",IF(AND($E72&gt;=AD$3,$E72&lt;=AD$3+6),$A72,"")))</f>
        <v/>
      </c>
      <c r="AE72" s="47" t="str">
        <f aca="false">IF($A72="","",IF(AND(INDEX(工程マスタ!$I$5:$I$154,$A72)="○",$E72&gt;=AE$3,$E72&lt;=AE$3+6),"▼",IF(AND($E72&gt;=AE$3,$E72&lt;=AE$3+6),$A72,"")))</f>
        <v/>
      </c>
      <c r="AF72" s="47" t="str">
        <f aca="false">IF($A72="","",IF(AND(INDEX(工程マスタ!$I$5:$I$154,$A72)="○",$E72&gt;=AF$3,$E72&lt;=AF$3+6),"▼",IF(AND($E72&gt;=AF$3,$E72&lt;=AF$3+6),$A72,"")))</f>
        <v/>
      </c>
      <c r="AG72" s="47" t="str">
        <f aca="false">IF($A72="","",IF(AND(INDEX(工程マスタ!$I$5:$I$154,$A72)="○",$E72&gt;=AG$3,$E72&lt;=AG$3+6),"▼",IF(AND($E72&gt;=AG$3,$E72&lt;=AG$3+6),$A72,"")))</f>
        <v/>
      </c>
      <c r="AH72" s="47" t="str">
        <f aca="false">IF($A72="","",IF(AND(INDEX(工程マスタ!$I$5:$I$154,$A72)="○",$E72&gt;=AH$3,$E72&lt;=AH$3+6),"▼",IF(AND($E72&gt;=AH$3,$E72&lt;=AH$3+6),$A72,"")))</f>
        <v/>
      </c>
      <c r="AI72" s="47" t="str">
        <f aca="false">IF($A72="","",IF(AND(INDEX(工程マスタ!$I$5:$I$154,$A72)="○",$E72&gt;=AI$3,$E72&lt;=AI$3+6),"▼",IF(AND($E72&gt;=AI$3,$E72&lt;=AI$3+6),$A72,"")))</f>
        <v/>
      </c>
      <c r="AJ72" s="47" t="str">
        <f aca="false">IF($A72="","",IF(AND(INDEX(工程マスタ!$I$5:$I$154,$A72)="○",$E72&gt;=AJ$3,$E72&lt;=AJ$3+6),"▼",IF(AND($E72&gt;=AJ$3,$E72&lt;=AJ$3+6),$A72,"")))</f>
        <v/>
      </c>
      <c r="AK72" s="47" t="str">
        <f aca="false">IF($A72="","",IF(AND(INDEX(工程マスタ!$I$5:$I$154,$A72)="○",$E72&gt;=AK$3,$E72&lt;=AK$3+6),"▼",IF(AND($E72&gt;=AK$3,$E72&lt;=AK$3+6),$A72,"")))</f>
        <v/>
      </c>
      <c r="AL72" s="47" t="str">
        <f aca="false">IF($A72="","",IF(AND(INDEX(工程マスタ!$I$5:$I$154,$A72)="○",$E72&gt;=AL$3,$E72&lt;=AL$3+6),"▼",IF(AND($E72&gt;=AL$3,$E72&lt;=AL$3+6),$A72,"")))</f>
        <v/>
      </c>
      <c r="AM72" s="47" t="str">
        <f aca="false">IF($A72="","",IF(AND(INDEX(工程マスタ!$I$5:$I$154,$A72)="○",$E72&gt;=AM$3,$E72&lt;=AM$3+6),"▼",IF(AND($E72&gt;=AM$3,$E72&lt;=AM$3+6),$A72,"")))</f>
        <v/>
      </c>
      <c r="AN72" s="47" t="str">
        <f aca="false">IF($A72="","",IF(AND(INDEX(工程マスタ!$I$5:$I$154,$A72)="○",$E72&gt;=AN$3,$E72&lt;=AN$3+6),"▼",IF(AND($E72&gt;=AN$3,$E72&lt;=AN$3+6),$A72,"")))</f>
        <v/>
      </c>
      <c r="AO72" s="47" t="str">
        <f aca="false">IF($A72="","",IF(AND(INDEX(工程マスタ!$I$5:$I$154,$A72)="○",$E72&gt;=AO$3,$E72&lt;=AO$3+6),"▼",IF(AND($E72&gt;=AO$3,$E72&lt;=AO$3+6),$A72,"")))</f>
        <v/>
      </c>
      <c r="AP72" s="47" t="str">
        <f aca="false">IF($A72="","",IF(AND(INDEX(工程マスタ!$I$5:$I$154,$A72)="○",$E72&gt;=AP$3,$E72&lt;=AP$3+6),"▼",IF(AND($E72&gt;=AP$3,$E72&lt;=AP$3+6),$A72,"")))</f>
        <v/>
      </c>
      <c r="AQ72" s="47" t="str">
        <f aca="false">IF($A72="","",IF(AND(INDEX(工程マスタ!$I$5:$I$154,$A72)="○",$E72&gt;=AQ$3,$E72&lt;=AQ$3+6),"▼",IF(AND($E72&gt;=AQ$3,$E72&lt;=AQ$3+6),$A72,"")))</f>
        <v/>
      </c>
      <c r="AR72" s="47" t="str">
        <f aca="false">IF($A72="","",IF(AND(INDEX(工程マスタ!$I$5:$I$154,$A72)="○",$E72&gt;=AR$3,$E72&lt;=AR$3+6),"▼",IF(AND($E72&gt;=AR$3,$E72&lt;=AR$3+6),$A72,"")))</f>
        <v/>
      </c>
      <c r="AS72" s="47" t="str">
        <f aca="false">IF($A72="","",IF(AND(INDEX(工程マスタ!$I$5:$I$154,$A72)="○",$E72&gt;=AS$3,$E72&lt;=AS$3+6),"▼",IF(AND($E72&gt;=AS$3,$E72&lt;=AS$3+6),$A72,"")))</f>
        <v/>
      </c>
      <c r="AT72" s="47" t="str">
        <f aca="false">IF($A72="","",IF(AND(INDEX(工程マスタ!$I$5:$I$154,$A72)="○",$E72&gt;=AT$3,$E72&lt;=AT$3+6),"▼",IF(AND($E72&gt;=AT$3,$E72&lt;=AT$3+6),$A72,"")))</f>
        <v/>
      </c>
      <c r="AU72" s="47" t="str">
        <f aca="false">IF($A72="","",IF(AND(INDEX(工程マスタ!$I$5:$I$154,$A72)="○",$E72&gt;=AU$3,$E72&lt;=AU$3+6),"▼",IF(AND($E72&gt;=AU$3,$E72&lt;=AU$3+6),$A72,"")))</f>
        <v/>
      </c>
      <c r="AV72" s="47" t="str">
        <f aca="false">IF($A72="","",IF(AND(INDEX(工程マスタ!$I$5:$I$154,$A72)="○",$E72&gt;=AV$3,$E72&lt;=AV$3+6),"▼",IF(AND($E72&gt;=AV$3,$E72&lt;=AV$3+6),$A72,"")))</f>
        <v/>
      </c>
      <c r="AW72" s="47" t="str">
        <f aca="false">IF($A72="","",IF(AND(INDEX(工程マスタ!$I$5:$I$154,$A72)="○",$E72&gt;=AW$3,$E72&lt;=AW$3+6),"▼",IF(AND($E72&gt;=AW$3,$E72&lt;=AW$3+6),$A72,"")))</f>
        <v/>
      </c>
      <c r="AX72" s="47" t="str">
        <f aca="false">IF($A72="","",IF(AND(INDEX(工程マスタ!$I$5:$I$154,$A72)="○",$E72&gt;=AX$3,$E72&lt;=AX$3+6),"▼",IF(AND($E72&gt;=AX$3,$E72&lt;=AX$3+6),$A72,"")))</f>
        <v/>
      </c>
      <c r="AY72" s="47" t="str">
        <f aca="false">IF($A72="","",IF(AND(INDEX(工程マスタ!$I$5:$I$154,$A72)="○",$E72&gt;=AY$3,$E72&lt;=AY$3+6),"▼",IF(AND($E72&gt;=AY$3,$E72&lt;=AY$3+6),$A72,"")))</f>
        <v/>
      </c>
      <c r="AZ72" s="47" t="str">
        <f aca="false">IF($A72="","",IF(AND(INDEX(工程マスタ!$I$5:$I$154,$A72)="○",$E72&gt;=AZ$3,$E72&lt;=AZ$3+6),"▼",IF(AND($E72&gt;=AZ$3,$E72&lt;=AZ$3+6),$A72,"")))</f>
        <v/>
      </c>
      <c r="BA72" s="47" t="str">
        <f aca="false">IF($A72="","",IF(AND(INDEX(工程マスタ!$I$5:$I$154,$A72)="○",$E72&gt;=BA$3,$E72&lt;=BA$3+6),"▼",IF(AND($E72&gt;=BA$3,$E72&lt;=BA$3+6),$A72,"")))</f>
        <v/>
      </c>
      <c r="BB72" s="47" t="str">
        <f aca="false">IF($A72="","",IF(AND(INDEX(工程マスタ!$I$5:$I$154,$A72)="○",$E72&gt;=BB$3,$E72&lt;=BB$3+6),"▼",IF(AND($E72&gt;=BB$3,$E72&lt;=BB$3+6),$A72,"")))</f>
        <v/>
      </c>
      <c r="BC72" s="47" t="str">
        <f aca="false">IF($A72="","",IF(AND(INDEX(工程マスタ!$I$5:$I$154,$A72)="○",$E72&gt;=BC$3,$E72&lt;=BC$3+6),"▼",IF(AND($E72&gt;=BC$3,$E72&lt;=BC$3+6),$A72,"")))</f>
        <v/>
      </c>
      <c r="BD72" s="47" t="str">
        <f aca="false">IF($A72="","",IF(AND(INDEX(工程マスタ!$I$5:$I$154,$A72)="○",$E72&gt;=BD$3,$E72&lt;=BD$3+6),"▼",IF(AND($E72&gt;=BD$3,$E72&lt;=BD$3+6),$A72,"")))</f>
        <v/>
      </c>
      <c r="BE72" s="47" t="str">
        <f aca="false">IF($A72="","",IF(AND(INDEX(工程マスタ!$I$5:$I$154,$A72)="○",$E72&gt;=BE$3,$E72&lt;=BE$3+6),"▼",IF(AND($E72&gt;=BE$3,$E72&lt;=BE$3+6),$A72,"")))</f>
        <v/>
      </c>
      <c r="BF72" s="47" t="str">
        <f aca="false">IF($A72="","",IF(AND(INDEX(工程マスタ!$I$5:$I$154,$A72)="○",$E72&gt;=BF$3,$E72&lt;=BF$3+6),"▼",IF(AND($E72&gt;=BF$3,$E72&lt;=BF$3+6),$A72,"")))</f>
        <v/>
      </c>
      <c r="BG72" s="47" t="str">
        <f aca="false">IF($A72="","",IF(AND(INDEX(工程マスタ!$I$5:$I$154,$A72)="○",$E72&gt;=BG$3,$E72&lt;=BG$3+6),"▼",IF(AND($E72&gt;=BG$3,$E72&lt;=BG$3+6),$A72,"")))</f>
        <v/>
      </c>
      <c r="BH72" s="47" t="str">
        <f aca="false">IF($A72="","",IF(AND(INDEX(工程マスタ!$I$5:$I$154,$A72)="○",$E72&gt;=BH$3,$E72&lt;=BH$3+6),"▼",IF(AND($E72&gt;=BH$3,$E72&lt;=BH$3+6),$A72,"")))</f>
        <v/>
      </c>
      <c r="BI72" s="47" t="str">
        <f aca="false">IF($A72="","",IF(AND(INDEX(工程マスタ!$I$5:$I$154,$A72)="○",$E72&gt;=BI$3,$E72&lt;=BI$3+6),"▼",IF(AND($E72&gt;=BI$3,$E72&lt;=BI$3+6),$A72,"")))</f>
        <v/>
      </c>
      <c r="BJ72" s="47" t="str">
        <f aca="false">IF($A72="","",IF(AND(INDEX(工程マスタ!$I$5:$I$154,$A72)="○",$E72&gt;=BJ$3,$E72&lt;=BJ$3+6),"▼",IF(AND($E72&gt;=BJ$3,$E72&lt;=BJ$3+6),$A72,"")))</f>
        <v/>
      </c>
    </row>
    <row r="73" customFormat="false" ht="15" hidden="false" customHeight="false" outlineLevel="0" collapsed="false">
      <c r="A73" s="28" t="str">
        <f aca="false">IF(工程マスタ!$C71="","",工程マスタ!$A71)</f>
        <v/>
      </c>
      <c r="B73" s="46" t="str">
        <f aca="false">IF($A73="","",工程マスタ!$C71)</f>
        <v/>
      </c>
      <c r="C73" s="28" t="str">
        <f aca="false">IF($A73="","",MAX(1,工程マスタ!$G71))</f>
        <v/>
      </c>
      <c r="D73" s="28" t="str">
        <f aca="false">IF($A73="","",_xlfn.TEXTJOIN(",",TRUE(),工程マスタ!$N71:$P71))</f>
        <v/>
      </c>
      <c r="E73" s="29" t="str">
        <f aca="false">IF($A73="","",IF(COUNT(工程マスタ!$N71:$P71)=0,設定!$B$8,MAX(IF(工程マスタ!$N71="",0,INDEX($F$7:$F$156,工程マスタ!$N71)),IF(工程マスタ!$O71="",0,INDEX($F$7:$F$156,工程マスタ!$O71)),IF(工程マスタ!$P71="",0,INDEX($F$7:$F$156,工程マスタ!$P71)))+1))</f>
        <v/>
      </c>
      <c r="F73" s="29" t="str">
        <f aca="false">IF($A73="","",$E73+$C73-1)</f>
        <v/>
      </c>
      <c r="G73" s="29" t="str">
        <f aca="false">IF($A73="","",$H73-$C73+1)</f>
        <v/>
      </c>
      <c r="H73" s="29" t="str">
        <f aca="false" t="array" ref="H73:H73">IF($A73="","",IF(SUMPRODUCT((工程マスタ!$N$72:$N$154=$A73)*1)+SUMPRODUCT((工程マスタ!$O$72:$O$154=$A73)*1)+SUMPRODUCT((工程マスタ!$P$72:$P$154=$A73)*1)=0,MAX($F$7:$F$156),MIN(IF((工程マスタ!$N$72:$N$154=$A73)+(工程マスタ!$O$72:$O$154=$A73)+(工程マスタ!$P$72:$P$154=$A73),$G74:$G$156))-1))</f>
        <v/>
      </c>
      <c r="I73" s="28" t="str">
        <f aca="false">IF($A73="","",$G73-$E73)</f>
        <v/>
      </c>
      <c r="J73" s="28" t="str">
        <f aca="false">IF($A73="","",IF($I73&lt;=0,"●",""))</f>
        <v/>
      </c>
      <c r="K73" s="47" t="str">
        <f aca="false">IF($A73="","",IF(AND(INDEX(工程マスタ!$I$5:$I$154,$A73)="○",$E73&gt;=K$3,$E73&lt;=K$3+6),"▼",IF(AND($E73&gt;=K$3,$E73&lt;=K$3+6),$A73,"")))</f>
        <v/>
      </c>
      <c r="L73" s="47" t="str">
        <f aca="false">IF($A73="","",IF(AND(INDEX(工程マスタ!$I$5:$I$154,$A73)="○",$E73&gt;=L$3,$E73&lt;=L$3+6),"▼",IF(AND($E73&gt;=L$3,$E73&lt;=L$3+6),$A73,"")))</f>
        <v/>
      </c>
      <c r="M73" s="47" t="str">
        <f aca="false">IF($A73="","",IF(AND(INDEX(工程マスタ!$I$5:$I$154,$A73)="○",$E73&gt;=M$3,$E73&lt;=M$3+6),"▼",IF(AND($E73&gt;=M$3,$E73&lt;=M$3+6),$A73,"")))</f>
        <v/>
      </c>
      <c r="N73" s="47" t="str">
        <f aca="false">IF($A73="","",IF(AND(INDEX(工程マスタ!$I$5:$I$154,$A73)="○",$E73&gt;=N$3,$E73&lt;=N$3+6),"▼",IF(AND($E73&gt;=N$3,$E73&lt;=N$3+6),$A73,"")))</f>
        <v/>
      </c>
      <c r="O73" s="47" t="str">
        <f aca="false">IF($A73="","",IF(AND(INDEX(工程マスタ!$I$5:$I$154,$A73)="○",$E73&gt;=O$3,$E73&lt;=O$3+6),"▼",IF(AND($E73&gt;=O$3,$E73&lt;=O$3+6),$A73,"")))</f>
        <v/>
      </c>
      <c r="P73" s="47" t="str">
        <f aca="false">IF($A73="","",IF(AND(INDEX(工程マスタ!$I$5:$I$154,$A73)="○",$E73&gt;=P$3,$E73&lt;=P$3+6),"▼",IF(AND($E73&gt;=P$3,$E73&lt;=P$3+6),$A73,"")))</f>
        <v/>
      </c>
      <c r="Q73" s="47" t="str">
        <f aca="false">IF($A73="","",IF(AND(INDEX(工程マスタ!$I$5:$I$154,$A73)="○",$E73&gt;=Q$3,$E73&lt;=Q$3+6),"▼",IF(AND($E73&gt;=Q$3,$E73&lt;=Q$3+6),$A73,"")))</f>
        <v/>
      </c>
      <c r="R73" s="47" t="str">
        <f aca="false">IF($A73="","",IF(AND(INDEX(工程マスタ!$I$5:$I$154,$A73)="○",$E73&gt;=R$3,$E73&lt;=R$3+6),"▼",IF(AND($E73&gt;=R$3,$E73&lt;=R$3+6),$A73,"")))</f>
        <v/>
      </c>
      <c r="S73" s="47" t="str">
        <f aca="false">IF($A73="","",IF(AND(INDEX(工程マスタ!$I$5:$I$154,$A73)="○",$E73&gt;=S$3,$E73&lt;=S$3+6),"▼",IF(AND($E73&gt;=S$3,$E73&lt;=S$3+6),$A73,"")))</f>
        <v/>
      </c>
      <c r="T73" s="47" t="str">
        <f aca="false">IF($A73="","",IF(AND(INDEX(工程マスタ!$I$5:$I$154,$A73)="○",$E73&gt;=T$3,$E73&lt;=T$3+6),"▼",IF(AND($E73&gt;=T$3,$E73&lt;=T$3+6),$A73,"")))</f>
        <v/>
      </c>
      <c r="U73" s="47" t="str">
        <f aca="false">IF($A73="","",IF(AND(INDEX(工程マスタ!$I$5:$I$154,$A73)="○",$E73&gt;=U$3,$E73&lt;=U$3+6),"▼",IF(AND($E73&gt;=U$3,$E73&lt;=U$3+6),$A73,"")))</f>
        <v/>
      </c>
      <c r="V73" s="47" t="str">
        <f aca="false">IF($A73="","",IF(AND(INDEX(工程マスタ!$I$5:$I$154,$A73)="○",$E73&gt;=V$3,$E73&lt;=V$3+6),"▼",IF(AND($E73&gt;=V$3,$E73&lt;=V$3+6),$A73,"")))</f>
        <v/>
      </c>
      <c r="W73" s="47" t="str">
        <f aca="false">IF($A73="","",IF(AND(INDEX(工程マスタ!$I$5:$I$154,$A73)="○",$E73&gt;=W$3,$E73&lt;=W$3+6),"▼",IF(AND($E73&gt;=W$3,$E73&lt;=W$3+6),$A73,"")))</f>
        <v/>
      </c>
      <c r="X73" s="47" t="str">
        <f aca="false">IF($A73="","",IF(AND(INDEX(工程マスタ!$I$5:$I$154,$A73)="○",$E73&gt;=X$3,$E73&lt;=X$3+6),"▼",IF(AND($E73&gt;=X$3,$E73&lt;=X$3+6),$A73,"")))</f>
        <v/>
      </c>
      <c r="Y73" s="47" t="str">
        <f aca="false">IF($A73="","",IF(AND(INDEX(工程マスタ!$I$5:$I$154,$A73)="○",$E73&gt;=Y$3,$E73&lt;=Y$3+6),"▼",IF(AND($E73&gt;=Y$3,$E73&lt;=Y$3+6),$A73,"")))</f>
        <v/>
      </c>
      <c r="Z73" s="47" t="str">
        <f aca="false">IF($A73="","",IF(AND(INDEX(工程マスタ!$I$5:$I$154,$A73)="○",$E73&gt;=Z$3,$E73&lt;=Z$3+6),"▼",IF(AND($E73&gt;=Z$3,$E73&lt;=Z$3+6),$A73,"")))</f>
        <v/>
      </c>
      <c r="AA73" s="47" t="str">
        <f aca="false">IF($A73="","",IF(AND(INDEX(工程マスタ!$I$5:$I$154,$A73)="○",$E73&gt;=AA$3,$E73&lt;=AA$3+6),"▼",IF(AND($E73&gt;=AA$3,$E73&lt;=AA$3+6),$A73,"")))</f>
        <v/>
      </c>
      <c r="AB73" s="47" t="str">
        <f aca="false">IF($A73="","",IF(AND(INDEX(工程マスタ!$I$5:$I$154,$A73)="○",$E73&gt;=AB$3,$E73&lt;=AB$3+6),"▼",IF(AND($E73&gt;=AB$3,$E73&lt;=AB$3+6),$A73,"")))</f>
        <v/>
      </c>
      <c r="AC73" s="47" t="str">
        <f aca="false">IF($A73="","",IF(AND(INDEX(工程マスタ!$I$5:$I$154,$A73)="○",$E73&gt;=AC$3,$E73&lt;=AC$3+6),"▼",IF(AND($E73&gt;=AC$3,$E73&lt;=AC$3+6),$A73,"")))</f>
        <v/>
      </c>
      <c r="AD73" s="47" t="str">
        <f aca="false">IF($A73="","",IF(AND(INDEX(工程マスタ!$I$5:$I$154,$A73)="○",$E73&gt;=AD$3,$E73&lt;=AD$3+6),"▼",IF(AND($E73&gt;=AD$3,$E73&lt;=AD$3+6),$A73,"")))</f>
        <v/>
      </c>
      <c r="AE73" s="47" t="str">
        <f aca="false">IF($A73="","",IF(AND(INDEX(工程マスタ!$I$5:$I$154,$A73)="○",$E73&gt;=AE$3,$E73&lt;=AE$3+6),"▼",IF(AND($E73&gt;=AE$3,$E73&lt;=AE$3+6),$A73,"")))</f>
        <v/>
      </c>
      <c r="AF73" s="47" t="str">
        <f aca="false">IF($A73="","",IF(AND(INDEX(工程マスタ!$I$5:$I$154,$A73)="○",$E73&gt;=AF$3,$E73&lt;=AF$3+6),"▼",IF(AND($E73&gt;=AF$3,$E73&lt;=AF$3+6),$A73,"")))</f>
        <v/>
      </c>
      <c r="AG73" s="47" t="str">
        <f aca="false">IF($A73="","",IF(AND(INDEX(工程マスタ!$I$5:$I$154,$A73)="○",$E73&gt;=AG$3,$E73&lt;=AG$3+6),"▼",IF(AND($E73&gt;=AG$3,$E73&lt;=AG$3+6),$A73,"")))</f>
        <v/>
      </c>
      <c r="AH73" s="47" t="str">
        <f aca="false">IF($A73="","",IF(AND(INDEX(工程マスタ!$I$5:$I$154,$A73)="○",$E73&gt;=AH$3,$E73&lt;=AH$3+6),"▼",IF(AND($E73&gt;=AH$3,$E73&lt;=AH$3+6),$A73,"")))</f>
        <v/>
      </c>
      <c r="AI73" s="47" t="str">
        <f aca="false">IF($A73="","",IF(AND(INDEX(工程マスタ!$I$5:$I$154,$A73)="○",$E73&gt;=AI$3,$E73&lt;=AI$3+6),"▼",IF(AND($E73&gt;=AI$3,$E73&lt;=AI$3+6),$A73,"")))</f>
        <v/>
      </c>
      <c r="AJ73" s="47" t="str">
        <f aca="false">IF($A73="","",IF(AND(INDEX(工程マスタ!$I$5:$I$154,$A73)="○",$E73&gt;=AJ$3,$E73&lt;=AJ$3+6),"▼",IF(AND($E73&gt;=AJ$3,$E73&lt;=AJ$3+6),$A73,"")))</f>
        <v/>
      </c>
      <c r="AK73" s="47" t="str">
        <f aca="false">IF($A73="","",IF(AND(INDEX(工程マスタ!$I$5:$I$154,$A73)="○",$E73&gt;=AK$3,$E73&lt;=AK$3+6),"▼",IF(AND($E73&gt;=AK$3,$E73&lt;=AK$3+6),$A73,"")))</f>
        <v/>
      </c>
      <c r="AL73" s="47" t="str">
        <f aca="false">IF($A73="","",IF(AND(INDEX(工程マスタ!$I$5:$I$154,$A73)="○",$E73&gt;=AL$3,$E73&lt;=AL$3+6),"▼",IF(AND($E73&gt;=AL$3,$E73&lt;=AL$3+6),$A73,"")))</f>
        <v/>
      </c>
      <c r="AM73" s="47" t="str">
        <f aca="false">IF($A73="","",IF(AND(INDEX(工程マスタ!$I$5:$I$154,$A73)="○",$E73&gt;=AM$3,$E73&lt;=AM$3+6),"▼",IF(AND($E73&gt;=AM$3,$E73&lt;=AM$3+6),$A73,"")))</f>
        <v/>
      </c>
      <c r="AN73" s="47" t="str">
        <f aca="false">IF($A73="","",IF(AND(INDEX(工程マスタ!$I$5:$I$154,$A73)="○",$E73&gt;=AN$3,$E73&lt;=AN$3+6),"▼",IF(AND($E73&gt;=AN$3,$E73&lt;=AN$3+6),$A73,"")))</f>
        <v/>
      </c>
      <c r="AO73" s="47" t="str">
        <f aca="false">IF($A73="","",IF(AND(INDEX(工程マスタ!$I$5:$I$154,$A73)="○",$E73&gt;=AO$3,$E73&lt;=AO$3+6),"▼",IF(AND($E73&gt;=AO$3,$E73&lt;=AO$3+6),$A73,"")))</f>
        <v/>
      </c>
      <c r="AP73" s="47" t="str">
        <f aca="false">IF($A73="","",IF(AND(INDEX(工程マスタ!$I$5:$I$154,$A73)="○",$E73&gt;=AP$3,$E73&lt;=AP$3+6),"▼",IF(AND($E73&gt;=AP$3,$E73&lt;=AP$3+6),$A73,"")))</f>
        <v/>
      </c>
      <c r="AQ73" s="47" t="str">
        <f aca="false">IF($A73="","",IF(AND(INDEX(工程マスタ!$I$5:$I$154,$A73)="○",$E73&gt;=AQ$3,$E73&lt;=AQ$3+6),"▼",IF(AND($E73&gt;=AQ$3,$E73&lt;=AQ$3+6),$A73,"")))</f>
        <v/>
      </c>
      <c r="AR73" s="47" t="str">
        <f aca="false">IF($A73="","",IF(AND(INDEX(工程マスタ!$I$5:$I$154,$A73)="○",$E73&gt;=AR$3,$E73&lt;=AR$3+6),"▼",IF(AND($E73&gt;=AR$3,$E73&lt;=AR$3+6),$A73,"")))</f>
        <v/>
      </c>
      <c r="AS73" s="47" t="str">
        <f aca="false">IF($A73="","",IF(AND(INDEX(工程マスタ!$I$5:$I$154,$A73)="○",$E73&gt;=AS$3,$E73&lt;=AS$3+6),"▼",IF(AND($E73&gt;=AS$3,$E73&lt;=AS$3+6),$A73,"")))</f>
        <v/>
      </c>
      <c r="AT73" s="47" t="str">
        <f aca="false">IF($A73="","",IF(AND(INDEX(工程マスタ!$I$5:$I$154,$A73)="○",$E73&gt;=AT$3,$E73&lt;=AT$3+6),"▼",IF(AND($E73&gt;=AT$3,$E73&lt;=AT$3+6),$A73,"")))</f>
        <v/>
      </c>
      <c r="AU73" s="47" t="str">
        <f aca="false">IF($A73="","",IF(AND(INDEX(工程マスタ!$I$5:$I$154,$A73)="○",$E73&gt;=AU$3,$E73&lt;=AU$3+6),"▼",IF(AND($E73&gt;=AU$3,$E73&lt;=AU$3+6),$A73,"")))</f>
        <v/>
      </c>
      <c r="AV73" s="47" t="str">
        <f aca="false">IF($A73="","",IF(AND(INDEX(工程マスタ!$I$5:$I$154,$A73)="○",$E73&gt;=AV$3,$E73&lt;=AV$3+6),"▼",IF(AND($E73&gt;=AV$3,$E73&lt;=AV$3+6),$A73,"")))</f>
        <v/>
      </c>
      <c r="AW73" s="47" t="str">
        <f aca="false">IF($A73="","",IF(AND(INDEX(工程マスタ!$I$5:$I$154,$A73)="○",$E73&gt;=AW$3,$E73&lt;=AW$3+6),"▼",IF(AND($E73&gt;=AW$3,$E73&lt;=AW$3+6),$A73,"")))</f>
        <v/>
      </c>
      <c r="AX73" s="47" t="str">
        <f aca="false">IF($A73="","",IF(AND(INDEX(工程マスタ!$I$5:$I$154,$A73)="○",$E73&gt;=AX$3,$E73&lt;=AX$3+6),"▼",IF(AND($E73&gt;=AX$3,$E73&lt;=AX$3+6),$A73,"")))</f>
        <v/>
      </c>
      <c r="AY73" s="47" t="str">
        <f aca="false">IF($A73="","",IF(AND(INDEX(工程マスタ!$I$5:$I$154,$A73)="○",$E73&gt;=AY$3,$E73&lt;=AY$3+6),"▼",IF(AND($E73&gt;=AY$3,$E73&lt;=AY$3+6),$A73,"")))</f>
        <v/>
      </c>
      <c r="AZ73" s="47" t="str">
        <f aca="false">IF($A73="","",IF(AND(INDEX(工程マスタ!$I$5:$I$154,$A73)="○",$E73&gt;=AZ$3,$E73&lt;=AZ$3+6),"▼",IF(AND($E73&gt;=AZ$3,$E73&lt;=AZ$3+6),$A73,"")))</f>
        <v/>
      </c>
      <c r="BA73" s="47" t="str">
        <f aca="false">IF($A73="","",IF(AND(INDEX(工程マスタ!$I$5:$I$154,$A73)="○",$E73&gt;=BA$3,$E73&lt;=BA$3+6),"▼",IF(AND($E73&gt;=BA$3,$E73&lt;=BA$3+6),$A73,"")))</f>
        <v/>
      </c>
      <c r="BB73" s="47" t="str">
        <f aca="false">IF($A73="","",IF(AND(INDEX(工程マスタ!$I$5:$I$154,$A73)="○",$E73&gt;=BB$3,$E73&lt;=BB$3+6),"▼",IF(AND($E73&gt;=BB$3,$E73&lt;=BB$3+6),$A73,"")))</f>
        <v/>
      </c>
      <c r="BC73" s="47" t="str">
        <f aca="false">IF($A73="","",IF(AND(INDEX(工程マスタ!$I$5:$I$154,$A73)="○",$E73&gt;=BC$3,$E73&lt;=BC$3+6),"▼",IF(AND($E73&gt;=BC$3,$E73&lt;=BC$3+6),$A73,"")))</f>
        <v/>
      </c>
      <c r="BD73" s="47" t="str">
        <f aca="false">IF($A73="","",IF(AND(INDEX(工程マスタ!$I$5:$I$154,$A73)="○",$E73&gt;=BD$3,$E73&lt;=BD$3+6),"▼",IF(AND($E73&gt;=BD$3,$E73&lt;=BD$3+6),$A73,"")))</f>
        <v/>
      </c>
      <c r="BE73" s="47" t="str">
        <f aca="false">IF($A73="","",IF(AND(INDEX(工程マスタ!$I$5:$I$154,$A73)="○",$E73&gt;=BE$3,$E73&lt;=BE$3+6),"▼",IF(AND($E73&gt;=BE$3,$E73&lt;=BE$3+6),$A73,"")))</f>
        <v/>
      </c>
      <c r="BF73" s="47" t="str">
        <f aca="false">IF($A73="","",IF(AND(INDEX(工程マスタ!$I$5:$I$154,$A73)="○",$E73&gt;=BF$3,$E73&lt;=BF$3+6),"▼",IF(AND($E73&gt;=BF$3,$E73&lt;=BF$3+6),$A73,"")))</f>
        <v/>
      </c>
      <c r="BG73" s="47" t="str">
        <f aca="false">IF($A73="","",IF(AND(INDEX(工程マスタ!$I$5:$I$154,$A73)="○",$E73&gt;=BG$3,$E73&lt;=BG$3+6),"▼",IF(AND($E73&gt;=BG$3,$E73&lt;=BG$3+6),$A73,"")))</f>
        <v/>
      </c>
      <c r="BH73" s="47" t="str">
        <f aca="false">IF($A73="","",IF(AND(INDEX(工程マスタ!$I$5:$I$154,$A73)="○",$E73&gt;=BH$3,$E73&lt;=BH$3+6),"▼",IF(AND($E73&gt;=BH$3,$E73&lt;=BH$3+6),$A73,"")))</f>
        <v/>
      </c>
      <c r="BI73" s="47" t="str">
        <f aca="false">IF($A73="","",IF(AND(INDEX(工程マスタ!$I$5:$I$154,$A73)="○",$E73&gt;=BI$3,$E73&lt;=BI$3+6),"▼",IF(AND($E73&gt;=BI$3,$E73&lt;=BI$3+6),$A73,"")))</f>
        <v/>
      </c>
      <c r="BJ73" s="47" t="str">
        <f aca="false">IF($A73="","",IF(AND(INDEX(工程マスタ!$I$5:$I$154,$A73)="○",$E73&gt;=BJ$3,$E73&lt;=BJ$3+6),"▼",IF(AND($E73&gt;=BJ$3,$E73&lt;=BJ$3+6),$A73,"")))</f>
        <v/>
      </c>
    </row>
    <row r="74" customFormat="false" ht="15" hidden="false" customHeight="false" outlineLevel="0" collapsed="false">
      <c r="A74" s="28" t="str">
        <f aca="false">IF(工程マスタ!$C72="","",工程マスタ!$A72)</f>
        <v/>
      </c>
      <c r="B74" s="46" t="str">
        <f aca="false">IF($A74="","",工程マスタ!$C72)</f>
        <v/>
      </c>
      <c r="C74" s="28" t="str">
        <f aca="false">IF($A74="","",MAX(1,工程マスタ!$G72))</f>
        <v/>
      </c>
      <c r="D74" s="28" t="str">
        <f aca="false">IF($A74="","",_xlfn.TEXTJOIN(",",TRUE(),工程マスタ!$N72:$P72))</f>
        <v/>
      </c>
      <c r="E74" s="29" t="str">
        <f aca="false">IF($A74="","",IF(COUNT(工程マスタ!$N72:$P72)=0,設定!$B$8,MAX(IF(工程マスタ!$N72="",0,INDEX($F$7:$F$156,工程マスタ!$N72)),IF(工程マスタ!$O72="",0,INDEX($F$7:$F$156,工程マスタ!$O72)),IF(工程マスタ!$P72="",0,INDEX($F$7:$F$156,工程マスタ!$P72)))+1))</f>
        <v/>
      </c>
      <c r="F74" s="29" t="str">
        <f aca="false">IF($A74="","",$E74+$C74-1)</f>
        <v/>
      </c>
      <c r="G74" s="29" t="str">
        <f aca="false">IF($A74="","",$H74-$C74+1)</f>
        <v/>
      </c>
      <c r="H74" s="29" t="str">
        <f aca="false" t="array" ref="H74:H74">IF($A74="","",IF(SUMPRODUCT((工程マスタ!$N$73:$N$154=$A74)*1)+SUMPRODUCT((工程マスタ!$O$73:$O$154=$A74)*1)+SUMPRODUCT((工程マスタ!$P$73:$P$154=$A74)*1)=0,MAX($F$7:$F$156),MIN(IF((工程マスタ!$N$73:$N$154=$A74)+(工程マスタ!$O$73:$O$154=$A74)+(工程マスタ!$P$73:$P$154=$A74),$G75:$G$156))-1))</f>
        <v/>
      </c>
      <c r="I74" s="28" t="str">
        <f aca="false">IF($A74="","",$G74-$E74)</f>
        <v/>
      </c>
      <c r="J74" s="28" t="str">
        <f aca="false">IF($A74="","",IF($I74&lt;=0,"●",""))</f>
        <v/>
      </c>
      <c r="K74" s="47" t="str">
        <f aca="false">IF($A74="","",IF(AND(INDEX(工程マスタ!$I$5:$I$154,$A74)="○",$E74&gt;=K$3,$E74&lt;=K$3+6),"▼",IF(AND($E74&gt;=K$3,$E74&lt;=K$3+6),$A74,"")))</f>
        <v/>
      </c>
      <c r="L74" s="47" t="str">
        <f aca="false">IF($A74="","",IF(AND(INDEX(工程マスタ!$I$5:$I$154,$A74)="○",$E74&gt;=L$3,$E74&lt;=L$3+6),"▼",IF(AND($E74&gt;=L$3,$E74&lt;=L$3+6),$A74,"")))</f>
        <v/>
      </c>
      <c r="M74" s="47" t="str">
        <f aca="false">IF($A74="","",IF(AND(INDEX(工程マスタ!$I$5:$I$154,$A74)="○",$E74&gt;=M$3,$E74&lt;=M$3+6),"▼",IF(AND($E74&gt;=M$3,$E74&lt;=M$3+6),$A74,"")))</f>
        <v/>
      </c>
      <c r="N74" s="47" t="str">
        <f aca="false">IF($A74="","",IF(AND(INDEX(工程マスタ!$I$5:$I$154,$A74)="○",$E74&gt;=N$3,$E74&lt;=N$3+6),"▼",IF(AND($E74&gt;=N$3,$E74&lt;=N$3+6),$A74,"")))</f>
        <v/>
      </c>
      <c r="O74" s="47" t="str">
        <f aca="false">IF($A74="","",IF(AND(INDEX(工程マスタ!$I$5:$I$154,$A74)="○",$E74&gt;=O$3,$E74&lt;=O$3+6),"▼",IF(AND($E74&gt;=O$3,$E74&lt;=O$3+6),$A74,"")))</f>
        <v/>
      </c>
      <c r="P74" s="47" t="str">
        <f aca="false">IF($A74="","",IF(AND(INDEX(工程マスタ!$I$5:$I$154,$A74)="○",$E74&gt;=P$3,$E74&lt;=P$3+6),"▼",IF(AND($E74&gt;=P$3,$E74&lt;=P$3+6),$A74,"")))</f>
        <v/>
      </c>
      <c r="Q74" s="47" t="str">
        <f aca="false">IF($A74="","",IF(AND(INDEX(工程マスタ!$I$5:$I$154,$A74)="○",$E74&gt;=Q$3,$E74&lt;=Q$3+6),"▼",IF(AND($E74&gt;=Q$3,$E74&lt;=Q$3+6),$A74,"")))</f>
        <v/>
      </c>
      <c r="R74" s="47" t="str">
        <f aca="false">IF($A74="","",IF(AND(INDEX(工程マスタ!$I$5:$I$154,$A74)="○",$E74&gt;=R$3,$E74&lt;=R$3+6),"▼",IF(AND($E74&gt;=R$3,$E74&lt;=R$3+6),$A74,"")))</f>
        <v/>
      </c>
      <c r="S74" s="47" t="str">
        <f aca="false">IF($A74="","",IF(AND(INDEX(工程マスタ!$I$5:$I$154,$A74)="○",$E74&gt;=S$3,$E74&lt;=S$3+6),"▼",IF(AND($E74&gt;=S$3,$E74&lt;=S$3+6),$A74,"")))</f>
        <v/>
      </c>
      <c r="T74" s="47" t="str">
        <f aca="false">IF($A74="","",IF(AND(INDEX(工程マスタ!$I$5:$I$154,$A74)="○",$E74&gt;=T$3,$E74&lt;=T$3+6),"▼",IF(AND($E74&gt;=T$3,$E74&lt;=T$3+6),$A74,"")))</f>
        <v/>
      </c>
      <c r="U74" s="47" t="str">
        <f aca="false">IF($A74="","",IF(AND(INDEX(工程マスタ!$I$5:$I$154,$A74)="○",$E74&gt;=U$3,$E74&lt;=U$3+6),"▼",IF(AND($E74&gt;=U$3,$E74&lt;=U$3+6),$A74,"")))</f>
        <v/>
      </c>
      <c r="V74" s="47" t="str">
        <f aca="false">IF($A74="","",IF(AND(INDEX(工程マスタ!$I$5:$I$154,$A74)="○",$E74&gt;=V$3,$E74&lt;=V$3+6),"▼",IF(AND($E74&gt;=V$3,$E74&lt;=V$3+6),$A74,"")))</f>
        <v/>
      </c>
      <c r="W74" s="47" t="str">
        <f aca="false">IF($A74="","",IF(AND(INDEX(工程マスタ!$I$5:$I$154,$A74)="○",$E74&gt;=W$3,$E74&lt;=W$3+6),"▼",IF(AND($E74&gt;=W$3,$E74&lt;=W$3+6),$A74,"")))</f>
        <v/>
      </c>
      <c r="X74" s="47" t="str">
        <f aca="false">IF($A74="","",IF(AND(INDEX(工程マスタ!$I$5:$I$154,$A74)="○",$E74&gt;=X$3,$E74&lt;=X$3+6),"▼",IF(AND($E74&gt;=X$3,$E74&lt;=X$3+6),$A74,"")))</f>
        <v/>
      </c>
      <c r="Y74" s="47" t="str">
        <f aca="false">IF($A74="","",IF(AND(INDEX(工程マスタ!$I$5:$I$154,$A74)="○",$E74&gt;=Y$3,$E74&lt;=Y$3+6),"▼",IF(AND($E74&gt;=Y$3,$E74&lt;=Y$3+6),$A74,"")))</f>
        <v/>
      </c>
      <c r="Z74" s="47" t="str">
        <f aca="false">IF($A74="","",IF(AND(INDEX(工程マスタ!$I$5:$I$154,$A74)="○",$E74&gt;=Z$3,$E74&lt;=Z$3+6),"▼",IF(AND($E74&gt;=Z$3,$E74&lt;=Z$3+6),$A74,"")))</f>
        <v/>
      </c>
      <c r="AA74" s="47" t="str">
        <f aca="false">IF($A74="","",IF(AND(INDEX(工程マスタ!$I$5:$I$154,$A74)="○",$E74&gt;=AA$3,$E74&lt;=AA$3+6),"▼",IF(AND($E74&gt;=AA$3,$E74&lt;=AA$3+6),$A74,"")))</f>
        <v/>
      </c>
      <c r="AB74" s="47" t="str">
        <f aca="false">IF($A74="","",IF(AND(INDEX(工程マスタ!$I$5:$I$154,$A74)="○",$E74&gt;=AB$3,$E74&lt;=AB$3+6),"▼",IF(AND($E74&gt;=AB$3,$E74&lt;=AB$3+6),$A74,"")))</f>
        <v/>
      </c>
      <c r="AC74" s="47" t="str">
        <f aca="false">IF($A74="","",IF(AND(INDEX(工程マスタ!$I$5:$I$154,$A74)="○",$E74&gt;=AC$3,$E74&lt;=AC$3+6),"▼",IF(AND($E74&gt;=AC$3,$E74&lt;=AC$3+6),$A74,"")))</f>
        <v/>
      </c>
      <c r="AD74" s="47" t="str">
        <f aca="false">IF($A74="","",IF(AND(INDEX(工程マスタ!$I$5:$I$154,$A74)="○",$E74&gt;=AD$3,$E74&lt;=AD$3+6),"▼",IF(AND($E74&gt;=AD$3,$E74&lt;=AD$3+6),$A74,"")))</f>
        <v/>
      </c>
      <c r="AE74" s="47" t="str">
        <f aca="false">IF($A74="","",IF(AND(INDEX(工程マスタ!$I$5:$I$154,$A74)="○",$E74&gt;=AE$3,$E74&lt;=AE$3+6),"▼",IF(AND($E74&gt;=AE$3,$E74&lt;=AE$3+6),$A74,"")))</f>
        <v/>
      </c>
      <c r="AF74" s="47" t="str">
        <f aca="false">IF($A74="","",IF(AND(INDEX(工程マスタ!$I$5:$I$154,$A74)="○",$E74&gt;=AF$3,$E74&lt;=AF$3+6),"▼",IF(AND($E74&gt;=AF$3,$E74&lt;=AF$3+6),$A74,"")))</f>
        <v/>
      </c>
      <c r="AG74" s="47" t="str">
        <f aca="false">IF($A74="","",IF(AND(INDEX(工程マスタ!$I$5:$I$154,$A74)="○",$E74&gt;=AG$3,$E74&lt;=AG$3+6),"▼",IF(AND($E74&gt;=AG$3,$E74&lt;=AG$3+6),$A74,"")))</f>
        <v/>
      </c>
      <c r="AH74" s="47" t="str">
        <f aca="false">IF($A74="","",IF(AND(INDEX(工程マスタ!$I$5:$I$154,$A74)="○",$E74&gt;=AH$3,$E74&lt;=AH$3+6),"▼",IF(AND($E74&gt;=AH$3,$E74&lt;=AH$3+6),$A74,"")))</f>
        <v/>
      </c>
      <c r="AI74" s="47" t="str">
        <f aca="false">IF($A74="","",IF(AND(INDEX(工程マスタ!$I$5:$I$154,$A74)="○",$E74&gt;=AI$3,$E74&lt;=AI$3+6),"▼",IF(AND($E74&gt;=AI$3,$E74&lt;=AI$3+6),$A74,"")))</f>
        <v/>
      </c>
      <c r="AJ74" s="47" t="str">
        <f aca="false">IF($A74="","",IF(AND(INDEX(工程マスタ!$I$5:$I$154,$A74)="○",$E74&gt;=AJ$3,$E74&lt;=AJ$3+6),"▼",IF(AND($E74&gt;=AJ$3,$E74&lt;=AJ$3+6),$A74,"")))</f>
        <v/>
      </c>
      <c r="AK74" s="47" t="str">
        <f aca="false">IF($A74="","",IF(AND(INDEX(工程マスタ!$I$5:$I$154,$A74)="○",$E74&gt;=AK$3,$E74&lt;=AK$3+6),"▼",IF(AND($E74&gt;=AK$3,$E74&lt;=AK$3+6),$A74,"")))</f>
        <v/>
      </c>
      <c r="AL74" s="47" t="str">
        <f aca="false">IF($A74="","",IF(AND(INDEX(工程マスタ!$I$5:$I$154,$A74)="○",$E74&gt;=AL$3,$E74&lt;=AL$3+6),"▼",IF(AND($E74&gt;=AL$3,$E74&lt;=AL$3+6),$A74,"")))</f>
        <v/>
      </c>
      <c r="AM74" s="47" t="str">
        <f aca="false">IF($A74="","",IF(AND(INDEX(工程マスタ!$I$5:$I$154,$A74)="○",$E74&gt;=AM$3,$E74&lt;=AM$3+6),"▼",IF(AND($E74&gt;=AM$3,$E74&lt;=AM$3+6),$A74,"")))</f>
        <v/>
      </c>
      <c r="AN74" s="47" t="str">
        <f aca="false">IF($A74="","",IF(AND(INDEX(工程マスタ!$I$5:$I$154,$A74)="○",$E74&gt;=AN$3,$E74&lt;=AN$3+6),"▼",IF(AND($E74&gt;=AN$3,$E74&lt;=AN$3+6),$A74,"")))</f>
        <v/>
      </c>
      <c r="AO74" s="47" t="str">
        <f aca="false">IF($A74="","",IF(AND(INDEX(工程マスタ!$I$5:$I$154,$A74)="○",$E74&gt;=AO$3,$E74&lt;=AO$3+6),"▼",IF(AND($E74&gt;=AO$3,$E74&lt;=AO$3+6),$A74,"")))</f>
        <v/>
      </c>
      <c r="AP74" s="47" t="str">
        <f aca="false">IF($A74="","",IF(AND(INDEX(工程マスタ!$I$5:$I$154,$A74)="○",$E74&gt;=AP$3,$E74&lt;=AP$3+6),"▼",IF(AND($E74&gt;=AP$3,$E74&lt;=AP$3+6),$A74,"")))</f>
        <v/>
      </c>
      <c r="AQ74" s="47" t="str">
        <f aca="false">IF($A74="","",IF(AND(INDEX(工程マスタ!$I$5:$I$154,$A74)="○",$E74&gt;=AQ$3,$E74&lt;=AQ$3+6),"▼",IF(AND($E74&gt;=AQ$3,$E74&lt;=AQ$3+6),$A74,"")))</f>
        <v/>
      </c>
      <c r="AR74" s="47" t="str">
        <f aca="false">IF($A74="","",IF(AND(INDEX(工程マスタ!$I$5:$I$154,$A74)="○",$E74&gt;=AR$3,$E74&lt;=AR$3+6),"▼",IF(AND($E74&gt;=AR$3,$E74&lt;=AR$3+6),$A74,"")))</f>
        <v/>
      </c>
      <c r="AS74" s="47" t="str">
        <f aca="false">IF($A74="","",IF(AND(INDEX(工程マスタ!$I$5:$I$154,$A74)="○",$E74&gt;=AS$3,$E74&lt;=AS$3+6),"▼",IF(AND($E74&gt;=AS$3,$E74&lt;=AS$3+6),$A74,"")))</f>
        <v/>
      </c>
      <c r="AT74" s="47" t="str">
        <f aca="false">IF($A74="","",IF(AND(INDEX(工程マスタ!$I$5:$I$154,$A74)="○",$E74&gt;=AT$3,$E74&lt;=AT$3+6),"▼",IF(AND($E74&gt;=AT$3,$E74&lt;=AT$3+6),$A74,"")))</f>
        <v/>
      </c>
      <c r="AU74" s="47" t="str">
        <f aca="false">IF($A74="","",IF(AND(INDEX(工程マスタ!$I$5:$I$154,$A74)="○",$E74&gt;=AU$3,$E74&lt;=AU$3+6),"▼",IF(AND($E74&gt;=AU$3,$E74&lt;=AU$3+6),$A74,"")))</f>
        <v/>
      </c>
      <c r="AV74" s="47" t="str">
        <f aca="false">IF($A74="","",IF(AND(INDEX(工程マスタ!$I$5:$I$154,$A74)="○",$E74&gt;=AV$3,$E74&lt;=AV$3+6),"▼",IF(AND($E74&gt;=AV$3,$E74&lt;=AV$3+6),$A74,"")))</f>
        <v/>
      </c>
      <c r="AW74" s="47" t="str">
        <f aca="false">IF($A74="","",IF(AND(INDEX(工程マスタ!$I$5:$I$154,$A74)="○",$E74&gt;=AW$3,$E74&lt;=AW$3+6),"▼",IF(AND($E74&gt;=AW$3,$E74&lt;=AW$3+6),$A74,"")))</f>
        <v/>
      </c>
      <c r="AX74" s="47" t="str">
        <f aca="false">IF($A74="","",IF(AND(INDEX(工程マスタ!$I$5:$I$154,$A74)="○",$E74&gt;=AX$3,$E74&lt;=AX$3+6),"▼",IF(AND($E74&gt;=AX$3,$E74&lt;=AX$3+6),$A74,"")))</f>
        <v/>
      </c>
      <c r="AY74" s="47" t="str">
        <f aca="false">IF($A74="","",IF(AND(INDEX(工程マスタ!$I$5:$I$154,$A74)="○",$E74&gt;=AY$3,$E74&lt;=AY$3+6),"▼",IF(AND($E74&gt;=AY$3,$E74&lt;=AY$3+6),$A74,"")))</f>
        <v/>
      </c>
      <c r="AZ74" s="47" t="str">
        <f aca="false">IF($A74="","",IF(AND(INDEX(工程マスタ!$I$5:$I$154,$A74)="○",$E74&gt;=AZ$3,$E74&lt;=AZ$3+6),"▼",IF(AND($E74&gt;=AZ$3,$E74&lt;=AZ$3+6),$A74,"")))</f>
        <v/>
      </c>
      <c r="BA74" s="47" t="str">
        <f aca="false">IF($A74="","",IF(AND(INDEX(工程マスタ!$I$5:$I$154,$A74)="○",$E74&gt;=BA$3,$E74&lt;=BA$3+6),"▼",IF(AND($E74&gt;=BA$3,$E74&lt;=BA$3+6),$A74,"")))</f>
        <v/>
      </c>
      <c r="BB74" s="47" t="str">
        <f aca="false">IF($A74="","",IF(AND(INDEX(工程マスタ!$I$5:$I$154,$A74)="○",$E74&gt;=BB$3,$E74&lt;=BB$3+6),"▼",IF(AND($E74&gt;=BB$3,$E74&lt;=BB$3+6),$A74,"")))</f>
        <v/>
      </c>
      <c r="BC74" s="47" t="str">
        <f aca="false">IF($A74="","",IF(AND(INDEX(工程マスタ!$I$5:$I$154,$A74)="○",$E74&gt;=BC$3,$E74&lt;=BC$3+6),"▼",IF(AND($E74&gt;=BC$3,$E74&lt;=BC$3+6),$A74,"")))</f>
        <v/>
      </c>
      <c r="BD74" s="47" t="str">
        <f aca="false">IF($A74="","",IF(AND(INDEX(工程マスタ!$I$5:$I$154,$A74)="○",$E74&gt;=BD$3,$E74&lt;=BD$3+6),"▼",IF(AND($E74&gt;=BD$3,$E74&lt;=BD$3+6),$A74,"")))</f>
        <v/>
      </c>
      <c r="BE74" s="47" t="str">
        <f aca="false">IF($A74="","",IF(AND(INDEX(工程マスタ!$I$5:$I$154,$A74)="○",$E74&gt;=BE$3,$E74&lt;=BE$3+6),"▼",IF(AND($E74&gt;=BE$3,$E74&lt;=BE$3+6),$A74,"")))</f>
        <v/>
      </c>
      <c r="BF74" s="47" t="str">
        <f aca="false">IF($A74="","",IF(AND(INDEX(工程マスタ!$I$5:$I$154,$A74)="○",$E74&gt;=BF$3,$E74&lt;=BF$3+6),"▼",IF(AND($E74&gt;=BF$3,$E74&lt;=BF$3+6),$A74,"")))</f>
        <v/>
      </c>
      <c r="BG74" s="47" t="str">
        <f aca="false">IF($A74="","",IF(AND(INDEX(工程マスタ!$I$5:$I$154,$A74)="○",$E74&gt;=BG$3,$E74&lt;=BG$3+6),"▼",IF(AND($E74&gt;=BG$3,$E74&lt;=BG$3+6),$A74,"")))</f>
        <v/>
      </c>
      <c r="BH74" s="47" t="str">
        <f aca="false">IF($A74="","",IF(AND(INDEX(工程マスタ!$I$5:$I$154,$A74)="○",$E74&gt;=BH$3,$E74&lt;=BH$3+6),"▼",IF(AND($E74&gt;=BH$3,$E74&lt;=BH$3+6),$A74,"")))</f>
        <v/>
      </c>
      <c r="BI74" s="47" t="str">
        <f aca="false">IF($A74="","",IF(AND(INDEX(工程マスタ!$I$5:$I$154,$A74)="○",$E74&gt;=BI$3,$E74&lt;=BI$3+6),"▼",IF(AND($E74&gt;=BI$3,$E74&lt;=BI$3+6),$A74,"")))</f>
        <v/>
      </c>
      <c r="BJ74" s="47" t="str">
        <f aca="false">IF($A74="","",IF(AND(INDEX(工程マスタ!$I$5:$I$154,$A74)="○",$E74&gt;=BJ$3,$E74&lt;=BJ$3+6),"▼",IF(AND($E74&gt;=BJ$3,$E74&lt;=BJ$3+6),$A74,"")))</f>
        <v/>
      </c>
    </row>
    <row r="75" customFormat="false" ht="15" hidden="false" customHeight="false" outlineLevel="0" collapsed="false">
      <c r="A75" s="28" t="str">
        <f aca="false">IF(工程マスタ!$C73="","",工程マスタ!$A73)</f>
        <v/>
      </c>
      <c r="B75" s="46" t="str">
        <f aca="false">IF($A75="","",工程マスタ!$C73)</f>
        <v/>
      </c>
      <c r="C75" s="28" t="str">
        <f aca="false">IF($A75="","",MAX(1,工程マスタ!$G73))</f>
        <v/>
      </c>
      <c r="D75" s="28" t="str">
        <f aca="false">IF($A75="","",_xlfn.TEXTJOIN(",",TRUE(),工程マスタ!$N73:$P73))</f>
        <v/>
      </c>
      <c r="E75" s="29" t="str">
        <f aca="false">IF($A75="","",IF(COUNT(工程マスタ!$N73:$P73)=0,設定!$B$8,MAX(IF(工程マスタ!$N73="",0,INDEX($F$7:$F$156,工程マスタ!$N73)),IF(工程マスタ!$O73="",0,INDEX($F$7:$F$156,工程マスタ!$O73)),IF(工程マスタ!$P73="",0,INDEX($F$7:$F$156,工程マスタ!$P73)))+1))</f>
        <v/>
      </c>
      <c r="F75" s="29" t="str">
        <f aca="false">IF($A75="","",$E75+$C75-1)</f>
        <v/>
      </c>
      <c r="G75" s="29" t="str">
        <f aca="false">IF($A75="","",$H75-$C75+1)</f>
        <v/>
      </c>
      <c r="H75" s="29" t="str">
        <f aca="false" t="array" ref="H75:H75">IF($A75="","",IF(SUMPRODUCT((工程マスタ!$N$74:$N$154=$A75)*1)+SUMPRODUCT((工程マスタ!$O$74:$O$154=$A75)*1)+SUMPRODUCT((工程マスタ!$P$74:$P$154=$A75)*1)=0,MAX($F$7:$F$156),MIN(IF((工程マスタ!$N$74:$N$154=$A75)+(工程マスタ!$O$74:$O$154=$A75)+(工程マスタ!$P$74:$P$154=$A75),$G76:$G$156))-1))</f>
        <v/>
      </c>
      <c r="I75" s="28" t="str">
        <f aca="false">IF($A75="","",$G75-$E75)</f>
        <v/>
      </c>
      <c r="J75" s="28" t="str">
        <f aca="false">IF($A75="","",IF($I75&lt;=0,"●",""))</f>
        <v/>
      </c>
      <c r="K75" s="47" t="str">
        <f aca="false">IF($A75="","",IF(AND(INDEX(工程マスタ!$I$5:$I$154,$A75)="○",$E75&gt;=K$3,$E75&lt;=K$3+6),"▼",IF(AND($E75&gt;=K$3,$E75&lt;=K$3+6),$A75,"")))</f>
        <v/>
      </c>
      <c r="L75" s="47" t="str">
        <f aca="false">IF($A75="","",IF(AND(INDEX(工程マスタ!$I$5:$I$154,$A75)="○",$E75&gt;=L$3,$E75&lt;=L$3+6),"▼",IF(AND($E75&gt;=L$3,$E75&lt;=L$3+6),$A75,"")))</f>
        <v/>
      </c>
      <c r="M75" s="47" t="str">
        <f aca="false">IF($A75="","",IF(AND(INDEX(工程マスタ!$I$5:$I$154,$A75)="○",$E75&gt;=M$3,$E75&lt;=M$3+6),"▼",IF(AND($E75&gt;=M$3,$E75&lt;=M$3+6),$A75,"")))</f>
        <v/>
      </c>
      <c r="N75" s="47" t="str">
        <f aca="false">IF($A75="","",IF(AND(INDEX(工程マスタ!$I$5:$I$154,$A75)="○",$E75&gt;=N$3,$E75&lt;=N$3+6),"▼",IF(AND($E75&gt;=N$3,$E75&lt;=N$3+6),$A75,"")))</f>
        <v/>
      </c>
      <c r="O75" s="47" t="str">
        <f aca="false">IF($A75="","",IF(AND(INDEX(工程マスタ!$I$5:$I$154,$A75)="○",$E75&gt;=O$3,$E75&lt;=O$3+6),"▼",IF(AND($E75&gt;=O$3,$E75&lt;=O$3+6),$A75,"")))</f>
        <v/>
      </c>
      <c r="P75" s="47" t="str">
        <f aca="false">IF($A75="","",IF(AND(INDEX(工程マスタ!$I$5:$I$154,$A75)="○",$E75&gt;=P$3,$E75&lt;=P$3+6),"▼",IF(AND($E75&gt;=P$3,$E75&lt;=P$3+6),$A75,"")))</f>
        <v/>
      </c>
      <c r="Q75" s="47" t="str">
        <f aca="false">IF($A75="","",IF(AND(INDEX(工程マスタ!$I$5:$I$154,$A75)="○",$E75&gt;=Q$3,$E75&lt;=Q$3+6),"▼",IF(AND($E75&gt;=Q$3,$E75&lt;=Q$3+6),$A75,"")))</f>
        <v/>
      </c>
      <c r="R75" s="47" t="str">
        <f aca="false">IF($A75="","",IF(AND(INDEX(工程マスタ!$I$5:$I$154,$A75)="○",$E75&gt;=R$3,$E75&lt;=R$3+6),"▼",IF(AND($E75&gt;=R$3,$E75&lt;=R$3+6),$A75,"")))</f>
        <v/>
      </c>
      <c r="S75" s="47" t="str">
        <f aca="false">IF($A75="","",IF(AND(INDEX(工程マスタ!$I$5:$I$154,$A75)="○",$E75&gt;=S$3,$E75&lt;=S$3+6),"▼",IF(AND($E75&gt;=S$3,$E75&lt;=S$3+6),$A75,"")))</f>
        <v/>
      </c>
      <c r="T75" s="47" t="str">
        <f aca="false">IF($A75="","",IF(AND(INDEX(工程マスタ!$I$5:$I$154,$A75)="○",$E75&gt;=T$3,$E75&lt;=T$3+6),"▼",IF(AND($E75&gt;=T$3,$E75&lt;=T$3+6),$A75,"")))</f>
        <v/>
      </c>
      <c r="U75" s="47" t="str">
        <f aca="false">IF($A75="","",IF(AND(INDEX(工程マスタ!$I$5:$I$154,$A75)="○",$E75&gt;=U$3,$E75&lt;=U$3+6),"▼",IF(AND($E75&gt;=U$3,$E75&lt;=U$3+6),$A75,"")))</f>
        <v/>
      </c>
      <c r="V75" s="47" t="str">
        <f aca="false">IF($A75="","",IF(AND(INDEX(工程マスタ!$I$5:$I$154,$A75)="○",$E75&gt;=V$3,$E75&lt;=V$3+6),"▼",IF(AND($E75&gt;=V$3,$E75&lt;=V$3+6),$A75,"")))</f>
        <v/>
      </c>
      <c r="W75" s="47" t="str">
        <f aca="false">IF($A75="","",IF(AND(INDEX(工程マスタ!$I$5:$I$154,$A75)="○",$E75&gt;=W$3,$E75&lt;=W$3+6),"▼",IF(AND($E75&gt;=W$3,$E75&lt;=W$3+6),$A75,"")))</f>
        <v/>
      </c>
      <c r="X75" s="47" t="str">
        <f aca="false">IF($A75="","",IF(AND(INDEX(工程マスタ!$I$5:$I$154,$A75)="○",$E75&gt;=X$3,$E75&lt;=X$3+6),"▼",IF(AND($E75&gt;=X$3,$E75&lt;=X$3+6),$A75,"")))</f>
        <v/>
      </c>
      <c r="Y75" s="47" t="str">
        <f aca="false">IF($A75="","",IF(AND(INDEX(工程マスタ!$I$5:$I$154,$A75)="○",$E75&gt;=Y$3,$E75&lt;=Y$3+6),"▼",IF(AND($E75&gt;=Y$3,$E75&lt;=Y$3+6),$A75,"")))</f>
        <v/>
      </c>
      <c r="Z75" s="47" t="str">
        <f aca="false">IF($A75="","",IF(AND(INDEX(工程マスタ!$I$5:$I$154,$A75)="○",$E75&gt;=Z$3,$E75&lt;=Z$3+6),"▼",IF(AND($E75&gt;=Z$3,$E75&lt;=Z$3+6),$A75,"")))</f>
        <v/>
      </c>
      <c r="AA75" s="47" t="str">
        <f aca="false">IF($A75="","",IF(AND(INDEX(工程マスタ!$I$5:$I$154,$A75)="○",$E75&gt;=AA$3,$E75&lt;=AA$3+6),"▼",IF(AND($E75&gt;=AA$3,$E75&lt;=AA$3+6),$A75,"")))</f>
        <v/>
      </c>
      <c r="AB75" s="47" t="str">
        <f aca="false">IF($A75="","",IF(AND(INDEX(工程マスタ!$I$5:$I$154,$A75)="○",$E75&gt;=AB$3,$E75&lt;=AB$3+6),"▼",IF(AND($E75&gt;=AB$3,$E75&lt;=AB$3+6),$A75,"")))</f>
        <v/>
      </c>
      <c r="AC75" s="47" t="str">
        <f aca="false">IF($A75="","",IF(AND(INDEX(工程マスタ!$I$5:$I$154,$A75)="○",$E75&gt;=AC$3,$E75&lt;=AC$3+6),"▼",IF(AND($E75&gt;=AC$3,$E75&lt;=AC$3+6),$A75,"")))</f>
        <v/>
      </c>
      <c r="AD75" s="47" t="str">
        <f aca="false">IF($A75="","",IF(AND(INDEX(工程マスタ!$I$5:$I$154,$A75)="○",$E75&gt;=AD$3,$E75&lt;=AD$3+6),"▼",IF(AND($E75&gt;=AD$3,$E75&lt;=AD$3+6),$A75,"")))</f>
        <v/>
      </c>
      <c r="AE75" s="47" t="str">
        <f aca="false">IF($A75="","",IF(AND(INDEX(工程マスタ!$I$5:$I$154,$A75)="○",$E75&gt;=AE$3,$E75&lt;=AE$3+6),"▼",IF(AND($E75&gt;=AE$3,$E75&lt;=AE$3+6),$A75,"")))</f>
        <v/>
      </c>
      <c r="AF75" s="47" t="str">
        <f aca="false">IF($A75="","",IF(AND(INDEX(工程マスタ!$I$5:$I$154,$A75)="○",$E75&gt;=AF$3,$E75&lt;=AF$3+6),"▼",IF(AND($E75&gt;=AF$3,$E75&lt;=AF$3+6),$A75,"")))</f>
        <v/>
      </c>
      <c r="AG75" s="47" t="str">
        <f aca="false">IF($A75="","",IF(AND(INDEX(工程マスタ!$I$5:$I$154,$A75)="○",$E75&gt;=AG$3,$E75&lt;=AG$3+6),"▼",IF(AND($E75&gt;=AG$3,$E75&lt;=AG$3+6),$A75,"")))</f>
        <v/>
      </c>
      <c r="AH75" s="47" t="str">
        <f aca="false">IF($A75="","",IF(AND(INDEX(工程マスタ!$I$5:$I$154,$A75)="○",$E75&gt;=AH$3,$E75&lt;=AH$3+6),"▼",IF(AND($E75&gt;=AH$3,$E75&lt;=AH$3+6),$A75,"")))</f>
        <v/>
      </c>
      <c r="AI75" s="47" t="str">
        <f aca="false">IF($A75="","",IF(AND(INDEX(工程マスタ!$I$5:$I$154,$A75)="○",$E75&gt;=AI$3,$E75&lt;=AI$3+6),"▼",IF(AND($E75&gt;=AI$3,$E75&lt;=AI$3+6),$A75,"")))</f>
        <v/>
      </c>
      <c r="AJ75" s="47" t="str">
        <f aca="false">IF($A75="","",IF(AND(INDEX(工程マスタ!$I$5:$I$154,$A75)="○",$E75&gt;=AJ$3,$E75&lt;=AJ$3+6),"▼",IF(AND($E75&gt;=AJ$3,$E75&lt;=AJ$3+6),$A75,"")))</f>
        <v/>
      </c>
      <c r="AK75" s="47" t="str">
        <f aca="false">IF($A75="","",IF(AND(INDEX(工程マスタ!$I$5:$I$154,$A75)="○",$E75&gt;=AK$3,$E75&lt;=AK$3+6),"▼",IF(AND($E75&gt;=AK$3,$E75&lt;=AK$3+6),$A75,"")))</f>
        <v/>
      </c>
      <c r="AL75" s="47" t="str">
        <f aca="false">IF($A75="","",IF(AND(INDEX(工程マスタ!$I$5:$I$154,$A75)="○",$E75&gt;=AL$3,$E75&lt;=AL$3+6),"▼",IF(AND($E75&gt;=AL$3,$E75&lt;=AL$3+6),$A75,"")))</f>
        <v/>
      </c>
      <c r="AM75" s="47" t="str">
        <f aca="false">IF($A75="","",IF(AND(INDEX(工程マスタ!$I$5:$I$154,$A75)="○",$E75&gt;=AM$3,$E75&lt;=AM$3+6),"▼",IF(AND($E75&gt;=AM$3,$E75&lt;=AM$3+6),$A75,"")))</f>
        <v/>
      </c>
      <c r="AN75" s="47" t="str">
        <f aca="false">IF($A75="","",IF(AND(INDEX(工程マスタ!$I$5:$I$154,$A75)="○",$E75&gt;=AN$3,$E75&lt;=AN$3+6),"▼",IF(AND($E75&gt;=AN$3,$E75&lt;=AN$3+6),$A75,"")))</f>
        <v/>
      </c>
      <c r="AO75" s="47" t="str">
        <f aca="false">IF($A75="","",IF(AND(INDEX(工程マスタ!$I$5:$I$154,$A75)="○",$E75&gt;=AO$3,$E75&lt;=AO$3+6),"▼",IF(AND($E75&gt;=AO$3,$E75&lt;=AO$3+6),$A75,"")))</f>
        <v/>
      </c>
      <c r="AP75" s="47" t="str">
        <f aca="false">IF($A75="","",IF(AND(INDEX(工程マスタ!$I$5:$I$154,$A75)="○",$E75&gt;=AP$3,$E75&lt;=AP$3+6),"▼",IF(AND($E75&gt;=AP$3,$E75&lt;=AP$3+6),$A75,"")))</f>
        <v/>
      </c>
      <c r="AQ75" s="47" t="str">
        <f aca="false">IF($A75="","",IF(AND(INDEX(工程マスタ!$I$5:$I$154,$A75)="○",$E75&gt;=AQ$3,$E75&lt;=AQ$3+6),"▼",IF(AND($E75&gt;=AQ$3,$E75&lt;=AQ$3+6),$A75,"")))</f>
        <v/>
      </c>
      <c r="AR75" s="47" t="str">
        <f aca="false">IF($A75="","",IF(AND(INDEX(工程マスタ!$I$5:$I$154,$A75)="○",$E75&gt;=AR$3,$E75&lt;=AR$3+6),"▼",IF(AND($E75&gt;=AR$3,$E75&lt;=AR$3+6),$A75,"")))</f>
        <v/>
      </c>
      <c r="AS75" s="47" t="str">
        <f aca="false">IF($A75="","",IF(AND(INDEX(工程マスタ!$I$5:$I$154,$A75)="○",$E75&gt;=AS$3,$E75&lt;=AS$3+6),"▼",IF(AND($E75&gt;=AS$3,$E75&lt;=AS$3+6),$A75,"")))</f>
        <v/>
      </c>
      <c r="AT75" s="47" t="str">
        <f aca="false">IF($A75="","",IF(AND(INDEX(工程マスタ!$I$5:$I$154,$A75)="○",$E75&gt;=AT$3,$E75&lt;=AT$3+6),"▼",IF(AND($E75&gt;=AT$3,$E75&lt;=AT$3+6),$A75,"")))</f>
        <v/>
      </c>
      <c r="AU75" s="47" t="str">
        <f aca="false">IF($A75="","",IF(AND(INDEX(工程マスタ!$I$5:$I$154,$A75)="○",$E75&gt;=AU$3,$E75&lt;=AU$3+6),"▼",IF(AND($E75&gt;=AU$3,$E75&lt;=AU$3+6),$A75,"")))</f>
        <v/>
      </c>
      <c r="AV75" s="47" t="str">
        <f aca="false">IF($A75="","",IF(AND(INDEX(工程マスタ!$I$5:$I$154,$A75)="○",$E75&gt;=AV$3,$E75&lt;=AV$3+6),"▼",IF(AND($E75&gt;=AV$3,$E75&lt;=AV$3+6),$A75,"")))</f>
        <v/>
      </c>
      <c r="AW75" s="47" t="str">
        <f aca="false">IF($A75="","",IF(AND(INDEX(工程マスタ!$I$5:$I$154,$A75)="○",$E75&gt;=AW$3,$E75&lt;=AW$3+6),"▼",IF(AND($E75&gt;=AW$3,$E75&lt;=AW$3+6),$A75,"")))</f>
        <v/>
      </c>
      <c r="AX75" s="47" t="str">
        <f aca="false">IF($A75="","",IF(AND(INDEX(工程マスタ!$I$5:$I$154,$A75)="○",$E75&gt;=AX$3,$E75&lt;=AX$3+6),"▼",IF(AND($E75&gt;=AX$3,$E75&lt;=AX$3+6),$A75,"")))</f>
        <v/>
      </c>
      <c r="AY75" s="47" t="str">
        <f aca="false">IF($A75="","",IF(AND(INDEX(工程マスタ!$I$5:$I$154,$A75)="○",$E75&gt;=AY$3,$E75&lt;=AY$3+6),"▼",IF(AND($E75&gt;=AY$3,$E75&lt;=AY$3+6),$A75,"")))</f>
        <v/>
      </c>
      <c r="AZ75" s="47" t="str">
        <f aca="false">IF($A75="","",IF(AND(INDEX(工程マスタ!$I$5:$I$154,$A75)="○",$E75&gt;=AZ$3,$E75&lt;=AZ$3+6),"▼",IF(AND($E75&gt;=AZ$3,$E75&lt;=AZ$3+6),$A75,"")))</f>
        <v/>
      </c>
      <c r="BA75" s="47" t="str">
        <f aca="false">IF($A75="","",IF(AND(INDEX(工程マスタ!$I$5:$I$154,$A75)="○",$E75&gt;=BA$3,$E75&lt;=BA$3+6),"▼",IF(AND($E75&gt;=BA$3,$E75&lt;=BA$3+6),$A75,"")))</f>
        <v/>
      </c>
      <c r="BB75" s="47" t="str">
        <f aca="false">IF($A75="","",IF(AND(INDEX(工程マスタ!$I$5:$I$154,$A75)="○",$E75&gt;=BB$3,$E75&lt;=BB$3+6),"▼",IF(AND($E75&gt;=BB$3,$E75&lt;=BB$3+6),$A75,"")))</f>
        <v/>
      </c>
      <c r="BC75" s="47" t="str">
        <f aca="false">IF($A75="","",IF(AND(INDEX(工程マスタ!$I$5:$I$154,$A75)="○",$E75&gt;=BC$3,$E75&lt;=BC$3+6),"▼",IF(AND($E75&gt;=BC$3,$E75&lt;=BC$3+6),$A75,"")))</f>
        <v/>
      </c>
      <c r="BD75" s="47" t="str">
        <f aca="false">IF($A75="","",IF(AND(INDEX(工程マスタ!$I$5:$I$154,$A75)="○",$E75&gt;=BD$3,$E75&lt;=BD$3+6),"▼",IF(AND($E75&gt;=BD$3,$E75&lt;=BD$3+6),$A75,"")))</f>
        <v/>
      </c>
      <c r="BE75" s="47" t="str">
        <f aca="false">IF($A75="","",IF(AND(INDEX(工程マスタ!$I$5:$I$154,$A75)="○",$E75&gt;=BE$3,$E75&lt;=BE$3+6),"▼",IF(AND($E75&gt;=BE$3,$E75&lt;=BE$3+6),$A75,"")))</f>
        <v/>
      </c>
      <c r="BF75" s="47" t="str">
        <f aca="false">IF($A75="","",IF(AND(INDEX(工程マスタ!$I$5:$I$154,$A75)="○",$E75&gt;=BF$3,$E75&lt;=BF$3+6),"▼",IF(AND($E75&gt;=BF$3,$E75&lt;=BF$3+6),$A75,"")))</f>
        <v/>
      </c>
      <c r="BG75" s="47" t="str">
        <f aca="false">IF($A75="","",IF(AND(INDEX(工程マスタ!$I$5:$I$154,$A75)="○",$E75&gt;=BG$3,$E75&lt;=BG$3+6),"▼",IF(AND($E75&gt;=BG$3,$E75&lt;=BG$3+6),$A75,"")))</f>
        <v/>
      </c>
      <c r="BH75" s="47" t="str">
        <f aca="false">IF($A75="","",IF(AND(INDEX(工程マスタ!$I$5:$I$154,$A75)="○",$E75&gt;=BH$3,$E75&lt;=BH$3+6),"▼",IF(AND($E75&gt;=BH$3,$E75&lt;=BH$3+6),$A75,"")))</f>
        <v/>
      </c>
      <c r="BI75" s="47" t="str">
        <f aca="false">IF($A75="","",IF(AND(INDEX(工程マスタ!$I$5:$I$154,$A75)="○",$E75&gt;=BI$3,$E75&lt;=BI$3+6),"▼",IF(AND($E75&gt;=BI$3,$E75&lt;=BI$3+6),$A75,"")))</f>
        <v/>
      </c>
      <c r="BJ75" s="47" t="str">
        <f aca="false">IF($A75="","",IF(AND(INDEX(工程マスタ!$I$5:$I$154,$A75)="○",$E75&gt;=BJ$3,$E75&lt;=BJ$3+6),"▼",IF(AND($E75&gt;=BJ$3,$E75&lt;=BJ$3+6),$A75,"")))</f>
        <v/>
      </c>
    </row>
    <row r="76" customFormat="false" ht="15" hidden="false" customHeight="false" outlineLevel="0" collapsed="false">
      <c r="A76" s="28" t="str">
        <f aca="false">IF(工程マスタ!$C74="","",工程マスタ!$A74)</f>
        <v/>
      </c>
      <c r="B76" s="46" t="str">
        <f aca="false">IF($A76="","",工程マスタ!$C74)</f>
        <v/>
      </c>
      <c r="C76" s="28" t="str">
        <f aca="false">IF($A76="","",MAX(1,工程マスタ!$G74))</f>
        <v/>
      </c>
      <c r="D76" s="28" t="str">
        <f aca="false">IF($A76="","",_xlfn.TEXTJOIN(",",TRUE(),工程マスタ!$N74:$P74))</f>
        <v/>
      </c>
      <c r="E76" s="29" t="str">
        <f aca="false">IF($A76="","",IF(COUNT(工程マスタ!$N74:$P74)=0,設定!$B$8,MAX(IF(工程マスタ!$N74="",0,INDEX($F$7:$F$156,工程マスタ!$N74)),IF(工程マスタ!$O74="",0,INDEX($F$7:$F$156,工程マスタ!$O74)),IF(工程マスタ!$P74="",0,INDEX($F$7:$F$156,工程マスタ!$P74)))+1))</f>
        <v/>
      </c>
      <c r="F76" s="29" t="str">
        <f aca="false">IF($A76="","",$E76+$C76-1)</f>
        <v/>
      </c>
      <c r="G76" s="29" t="str">
        <f aca="false">IF($A76="","",$H76-$C76+1)</f>
        <v/>
      </c>
      <c r="H76" s="29" t="str">
        <f aca="false" t="array" ref="H76:H76">IF($A76="","",IF(SUMPRODUCT((工程マスタ!$N$75:$N$154=$A76)*1)+SUMPRODUCT((工程マスタ!$O$75:$O$154=$A76)*1)+SUMPRODUCT((工程マスタ!$P$75:$P$154=$A76)*1)=0,MAX($F$7:$F$156),MIN(IF((工程マスタ!$N$75:$N$154=$A76)+(工程マスタ!$O$75:$O$154=$A76)+(工程マスタ!$P$75:$P$154=$A76),$G77:$G$156))-1))</f>
        <v/>
      </c>
      <c r="I76" s="28" t="str">
        <f aca="false">IF($A76="","",$G76-$E76)</f>
        <v/>
      </c>
      <c r="J76" s="28" t="str">
        <f aca="false">IF($A76="","",IF($I76&lt;=0,"●",""))</f>
        <v/>
      </c>
      <c r="K76" s="47" t="str">
        <f aca="false">IF($A76="","",IF(AND(INDEX(工程マスタ!$I$5:$I$154,$A76)="○",$E76&gt;=K$3,$E76&lt;=K$3+6),"▼",IF(AND($E76&gt;=K$3,$E76&lt;=K$3+6),$A76,"")))</f>
        <v/>
      </c>
      <c r="L76" s="47" t="str">
        <f aca="false">IF($A76="","",IF(AND(INDEX(工程マスタ!$I$5:$I$154,$A76)="○",$E76&gt;=L$3,$E76&lt;=L$3+6),"▼",IF(AND($E76&gt;=L$3,$E76&lt;=L$3+6),$A76,"")))</f>
        <v/>
      </c>
      <c r="M76" s="47" t="str">
        <f aca="false">IF($A76="","",IF(AND(INDEX(工程マスタ!$I$5:$I$154,$A76)="○",$E76&gt;=M$3,$E76&lt;=M$3+6),"▼",IF(AND($E76&gt;=M$3,$E76&lt;=M$3+6),$A76,"")))</f>
        <v/>
      </c>
      <c r="N76" s="47" t="str">
        <f aca="false">IF($A76="","",IF(AND(INDEX(工程マスタ!$I$5:$I$154,$A76)="○",$E76&gt;=N$3,$E76&lt;=N$3+6),"▼",IF(AND($E76&gt;=N$3,$E76&lt;=N$3+6),$A76,"")))</f>
        <v/>
      </c>
      <c r="O76" s="47" t="str">
        <f aca="false">IF($A76="","",IF(AND(INDEX(工程マスタ!$I$5:$I$154,$A76)="○",$E76&gt;=O$3,$E76&lt;=O$3+6),"▼",IF(AND($E76&gt;=O$3,$E76&lt;=O$3+6),$A76,"")))</f>
        <v/>
      </c>
      <c r="P76" s="47" t="str">
        <f aca="false">IF($A76="","",IF(AND(INDEX(工程マスタ!$I$5:$I$154,$A76)="○",$E76&gt;=P$3,$E76&lt;=P$3+6),"▼",IF(AND($E76&gt;=P$3,$E76&lt;=P$3+6),$A76,"")))</f>
        <v/>
      </c>
      <c r="Q76" s="47" t="str">
        <f aca="false">IF($A76="","",IF(AND(INDEX(工程マスタ!$I$5:$I$154,$A76)="○",$E76&gt;=Q$3,$E76&lt;=Q$3+6),"▼",IF(AND($E76&gt;=Q$3,$E76&lt;=Q$3+6),$A76,"")))</f>
        <v/>
      </c>
      <c r="R76" s="47" t="str">
        <f aca="false">IF($A76="","",IF(AND(INDEX(工程マスタ!$I$5:$I$154,$A76)="○",$E76&gt;=R$3,$E76&lt;=R$3+6),"▼",IF(AND($E76&gt;=R$3,$E76&lt;=R$3+6),$A76,"")))</f>
        <v/>
      </c>
      <c r="S76" s="47" t="str">
        <f aca="false">IF($A76="","",IF(AND(INDEX(工程マスタ!$I$5:$I$154,$A76)="○",$E76&gt;=S$3,$E76&lt;=S$3+6),"▼",IF(AND($E76&gt;=S$3,$E76&lt;=S$3+6),$A76,"")))</f>
        <v/>
      </c>
      <c r="T76" s="47" t="str">
        <f aca="false">IF($A76="","",IF(AND(INDEX(工程マスタ!$I$5:$I$154,$A76)="○",$E76&gt;=T$3,$E76&lt;=T$3+6),"▼",IF(AND($E76&gt;=T$3,$E76&lt;=T$3+6),$A76,"")))</f>
        <v/>
      </c>
      <c r="U76" s="47" t="str">
        <f aca="false">IF($A76="","",IF(AND(INDEX(工程マスタ!$I$5:$I$154,$A76)="○",$E76&gt;=U$3,$E76&lt;=U$3+6),"▼",IF(AND($E76&gt;=U$3,$E76&lt;=U$3+6),$A76,"")))</f>
        <v/>
      </c>
      <c r="V76" s="47" t="str">
        <f aca="false">IF($A76="","",IF(AND(INDEX(工程マスタ!$I$5:$I$154,$A76)="○",$E76&gt;=V$3,$E76&lt;=V$3+6),"▼",IF(AND($E76&gt;=V$3,$E76&lt;=V$3+6),$A76,"")))</f>
        <v/>
      </c>
      <c r="W76" s="47" t="str">
        <f aca="false">IF($A76="","",IF(AND(INDEX(工程マスタ!$I$5:$I$154,$A76)="○",$E76&gt;=W$3,$E76&lt;=W$3+6),"▼",IF(AND($E76&gt;=W$3,$E76&lt;=W$3+6),$A76,"")))</f>
        <v/>
      </c>
      <c r="X76" s="47" t="str">
        <f aca="false">IF($A76="","",IF(AND(INDEX(工程マスタ!$I$5:$I$154,$A76)="○",$E76&gt;=X$3,$E76&lt;=X$3+6),"▼",IF(AND($E76&gt;=X$3,$E76&lt;=X$3+6),$A76,"")))</f>
        <v/>
      </c>
      <c r="Y76" s="47" t="str">
        <f aca="false">IF($A76="","",IF(AND(INDEX(工程マスタ!$I$5:$I$154,$A76)="○",$E76&gt;=Y$3,$E76&lt;=Y$3+6),"▼",IF(AND($E76&gt;=Y$3,$E76&lt;=Y$3+6),$A76,"")))</f>
        <v/>
      </c>
      <c r="Z76" s="47" t="str">
        <f aca="false">IF($A76="","",IF(AND(INDEX(工程マスタ!$I$5:$I$154,$A76)="○",$E76&gt;=Z$3,$E76&lt;=Z$3+6),"▼",IF(AND($E76&gt;=Z$3,$E76&lt;=Z$3+6),$A76,"")))</f>
        <v/>
      </c>
      <c r="AA76" s="47" t="str">
        <f aca="false">IF($A76="","",IF(AND(INDEX(工程マスタ!$I$5:$I$154,$A76)="○",$E76&gt;=AA$3,$E76&lt;=AA$3+6),"▼",IF(AND($E76&gt;=AA$3,$E76&lt;=AA$3+6),$A76,"")))</f>
        <v/>
      </c>
      <c r="AB76" s="47" t="str">
        <f aca="false">IF($A76="","",IF(AND(INDEX(工程マスタ!$I$5:$I$154,$A76)="○",$E76&gt;=AB$3,$E76&lt;=AB$3+6),"▼",IF(AND($E76&gt;=AB$3,$E76&lt;=AB$3+6),$A76,"")))</f>
        <v/>
      </c>
      <c r="AC76" s="47" t="str">
        <f aca="false">IF($A76="","",IF(AND(INDEX(工程マスタ!$I$5:$I$154,$A76)="○",$E76&gt;=AC$3,$E76&lt;=AC$3+6),"▼",IF(AND($E76&gt;=AC$3,$E76&lt;=AC$3+6),$A76,"")))</f>
        <v/>
      </c>
      <c r="AD76" s="47" t="str">
        <f aca="false">IF($A76="","",IF(AND(INDEX(工程マスタ!$I$5:$I$154,$A76)="○",$E76&gt;=AD$3,$E76&lt;=AD$3+6),"▼",IF(AND($E76&gt;=AD$3,$E76&lt;=AD$3+6),$A76,"")))</f>
        <v/>
      </c>
      <c r="AE76" s="47" t="str">
        <f aca="false">IF($A76="","",IF(AND(INDEX(工程マスタ!$I$5:$I$154,$A76)="○",$E76&gt;=AE$3,$E76&lt;=AE$3+6),"▼",IF(AND($E76&gt;=AE$3,$E76&lt;=AE$3+6),$A76,"")))</f>
        <v/>
      </c>
      <c r="AF76" s="47" t="str">
        <f aca="false">IF($A76="","",IF(AND(INDEX(工程マスタ!$I$5:$I$154,$A76)="○",$E76&gt;=AF$3,$E76&lt;=AF$3+6),"▼",IF(AND($E76&gt;=AF$3,$E76&lt;=AF$3+6),$A76,"")))</f>
        <v/>
      </c>
      <c r="AG76" s="47" t="str">
        <f aca="false">IF($A76="","",IF(AND(INDEX(工程マスタ!$I$5:$I$154,$A76)="○",$E76&gt;=AG$3,$E76&lt;=AG$3+6),"▼",IF(AND($E76&gt;=AG$3,$E76&lt;=AG$3+6),$A76,"")))</f>
        <v/>
      </c>
      <c r="AH76" s="47" t="str">
        <f aca="false">IF($A76="","",IF(AND(INDEX(工程マスタ!$I$5:$I$154,$A76)="○",$E76&gt;=AH$3,$E76&lt;=AH$3+6),"▼",IF(AND($E76&gt;=AH$3,$E76&lt;=AH$3+6),$A76,"")))</f>
        <v/>
      </c>
      <c r="AI76" s="47" t="str">
        <f aca="false">IF($A76="","",IF(AND(INDEX(工程マスタ!$I$5:$I$154,$A76)="○",$E76&gt;=AI$3,$E76&lt;=AI$3+6),"▼",IF(AND($E76&gt;=AI$3,$E76&lt;=AI$3+6),$A76,"")))</f>
        <v/>
      </c>
      <c r="AJ76" s="47" t="str">
        <f aca="false">IF($A76="","",IF(AND(INDEX(工程マスタ!$I$5:$I$154,$A76)="○",$E76&gt;=AJ$3,$E76&lt;=AJ$3+6),"▼",IF(AND($E76&gt;=AJ$3,$E76&lt;=AJ$3+6),$A76,"")))</f>
        <v/>
      </c>
      <c r="AK76" s="47" t="str">
        <f aca="false">IF($A76="","",IF(AND(INDEX(工程マスタ!$I$5:$I$154,$A76)="○",$E76&gt;=AK$3,$E76&lt;=AK$3+6),"▼",IF(AND($E76&gt;=AK$3,$E76&lt;=AK$3+6),$A76,"")))</f>
        <v/>
      </c>
      <c r="AL76" s="47" t="str">
        <f aca="false">IF($A76="","",IF(AND(INDEX(工程マスタ!$I$5:$I$154,$A76)="○",$E76&gt;=AL$3,$E76&lt;=AL$3+6),"▼",IF(AND($E76&gt;=AL$3,$E76&lt;=AL$3+6),$A76,"")))</f>
        <v/>
      </c>
      <c r="AM76" s="47" t="str">
        <f aca="false">IF($A76="","",IF(AND(INDEX(工程マスタ!$I$5:$I$154,$A76)="○",$E76&gt;=AM$3,$E76&lt;=AM$3+6),"▼",IF(AND($E76&gt;=AM$3,$E76&lt;=AM$3+6),$A76,"")))</f>
        <v/>
      </c>
      <c r="AN76" s="47" t="str">
        <f aca="false">IF($A76="","",IF(AND(INDEX(工程マスタ!$I$5:$I$154,$A76)="○",$E76&gt;=AN$3,$E76&lt;=AN$3+6),"▼",IF(AND($E76&gt;=AN$3,$E76&lt;=AN$3+6),$A76,"")))</f>
        <v/>
      </c>
      <c r="AO76" s="47" t="str">
        <f aca="false">IF($A76="","",IF(AND(INDEX(工程マスタ!$I$5:$I$154,$A76)="○",$E76&gt;=AO$3,$E76&lt;=AO$3+6),"▼",IF(AND($E76&gt;=AO$3,$E76&lt;=AO$3+6),$A76,"")))</f>
        <v/>
      </c>
      <c r="AP76" s="47" t="str">
        <f aca="false">IF($A76="","",IF(AND(INDEX(工程マスタ!$I$5:$I$154,$A76)="○",$E76&gt;=AP$3,$E76&lt;=AP$3+6),"▼",IF(AND($E76&gt;=AP$3,$E76&lt;=AP$3+6),$A76,"")))</f>
        <v/>
      </c>
      <c r="AQ76" s="47" t="str">
        <f aca="false">IF($A76="","",IF(AND(INDEX(工程マスタ!$I$5:$I$154,$A76)="○",$E76&gt;=AQ$3,$E76&lt;=AQ$3+6),"▼",IF(AND($E76&gt;=AQ$3,$E76&lt;=AQ$3+6),$A76,"")))</f>
        <v/>
      </c>
      <c r="AR76" s="47" t="str">
        <f aca="false">IF($A76="","",IF(AND(INDEX(工程マスタ!$I$5:$I$154,$A76)="○",$E76&gt;=AR$3,$E76&lt;=AR$3+6),"▼",IF(AND($E76&gt;=AR$3,$E76&lt;=AR$3+6),$A76,"")))</f>
        <v/>
      </c>
      <c r="AS76" s="47" t="str">
        <f aca="false">IF($A76="","",IF(AND(INDEX(工程マスタ!$I$5:$I$154,$A76)="○",$E76&gt;=AS$3,$E76&lt;=AS$3+6),"▼",IF(AND($E76&gt;=AS$3,$E76&lt;=AS$3+6),$A76,"")))</f>
        <v/>
      </c>
      <c r="AT76" s="47" t="str">
        <f aca="false">IF($A76="","",IF(AND(INDEX(工程マスタ!$I$5:$I$154,$A76)="○",$E76&gt;=AT$3,$E76&lt;=AT$3+6),"▼",IF(AND($E76&gt;=AT$3,$E76&lt;=AT$3+6),$A76,"")))</f>
        <v/>
      </c>
      <c r="AU76" s="47" t="str">
        <f aca="false">IF($A76="","",IF(AND(INDEX(工程マスタ!$I$5:$I$154,$A76)="○",$E76&gt;=AU$3,$E76&lt;=AU$3+6),"▼",IF(AND($E76&gt;=AU$3,$E76&lt;=AU$3+6),$A76,"")))</f>
        <v/>
      </c>
      <c r="AV76" s="47" t="str">
        <f aca="false">IF($A76="","",IF(AND(INDEX(工程マスタ!$I$5:$I$154,$A76)="○",$E76&gt;=AV$3,$E76&lt;=AV$3+6),"▼",IF(AND($E76&gt;=AV$3,$E76&lt;=AV$3+6),$A76,"")))</f>
        <v/>
      </c>
      <c r="AW76" s="47" t="str">
        <f aca="false">IF($A76="","",IF(AND(INDEX(工程マスタ!$I$5:$I$154,$A76)="○",$E76&gt;=AW$3,$E76&lt;=AW$3+6),"▼",IF(AND($E76&gt;=AW$3,$E76&lt;=AW$3+6),$A76,"")))</f>
        <v/>
      </c>
      <c r="AX76" s="47" t="str">
        <f aca="false">IF($A76="","",IF(AND(INDEX(工程マスタ!$I$5:$I$154,$A76)="○",$E76&gt;=AX$3,$E76&lt;=AX$3+6),"▼",IF(AND($E76&gt;=AX$3,$E76&lt;=AX$3+6),$A76,"")))</f>
        <v/>
      </c>
      <c r="AY76" s="47" t="str">
        <f aca="false">IF($A76="","",IF(AND(INDEX(工程マスタ!$I$5:$I$154,$A76)="○",$E76&gt;=AY$3,$E76&lt;=AY$3+6),"▼",IF(AND($E76&gt;=AY$3,$E76&lt;=AY$3+6),$A76,"")))</f>
        <v/>
      </c>
      <c r="AZ76" s="47" t="str">
        <f aca="false">IF($A76="","",IF(AND(INDEX(工程マスタ!$I$5:$I$154,$A76)="○",$E76&gt;=AZ$3,$E76&lt;=AZ$3+6),"▼",IF(AND($E76&gt;=AZ$3,$E76&lt;=AZ$3+6),$A76,"")))</f>
        <v/>
      </c>
      <c r="BA76" s="47" t="str">
        <f aca="false">IF($A76="","",IF(AND(INDEX(工程マスタ!$I$5:$I$154,$A76)="○",$E76&gt;=BA$3,$E76&lt;=BA$3+6),"▼",IF(AND($E76&gt;=BA$3,$E76&lt;=BA$3+6),$A76,"")))</f>
        <v/>
      </c>
      <c r="BB76" s="47" t="str">
        <f aca="false">IF($A76="","",IF(AND(INDEX(工程マスタ!$I$5:$I$154,$A76)="○",$E76&gt;=BB$3,$E76&lt;=BB$3+6),"▼",IF(AND($E76&gt;=BB$3,$E76&lt;=BB$3+6),$A76,"")))</f>
        <v/>
      </c>
      <c r="BC76" s="47" t="str">
        <f aca="false">IF($A76="","",IF(AND(INDEX(工程マスタ!$I$5:$I$154,$A76)="○",$E76&gt;=BC$3,$E76&lt;=BC$3+6),"▼",IF(AND($E76&gt;=BC$3,$E76&lt;=BC$3+6),$A76,"")))</f>
        <v/>
      </c>
      <c r="BD76" s="47" t="str">
        <f aca="false">IF($A76="","",IF(AND(INDEX(工程マスタ!$I$5:$I$154,$A76)="○",$E76&gt;=BD$3,$E76&lt;=BD$3+6),"▼",IF(AND($E76&gt;=BD$3,$E76&lt;=BD$3+6),$A76,"")))</f>
        <v/>
      </c>
      <c r="BE76" s="47" t="str">
        <f aca="false">IF($A76="","",IF(AND(INDEX(工程マスタ!$I$5:$I$154,$A76)="○",$E76&gt;=BE$3,$E76&lt;=BE$3+6),"▼",IF(AND($E76&gt;=BE$3,$E76&lt;=BE$3+6),$A76,"")))</f>
        <v/>
      </c>
      <c r="BF76" s="47" t="str">
        <f aca="false">IF($A76="","",IF(AND(INDEX(工程マスタ!$I$5:$I$154,$A76)="○",$E76&gt;=BF$3,$E76&lt;=BF$3+6),"▼",IF(AND($E76&gt;=BF$3,$E76&lt;=BF$3+6),$A76,"")))</f>
        <v/>
      </c>
      <c r="BG76" s="47" t="str">
        <f aca="false">IF($A76="","",IF(AND(INDEX(工程マスタ!$I$5:$I$154,$A76)="○",$E76&gt;=BG$3,$E76&lt;=BG$3+6),"▼",IF(AND($E76&gt;=BG$3,$E76&lt;=BG$3+6),$A76,"")))</f>
        <v/>
      </c>
      <c r="BH76" s="47" t="str">
        <f aca="false">IF($A76="","",IF(AND(INDEX(工程マスタ!$I$5:$I$154,$A76)="○",$E76&gt;=BH$3,$E76&lt;=BH$3+6),"▼",IF(AND($E76&gt;=BH$3,$E76&lt;=BH$3+6),$A76,"")))</f>
        <v/>
      </c>
      <c r="BI76" s="47" t="str">
        <f aca="false">IF($A76="","",IF(AND(INDEX(工程マスタ!$I$5:$I$154,$A76)="○",$E76&gt;=BI$3,$E76&lt;=BI$3+6),"▼",IF(AND($E76&gt;=BI$3,$E76&lt;=BI$3+6),$A76,"")))</f>
        <v/>
      </c>
      <c r="BJ76" s="47" t="str">
        <f aca="false">IF($A76="","",IF(AND(INDEX(工程マスタ!$I$5:$I$154,$A76)="○",$E76&gt;=BJ$3,$E76&lt;=BJ$3+6),"▼",IF(AND($E76&gt;=BJ$3,$E76&lt;=BJ$3+6),$A76,"")))</f>
        <v/>
      </c>
    </row>
    <row r="77" customFormat="false" ht="15" hidden="false" customHeight="false" outlineLevel="0" collapsed="false">
      <c r="A77" s="28" t="str">
        <f aca="false">IF(工程マスタ!$C75="","",工程マスタ!$A75)</f>
        <v/>
      </c>
      <c r="B77" s="46" t="str">
        <f aca="false">IF($A77="","",工程マスタ!$C75)</f>
        <v/>
      </c>
      <c r="C77" s="28" t="str">
        <f aca="false">IF($A77="","",MAX(1,工程マスタ!$G75))</f>
        <v/>
      </c>
      <c r="D77" s="28" t="str">
        <f aca="false">IF($A77="","",_xlfn.TEXTJOIN(",",TRUE(),工程マスタ!$N75:$P75))</f>
        <v/>
      </c>
      <c r="E77" s="29" t="str">
        <f aca="false">IF($A77="","",IF(COUNT(工程マスタ!$N75:$P75)=0,設定!$B$8,MAX(IF(工程マスタ!$N75="",0,INDEX($F$7:$F$156,工程マスタ!$N75)),IF(工程マスタ!$O75="",0,INDEX($F$7:$F$156,工程マスタ!$O75)),IF(工程マスタ!$P75="",0,INDEX($F$7:$F$156,工程マスタ!$P75)))+1))</f>
        <v/>
      </c>
      <c r="F77" s="29" t="str">
        <f aca="false">IF($A77="","",$E77+$C77-1)</f>
        <v/>
      </c>
      <c r="G77" s="29" t="str">
        <f aca="false">IF($A77="","",$H77-$C77+1)</f>
        <v/>
      </c>
      <c r="H77" s="29" t="str">
        <f aca="false" t="array" ref="H77:H77">IF($A77="","",IF(SUMPRODUCT((工程マスタ!$N$76:$N$154=$A77)*1)+SUMPRODUCT((工程マスタ!$O$76:$O$154=$A77)*1)+SUMPRODUCT((工程マスタ!$P$76:$P$154=$A77)*1)=0,MAX($F$7:$F$156),MIN(IF((工程マスタ!$N$76:$N$154=$A77)+(工程マスタ!$O$76:$O$154=$A77)+(工程マスタ!$P$76:$P$154=$A77),$G78:$G$156))-1))</f>
        <v/>
      </c>
      <c r="I77" s="28" t="str">
        <f aca="false">IF($A77="","",$G77-$E77)</f>
        <v/>
      </c>
      <c r="J77" s="28" t="str">
        <f aca="false">IF($A77="","",IF($I77&lt;=0,"●",""))</f>
        <v/>
      </c>
      <c r="K77" s="47" t="str">
        <f aca="false">IF($A77="","",IF(AND(INDEX(工程マスタ!$I$5:$I$154,$A77)="○",$E77&gt;=K$3,$E77&lt;=K$3+6),"▼",IF(AND($E77&gt;=K$3,$E77&lt;=K$3+6),$A77,"")))</f>
        <v/>
      </c>
      <c r="L77" s="47" t="str">
        <f aca="false">IF($A77="","",IF(AND(INDEX(工程マスタ!$I$5:$I$154,$A77)="○",$E77&gt;=L$3,$E77&lt;=L$3+6),"▼",IF(AND($E77&gt;=L$3,$E77&lt;=L$3+6),$A77,"")))</f>
        <v/>
      </c>
      <c r="M77" s="47" t="str">
        <f aca="false">IF($A77="","",IF(AND(INDEX(工程マスタ!$I$5:$I$154,$A77)="○",$E77&gt;=M$3,$E77&lt;=M$3+6),"▼",IF(AND($E77&gt;=M$3,$E77&lt;=M$3+6),$A77,"")))</f>
        <v/>
      </c>
      <c r="N77" s="47" t="str">
        <f aca="false">IF($A77="","",IF(AND(INDEX(工程マスタ!$I$5:$I$154,$A77)="○",$E77&gt;=N$3,$E77&lt;=N$3+6),"▼",IF(AND($E77&gt;=N$3,$E77&lt;=N$3+6),$A77,"")))</f>
        <v/>
      </c>
      <c r="O77" s="47" t="str">
        <f aca="false">IF($A77="","",IF(AND(INDEX(工程マスタ!$I$5:$I$154,$A77)="○",$E77&gt;=O$3,$E77&lt;=O$3+6),"▼",IF(AND($E77&gt;=O$3,$E77&lt;=O$3+6),$A77,"")))</f>
        <v/>
      </c>
      <c r="P77" s="47" t="str">
        <f aca="false">IF($A77="","",IF(AND(INDEX(工程マスタ!$I$5:$I$154,$A77)="○",$E77&gt;=P$3,$E77&lt;=P$3+6),"▼",IF(AND($E77&gt;=P$3,$E77&lt;=P$3+6),$A77,"")))</f>
        <v/>
      </c>
      <c r="Q77" s="47" t="str">
        <f aca="false">IF($A77="","",IF(AND(INDEX(工程マスタ!$I$5:$I$154,$A77)="○",$E77&gt;=Q$3,$E77&lt;=Q$3+6),"▼",IF(AND($E77&gt;=Q$3,$E77&lt;=Q$3+6),$A77,"")))</f>
        <v/>
      </c>
      <c r="R77" s="47" t="str">
        <f aca="false">IF($A77="","",IF(AND(INDEX(工程マスタ!$I$5:$I$154,$A77)="○",$E77&gt;=R$3,$E77&lt;=R$3+6),"▼",IF(AND($E77&gt;=R$3,$E77&lt;=R$3+6),$A77,"")))</f>
        <v/>
      </c>
      <c r="S77" s="47" t="str">
        <f aca="false">IF($A77="","",IF(AND(INDEX(工程マスタ!$I$5:$I$154,$A77)="○",$E77&gt;=S$3,$E77&lt;=S$3+6),"▼",IF(AND($E77&gt;=S$3,$E77&lt;=S$3+6),$A77,"")))</f>
        <v/>
      </c>
      <c r="T77" s="47" t="str">
        <f aca="false">IF($A77="","",IF(AND(INDEX(工程マスタ!$I$5:$I$154,$A77)="○",$E77&gt;=T$3,$E77&lt;=T$3+6),"▼",IF(AND($E77&gt;=T$3,$E77&lt;=T$3+6),$A77,"")))</f>
        <v/>
      </c>
      <c r="U77" s="47" t="str">
        <f aca="false">IF($A77="","",IF(AND(INDEX(工程マスタ!$I$5:$I$154,$A77)="○",$E77&gt;=U$3,$E77&lt;=U$3+6),"▼",IF(AND($E77&gt;=U$3,$E77&lt;=U$3+6),$A77,"")))</f>
        <v/>
      </c>
      <c r="V77" s="47" t="str">
        <f aca="false">IF($A77="","",IF(AND(INDEX(工程マスタ!$I$5:$I$154,$A77)="○",$E77&gt;=V$3,$E77&lt;=V$3+6),"▼",IF(AND($E77&gt;=V$3,$E77&lt;=V$3+6),$A77,"")))</f>
        <v/>
      </c>
      <c r="W77" s="47" t="str">
        <f aca="false">IF($A77="","",IF(AND(INDEX(工程マスタ!$I$5:$I$154,$A77)="○",$E77&gt;=W$3,$E77&lt;=W$3+6),"▼",IF(AND($E77&gt;=W$3,$E77&lt;=W$3+6),$A77,"")))</f>
        <v/>
      </c>
      <c r="X77" s="47" t="str">
        <f aca="false">IF($A77="","",IF(AND(INDEX(工程マスタ!$I$5:$I$154,$A77)="○",$E77&gt;=X$3,$E77&lt;=X$3+6),"▼",IF(AND($E77&gt;=X$3,$E77&lt;=X$3+6),$A77,"")))</f>
        <v/>
      </c>
      <c r="Y77" s="47" t="str">
        <f aca="false">IF($A77="","",IF(AND(INDEX(工程マスタ!$I$5:$I$154,$A77)="○",$E77&gt;=Y$3,$E77&lt;=Y$3+6),"▼",IF(AND($E77&gt;=Y$3,$E77&lt;=Y$3+6),$A77,"")))</f>
        <v/>
      </c>
      <c r="Z77" s="47" t="str">
        <f aca="false">IF($A77="","",IF(AND(INDEX(工程マスタ!$I$5:$I$154,$A77)="○",$E77&gt;=Z$3,$E77&lt;=Z$3+6),"▼",IF(AND($E77&gt;=Z$3,$E77&lt;=Z$3+6),$A77,"")))</f>
        <v/>
      </c>
      <c r="AA77" s="47" t="str">
        <f aca="false">IF($A77="","",IF(AND(INDEX(工程マスタ!$I$5:$I$154,$A77)="○",$E77&gt;=AA$3,$E77&lt;=AA$3+6),"▼",IF(AND($E77&gt;=AA$3,$E77&lt;=AA$3+6),$A77,"")))</f>
        <v/>
      </c>
      <c r="AB77" s="47" t="str">
        <f aca="false">IF($A77="","",IF(AND(INDEX(工程マスタ!$I$5:$I$154,$A77)="○",$E77&gt;=AB$3,$E77&lt;=AB$3+6),"▼",IF(AND($E77&gt;=AB$3,$E77&lt;=AB$3+6),$A77,"")))</f>
        <v/>
      </c>
      <c r="AC77" s="47" t="str">
        <f aca="false">IF($A77="","",IF(AND(INDEX(工程マスタ!$I$5:$I$154,$A77)="○",$E77&gt;=AC$3,$E77&lt;=AC$3+6),"▼",IF(AND($E77&gt;=AC$3,$E77&lt;=AC$3+6),$A77,"")))</f>
        <v/>
      </c>
      <c r="AD77" s="47" t="str">
        <f aca="false">IF($A77="","",IF(AND(INDEX(工程マスタ!$I$5:$I$154,$A77)="○",$E77&gt;=AD$3,$E77&lt;=AD$3+6),"▼",IF(AND($E77&gt;=AD$3,$E77&lt;=AD$3+6),$A77,"")))</f>
        <v/>
      </c>
      <c r="AE77" s="47" t="str">
        <f aca="false">IF($A77="","",IF(AND(INDEX(工程マスタ!$I$5:$I$154,$A77)="○",$E77&gt;=AE$3,$E77&lt;=AE$3+6),"▼",IF(AND($E77&gt;=AE$3,$E77&lt;=AE$3+6),$A77,"")))</f>
        <v/>
      </c>
      <c r="AF77" s="47" t="str">
        <f aca="false">IF($A77="","",IF(AND(INDEX(工程マスタ!$I$5:$I$154,$A77)="○",$E77&gt;=AF$3,$E77&lt;=AF$3+6),"▼",IF(AND($E77&gt;=AF$3,$E77&lt;=AF$3+6),$A77,"")))</f>
        <v/>
      </c>
      <c r="AG77" s="47" t="str">
        <f aca="false">IF($A77="","",IF(AND(INDEX(工程マスタ!$I$5:$I$154,$A77)="○",$E77&gt;=AG$3,$E77&lt;=AG$3+6),"▼",IF(AND($E77&gt;=AG$3,$E77&lt;=AG$3+6),$A77,"")))</f>
        <v/>
      </c>
      <c r="AH77" s="47" t="str">
        <f aca="false">IF($A77="","",IF(AND(INDEX(工程マスタ!$I$5:$I$154,$A77)="○",$E77&gt;=AH$3,$E77&lt;=AH$3+6),"▼",IF(AND($E77&gt;=AH$3,$E77&lt;=AH$3+6),$A77,"")))</f>
        <v/>
      </c>
      <c r="AI77" s="47" t="str">
        <f aca="false">IF($A77="","",IF(AND(INDEX(工程マスタ!$I$5:$I$154,$A77)="○",$E77&gt;=AI$3,$E77&lt;=AI$3+6),"▼",IF(AND($E77&gt;=AI$3,$E77&lt;=AI$3+6),$A77,"")))</f>
        <v/>
      </c>
      <c r="AJ77" s="47" t="str">
        <f aca="false">IF($A77="","",IF(AND(INDEX(工程マスタ!$I$5:$I$154,$A77)="○",$E77&gt;=AJ$3,$E77&lt;=AJ$3+6),"▼",IF(AND($E77&gt;=AJ$3,$E77&lt;=AJ$3+6),$A77,"")))</f>
        <v/>
      </c>
      <c r="AK77" s="47" t="str">
        <f aca="false">IF($A77="","",IF(AND(INDEX(工程マスタ!$I$5:$I$154,$A77)="○",$E77&gt;=AK$3,$E77&lt;=AK$3+6),"▼",IF(AND($E77&gt;=AK$3,$E77&lt;=AK$3+6),$A77,"")))</f>
        <v/>
      </c>
      <c r="AL77" s="47" t="str">
        <f aca="false">IF($A77="","",IF(AND(INDEX(工程マスタ!$I$5:$I$154,$A77)="○",$E77&gt;=AL$3,$E77&lt;=AL$3+6),"▼",IF(AND($E77&gt;=AL$3,$E77&lt;=AL$3+6),$A77,"")))</f>
        <v/>
      </c>
      <c r="AM77" s="47" t="str">
        <f aca="false">IF($A77="","",IF(AND(INDEX(工程マスタ!$I$5:$I$154,$A77)="○",$E77&gt;=AM$3,$E77&lt;=AM$3+6),"▼",IF(AND($E77&gt;=AM$3,$E77&lt;=AM$3+6),$A77,"")))</f>
        <v/>
      </c>
      <c r="AN77" s="47" t="str">
        <f aca="false">IF($A77="","",IF(AND(INDEX(工程マスタ!$I$5:$I$154,$A77)="○",$E77&gt;=AN$3,$E77&lt;=AN$3+6),"▼",IF(AND($E77&gt;=AN$3,$E77&lt;=AN$3+6),$A77,"")))</f>
        <v/>
      </c>
      <c r="AO77" s="47" t="str">
        <f aca="false">IF($A77="","",IF(AND(INDEX(工程マスタ!$I$5:$I$154,$A77)="○",$E77&gt;=AO$3,$E77&lt;=AO$3+6),"▼",IF(AND($E77&gt;=AO$3,$E77&lt;=AO$3+6),$A77,"")))</f>
        <v/>
      </c>
      <c r="AP77" s="47" t="str">
        <f aca="false">IF($A77="","",IF(AND(INDEX(工程マスタ!$I$5:$I$154,$A77)="○",$E77&gt;=AP$3,$E77&lt;=AP$3+6),"▼",IF(AND($E77&gt;=AP$3,$E77&lt;=AP$3+6),$A77,"")))</f>
        <v/>
      </c>
      <c r="AQ77" s="47" t="str">
        <f aca="false">IF($A77="","",IF(AND(INDEX(工程マスタ!$I$5:$I$154,$A77)="○",$E77&gt;=AQ$3,$E77&lt;=AQ$3+6),"▼",IF(AND($E77&gt;=AQ$3,$E77&lt;=AQ$3+6),$A77,"")))</f>
        <v/>
      </c>
      <c r="AR77" s="47" t="str">
        <f aca="false">IF($A77="","",IF(AND(INDEX(工程マスタ!$I$5:$I$154,$A77)="○",$E77&gt;=AR$3,$E77&lt;=AR$3+6),"▼",IF(AND($E77&gt;=AR$3,$E77&lt;=AR$3+6),$A77,"")))</f>
        <v/>
      </c>
      <c r="AS77" s="47" t="str">
        <f aca="false">IF($A77="","",IF(AND(INDEX(工程マスタ!$I$5:$I$154,$A77)="○",$E77&gt;=AS$3,$E77&lt;=AS$3+6),"▼",IF(AND($E77&gt;=AS$3,$E77&lt;=AS$3+6),$A77,"")))</f>
        <v/>
      </c>
      <c r="AT77" s="47" t="str">
        <f aca="false">IF($A77="","",IF(AND(INDEX(工程マスタ!$I$5:$I$154,$A77)="○",$E77&gt;=AT$3,$E77&lt;=AT$3+6),"▼",IF(AND($E77&gt;=AT$3,$E77&lt;=AT$3+6),$A77,"")))</f>
        <v/>
      </c>
      <c r="AU77" s="47" t="str">
        <f aca="false">IF($A77="","",IF(AND(INDEX(工程マスタ!$I$5:$I$154,$A77)="○",$E77&gt;=AU$3,$E77&lt;=AU$3+6),"▼",IF(AND($E77&gt;=AU$3,$E77&lt;=AU$3+6),$A77,"")))</f>
        <v/>
      </c>
      <c r="AV77" s="47" t="str">
        <f aca="false">IF($A77="","",IF(AND(INDEX(工程マスタ!$I$5:$I$154,$A77)="○",$E77&gt;=AV$3,$E77&lt;=AV$3+6),"▼",IF(AND($E77&gt;=AV$3,$E77&lt;=AV$3+6),$A77,"")))</f>
        <v/>
      </c>
      <c r="AW77" s="47" t="str">
        <f aca="false">IF($A77="","",IF(AND(INDEX(工程マスタ!$I$5:$I$154,$A77)="○",$E77&gt;=AW$3,$E77&lt;=AW$3+6),"▼",IF(AND($E77&gt;=AW$3,$E77&lt;=AW$3+6),$A77,"")))</f>
        <v/>
      </c>
      <c r="AX77" s="47" t="str">
        <f aca="false">IF($A77="","",IF(AND(INDEX(工程マスタ!$I$5:$I$154,$A77)="○",$E77&gt;=AX$3,$E77&lt;=AX$3+6),"▼",IF(AND($E77&gt;=AX$3,$E77&lt;=AX$3+6),$A77,"")))</f>
        <v/>
      </c>
      <c r="AY77" s="47" t="str">
        <f aca="false">IF($A77="","",IF(AND(INDEX(工程マスタ!$I$5:$I$154,$A77)="○",$E77&gt;=AY$3,$E77&lt;=AY$3+6),"▼",IF(AND($E77&gt;=AY$3,$E77&lt;=AY$3+6),$A77,"")))</f>
        <v/>
      </c>
      <c r="AZ77" s="47" t="str">
        <f aca="false">IF($A77="","",IF(AND(INDEX(工程マスタ!$I$5:$I$154,$A77)="○",$E77&gt;=AZ$3,$E77&lt;=AZ$3+6),"▼",IF(AND($E77&gt;=AZ$3,$E77&lt;=AZ$3+6),$A77,"")))</f>
        <v/>
      </c>
      <c r="BA77" s="47" t="str">
        <f aca="false">IF($A77="","",IF(AND(INDEX(工程マスタ!$I$5:$I$154,$A77)="○",$E77&gt;=BA$3,$E77&lt;=BA$3+6),"▼",IF(AND($E77&gt;=BA$3,$E77&lt;=BA$3+6),$A77,"")))</f>
        <v/>
      </c>
      <c r="BB77" s="47" t="str">
        <f aca="false">IF($A77="","",IF(AND(INDEX(工程マスタ!$I$5:$I$154,$A77)="○",$E77&gt;=BB$3,$E77&lt;=BB$3+6),"▼",IF(AND($E77&gt;=BB$3,$E77&lt;=BB$3+6),$A77,"")))</f>
        <v/>
      </c>
      <c r="BC77" s="47" t="str">
        <f aca="false">IF($A77="","",IF(AND(INDEX(工程マスタ!$I$5:$I$154,$A77)="○",$E77&gt;=BC$3,$E77&lt;=BC$3+6),"▼",IF(AND($E77&gt;=BC$3,$E77&lt;=BC$3+6),$A77,"")))</f>
        <v/>
      </c>
      <c r="BD77" s="47" t="str">
        <f aca="false">IF($A77="","",IF(AND(INDEX(工程マスタ!$I$5:$I$154,$A77)="○",$E77&gt;=BD$3,$E77&lt;=BD$3+6),"▼",IF(AND($E77&gt;=BD$3,$E77&lt;=BD$3+6),$A77,"")))</f>
        <v/>
      </c>
      <c r="BE77" s="47" t="str">
        <f aca="false">IF($A77="","",IF(AND(INDEX(工程マスタ!$I$5:$I$154,$A77)="○",$E77&gt;=BE$3,$E77&lt;=BE$3+6),"▼",IF(AND($E77&gt;=BE$3,$E77&lt;=BE$3+6),$A77,"")))</f>
        <v/>
      </c>
      <c r="BF77" s="47" t="str">
        <f aca="false">IF($A77="","",IF(AND(INDEX(工程マスタ!$I$5:$I$154,$A77)="○",$E77&gt;=BF$3,$E77&lt;=BF$3+6),"▼",IF(AND($E77&gt;=BF$3,$E77&lt;=BF$3+6),$A77,"")))</f>
        <v/>
      </c>
      <c r="BG77" s="47" t="str">
        <f aca="false">IF($A77="","",IF(AND(INDEX(工程マスタ!$I$5:$I$154,$A77)="○",$E77&gt;=BG$3,$E77&lt;=BG$3+6),"▼",IF(AND($E77&gt;=BG$3,$E77&lt;=BG$3+6),$A77,"")))</f>
        <v/>
      </c>
      <c r="BH77" s="47" t="str">
        <f aca="false">IF($A77="","",IF(AND(INDEX(工程マスタ!$I$5:$I$154,$A77)="○",$E77&gt;=BH$3,$E77&lt;=BH$3+6),"▼",IF(AND($E77&gt;=BH$3,$E77&lt;=BH$3+6),$A77,"")))</f>
        <v/>
      </c>
      <c r="BI77" s="47" t="str">
        <f aca="false">IF($A77="","",IF(AND(INDEX(工程マスタ!$I$5:$I$154,$A77)="○",$E77&gt;=BI$3,$E77&lt;=BI$3+6),"▼",IF(AND($E77&gt;=BI$3,$E77&lt;=BI$3+6),$A77,"")))</f>
        <v/>
      </c>
      <c r="BJ77" s="47" t="str">
        <f aca="false">IF($A77="","",IF(AND(INDEX(工程マスタ!$I$5:$I$154,$A77)="○",$E77&gt;=BJ$3,$E77&lt;=BJ$3+6),"▼",IF(AND($E77&gt;=BJ$3,$E77&lt;=BJ$3+6),$A77,"")))</f>
        <v/>
      </c>
    </row>
    <row r="78" customFormat="false" ht="15" hidden="false" customHeight="false" outlineLevel="0" collapsed="false">
      <c r="A78" s="28" t="str">
        <f aca="false">IF(工程マスタ!$C76="","",工程マスタ!$A76)</f>
        <v/>
      </c>
      <c r="B78" s="46" t="str">
        <f aca="false">IF($A78="","",工程マスタ!$C76)</f>
        <v/>
      </c>
      <c r="C78" s="28" t="str">
        <f aca="false">IF($A78="","",MAX(1,工程マスタ!$G76))</f>
        <v/>
      </c>
      <c r="D78" s="28" t="str">
        <f aca="false">IF($A78="","",_xlfn.TEXTJOIN(",",TRUE(),工程マスタ!$N76:$P76))</f>
        <v/>
      </c>
      <c r="E78" s="29" t="str">
        <f aca="false">IF($A78="","",IF(COUNT(工程マスタ!$N76:$P76)=0,設定!$B$8,MAX(IF(工程マスタ!$N76="",0,INDEX($F$7:$F$156,工程マスタ!$N76)),IF(工程マスタ!$O76="",0,INDEX($F$7:$F$156,工程マスタ!$O76)),IF(工程マスタ!$P76="",0,INDEX($F$7:$F$156,工程マスタ!$P76)))+1))</f>
        <v/>
      </c>
      <c r="F78" s="29" t="str">
        <f aca="false">IF($A78="","",$E78+$C78-1)</f>
        <v/>
      </c>
      <c r="G78" s="29" t="str">
        <f aca="false">IF($A78="","",$H78-$C78+1)</f>
        <v/>
      </c>
      <c r="H78" s="29" t="str">
        <f aca="false" t="array" ref="H78:H78">IF($A78="","",IF(SUMPRODUCT((工程マスタ!$N$77:$N$154=$A78)*1)+SUMPRODUCT((工程マスタ!$O$77:$O$154=$A78)*1)+SUMPRODUCT((工程マスタ!$P$77:$P$154=$A78)*1)=0,MAX($F$7:$F$156),MIN(IF((工程マスタ!$N$77:$N$154=$A78)+(工程マスタ!$O$77:$O$154=$A78)+(工程マスタ!$P$77:$P$154=$A78),$G79:$G$156))-1))</f>
        <v/>
      </c>
      <c r="I78" s="28" t="str">
        <f aca="false">IF($A78="","",$G78-$E78)</f>
        <v/>
      </c>
      <c r="J78" s="28" t="str">
        <f aca="false">IF($A78="","",IF($I78&lt;=0,"●",""))</f>
        <v/>
      </c>
      <c r="K78" s="47" t="str">
        <f aca="false">IF($A78="","",IF(AND(INDEX(工程マスタ!$I$5:$I$154,$A78)="○",$E78&gt;=K$3,$E78&lt;=K$3+6),"▼",IF(AND($E78&gt;=K$3,$E78&lt;=K$3+6),$A78,"")))</f>
        <v/>
      </c>
      <c r="L78" s="47" t="str">
        <f aca="false">IF($A78="","",IF(AND(INDEX(工程マスタ!$I$5:$I$154,$A78)="○",$E78&gt;=L$3,$E78&lt;=L$3+6),"▼",IF(AND($E78&gt;=L$3,$E78&lt;=L$3+6),$A78,"")))</f>
        <v/>
      </c>
      <c r="M78" s="47" t="str">
        <f aca="false">IF($A78="","",IF(AND(INDEX(工程マスタ!$I$5:$I$154,$A78)="○",$E78&gt;=M$3,$E78&lt;=M$3+6),"▼",IF(AND($E78&gt;=M$3,$E78&lt;=M$3+6),$A78,"")))</f>
        <v/>
      </c>
      <c r="N78" s="47" t="str">
        <f aca="false">IF($A78="","",IF(AND(INDEX(工程マスタ!$I$5:$I$154,$A78)="○",$E78&gt;=N$3,$E78&lt;=N$3+6),"▼",IF(AND($E78&gt;=N$3,$E78&lt;=N$3+6),$A78,"")))</f>
        <v/>
      </c>
      <c r="O78" s="47" t="str">
        <f aca="false">IF($A78="","",IF(AND(INDEX(工程マスタ!$I$5:$I$154,$A78)="○",$E78&gt;=O$3,$E78&lt;=O$3+6),"▼",IF(AND($E78&gt;=O$3,$E78&lt;=O$3+6),$A78,"")))</f>
        <v/>
      </c>
      <c r="P78" s="47" t="str">
        <f aca="false">IF($A78="","",IF(AND(INDEX(工程マスタ!$I$5:$I$154,$A78)="○",$E78&gt;=P$3,$E78&lt;=P$3+6),"▼",IF(AND($E78&gt;=P$3,$E78&lt;=P$3+6),$A78,"")))</f>
        <v/>
      </c>
      <c r="Q78" s="47" t="str">
        <f aca="false">IF($A78="","",IF(AND(INDEX(工程マスタ!$I$5:$I$154,$A78)="○",$E78&gt;=Q$3,$E78&lt;=Q$3+6),"▼",IF(AND($E78&gt;=Q$3,$E78&lt;=Q$3+6),$A78,"")))</f>
        <v/>
      </c>
      <c r="R78" s="47" t="str">
        <f aca="false">IF($A78="","",IF(AND(INDEX(工程マスタ!$I$5:$I$154,$A78)="○",$E78&gt;=R$3,$E78&lt;=R$3+6),"▼",IF(AND($E78&gt;=R$3,$E78&lt;=R$3+6),$A78,"")))</f>
        <v/>
      </c>
      <c r="S78" s="47" t="str">
        <f aca="false">IF($A78="","",IF(AND(INDEX(工程マスタ!$I$5:$I$154,$A78)="○",$E78&gt;=S$3,$E78&lt;=S$3+6),"▼",IF(AND($E78&gt;=S$3,$E78&lt;=S$3+6),$A78,"")))</f>
        <v/>
      </c>
      <c r="T78" s="47" t="str">
        <f aca="false">IF($A78="","",IF(AND(INDEX(工程マスタ!$I$5:$I$154,$A78)="○",$E78&gt;=T$3,$E78&lt;=T$3+6),"▼",IF(AND($E78&gt;=T$3,$E78&lt;=T$3+6),$A78,"")))</f>
        <v/>
      </c>
      <c r="U78" s="47" t="str">
        <f aca="false">IF($A78="","",IF(AND(INDEX(工程マスタ!$I$5:$I$154,$A78)="○",$E78&gt;=U$3,$E78&lt;=U$3+6),"▼",IF(AND($E78&gt;=U$3,$E78&lt;=U$3+6),$A78,"")))</f>
        <v/>
      </c>
      <c r="V78" s="47" t="str">
        <f aca="false">IF($A78="","",IF(AND(INDEX(工程マスタ!$I$5:$I$154,$A78)="○",$E78&gt;=V$3,$E78&lt;=V$3+6),"▼",IF(AND($E78&gt;=V$3,$E78&lt;=V$3+6),$A78,"")))</f>
        <v/>
      </c>
      <c r="W78" s="47" t="str">
        <f aca="false">IF($A78="","",IF(AND(INDEX(工程マスタ!$I$5:$I$154,$A78)="○",$E78&gt;=W$3,$E78&lt;=W$3+6),"▼",IF(AND($E78&gt;=W$3,$E78&lt;=W$3+6),$A78,"")))</f>
        <v/>
      </c>
      <c r="X78" s="47" t="str">
        <f aca="false">IF($A78="","",IF(AND(INDEX(工程マスタ!$I$5:$I$154,$A78)="○",$E78&gt;=X$3,$E78&lt;=X$3+6),"▼",IF(AND($E78&gt;=X$3,$E78&lt;=X$3+6),$A78,"")))</f>
        <v/>
      </c>
      <c r="Y78" s="47" t="str">
        <f aca="false">IF($A78="","",IF(AND(INDEX(工程マスタ!$I$5:$I$154,$A78)="○",$E78&gt;=Y$3,$E78&lt;=Y$3+6),"▼",IF(AND($E78&gt;=Y$3,$E78&lt;=Y$3+6),$A78,"")))</f>
        <v/>
      </c>
      <c r="Z78" s="47" t="str">
        <f aca="false">IF($A78="","",IF(AND(INDEX(工程マスタ!$I$5:$I$154,$A78)="○",$E78&gt;=Z$3,$E78&lt;=Z$3+6),"▼",IF(AND($E78&gt;=Z$3,$E78&lt;=Z$3+6),$A78,"")))</f>
        <v/>
      </c>
      <c r="AA78" s="47" t="str">
        <f aca="false">IF($A78="","",IF(AND(INDEX(工程マスタ!$I$5:$I$154,$A78)="○",$E78&gt;=AA$3,$E78&lt;=AA$3+6),"▼",IF(AND($E78&gt;=AA$3,$E78&lt;=AA$3+6),$A78,"")))</f>
        <v/>
      </c>
      <c r="AB78" s="47" t="str">
        <f aca="false">IF($A78="","",IF(AND(INDEX(工程マスタ!$I$5:$I$154,$A78)="○",$E78&gt;=AB$3,$E78&lt;=AB$3+6),"▼",IF(AND($E78&gt;=AB$3,$E78&lt;=AB$3+6),$A78,"")))</f>
        <v/>
      </c>
      <c r="AC78" s="47" t="str">
        <f aca="false">IF($A78="","",IF(AND(INDEX(工程マスタ!$I$5:$I$154,$A78)="○",$E78&gt;=AC$3,$E78&lt;=AC$3+6),"▼",IF(AND($E78&gt;=AC$3,$E78&lt;=AC$3+6),$A78,"")))</f>
        <v/>
      </c>
      <c r="AD78" s="47" t="str">
        <f aca="false">IF($A78="","",IF(AND(INDEX(工程マスタ!$I$5:$I$154,$A78)="○",$E78&gt;=AD$3,$E78&lt;=AD$3+6),"▼",IF(AND($E78&gt;=AD$3,$E78&lt;=AD$3+6),$A78,"")))</f>
        <v/>
      </c>
      <c r="AE78" s="47" t="str">
        <f aca="false">IF($A78="","",IF(AND(INDEX(工程マスタ!$I$5:$I$154,$A78)="○",$E78&gt;=AE$3,$E78&lt;=AE$3+6),"▼",IF(AND($E78&gt;=AE$3,$E78&lt;=AE$3+6),$A78,"")))</f>
        <v/>
      </c>
      <c r="AF78" s="47" t="str">
        <f aca="false">IF($A78="","",IF(AND(INDEX(工程マスタ!$I$5:$I$154,$A78)="○",$E78&gt;=AF$3,$E78&lt;=AF$3+6),"▼",IF(AND($E78&gt;=AF$3,$E78&lt;=AF$3+6),$A78,"")))</f>
        <v/>
      </c>
      <c r="AG78" s="47" t="str">
        <f aca="false">IF($A78="","",IF(AND(INDEX(工程マスタ!$I$5:$I$154,$A78)="○",$E78&gt;=AG$3,$E78&lt;=AG$3+6),"▼",IF(AND($E78&gt;=AG$3,$E78&lt;=AG$3+6),$A78,"")))</f>
        <v/>
      </c>
      <c r="AH78" s="47" t="str">
        <f aca="false">IF($A78="","",IF(AND(INDEX(工程マスタ!$I$5:$I$154,$A78)="○",$E78&gt;=AH$3,$E78&lt;=AH$3+6),"▼",IF(AND($E78&gt;=AH$3,$E78&lt;=AH$3+6),$A78,"")))</f>
        <v/>
      </c>
      <c r="AI78" s="47" t="str">
        <f aca="false">IF($A78="","",IF(AND(INDEX(工程マスタ!$I$5:$I$154,$A78)="○",$E78&gt;=AI$3,$E78&lt;=AI$3+6),"▼",IF(AND($E78&gt;=AI$3,$E78&lt;=AI$3+6),$A78,"")))</f>
        <v/>
      </c>
      <c r="AJ78" s="47" t="str">
        <f aca="false">IF($A78="","",IF(AND(INDEX(工程マスタ!$I$5:$I$154,$A78)="○",$E78&gt;=AJ$3,$E78&lt;=AJ$3+6),"▼",IF(AND($E78&gt;=AJ$3,$E78&lt;=AJ$3+6),$A78,"")))</f>
        <v/>
      </c>
      <c r="AK78" s="47" t="str">
        <f aca="false">IF($A78="","",IF(AND(INDEX(工程マスタ!$I$5:$I$154,$A78)="○",$E78&gt;=AK$3,$E78&lt;=AK$3+6),"▼",IF(AND($E78&gt;=AK$3,$E78&lt;=AK$3+6),$A78,"")))</f>
        <v/>
      </c>
      <c r="AL78" s="47" t="str">
        <f aca="false">IF($A78="","",IF(AND(INDEX(工程マスタ!$I$5:$I$154,$A78)="○",$E78&gt;=AL$3,$E78&lt;=AL$3+6),"▼",IF(AND($E78&gt;=AL$3,$E78&lt;=AL$3+6),$A78,"")))</f>
        <v/>
      </c>
      <c r="AM78" s="47" t="str">
        <f aca="false">IF($A78="","",IF(AND(INDEX(工程マスタ!$I$5:$I$154,$A78)="○",$E78&gt;=AM$3,$E78&lt;=AM$3+6),"▼",IF(AND($E78&gt;=AM$3,$E78&lt;=AM$3+6),$A78,"")))</f>
        <v/>
      </c>
      <c r="AN78" s="47" t="str">
        <f aca="false">IF($A78="","",IF(AND(INDEX(工程マスタ!$I$5:$I$154,$A78)="○",$E78&gt;=AN$3,$E78&lt;=AN$3+6),"▼",IF(AND($E78&gt;=AN$3,$E78&lt;=AN$3+6),$A78,"")))</f>
        <v/>
      </c>
      <c r="AO78" s="47" t="str">
        <f aca="false">IF($A78="","",IF(AND(INDEX(工程マスタ!$I$5:$I$154,$A78)="○",$E78&gt;=AO$3,$E78&lt;=AO$3+6),"▼",IF(AND($E78&gt;=AO$3,$E78&lt;=AO$3+6),$A78,"")))</f>
        <v/>
      </c>
      <c r="AP78" s="47" t="str">
        <f aca="false">IF($A78="","",IF(AND(INDEX(工程マスタ!$I$5:$I$154,$A78)="○",$E78&gt;=AP$3,$E78&lt;=AP$3+6),"▼",IF(AND($E78&gt;=AP$3,$E78&lt;=AP$3+6),$A78,"")))</f>
        <v/>
      </c>
      <c r="AQ78" s="47" t="str">
        <f aca="false">IF($A78="","",IF(AND(INDEX(工程マスタ!$I$5:$I$154,$A78)="○",$E78&gt;=AQ$3,$E78&lt;=AQ$3+6),"▼",IF(AND($E78&gt;=AQ$3,$E78&lt;=AQ$3+6),$A78,"")))</f>
        <v/>
      </c>
      <c r="AR78" s="47" t="str">
        <f aca="false">IF($A78="","",IF(AND(INDEX(工程マスタ!$I$5:$I$154,$A78)="○",$E78&gt;=AR$3,$E78&lt;=AR$3+6),"▼",IF(AND($E78&gt;=AR$3,$E78&lt;=AR$3+6),$A78,"")))</f>
        <v/>
      </c>
      <c r="AS78" s="47" t="str">
        <f aca="false">IF($A78="","",IF(AND(INDEX(工程マスタ!$I$5:$I$154,$A78)="○",$E78&gt;=AS$3,$E78&lt;=AS$3+6),"▼",IF(AND($E78&gt;=AS$3,$E78&lt;=AS$3+6),$A78,"")))</f>
        <v/>
      </c>
      <c r="AT78" s="47" t="str">
        <f aca="false">IF($A78="","",IF(AND(INDEX(工程マスタ!$I$5:$I$154,$A78)="○",$E78&gt;=AT$3,$E78&lt;=AT$3+6),"▼",IF(AND($E78&gt;=AT$3,$E78&lt;=AT$3+6),$A78,"")))</f>
        <v/>
      </c>
      <c r="AU78" s="47" t="str">
        <f aca="false">IF($A78="","",IF(AND(INDEX(工程マスタ!$I$5:$I$154,$A78)="○",$E78&gt;=AU$3,$E78&lt;=AU$3+6),"▼",IF(AND($E78&gt;=AU$3,$E78&lt;=AU$3+6),$A78,"")))</f>
        <v/>
      </c>
      <c r="AV78" s="47" t="str">
        <f aca="false">IF($A78="","",IF(AND(INDEX(工程マスタ!$I$5:$I$154,$A78)="○",$E78&gt;=AV$3,$E78&lt;=AV$3+6),"▼",IF(AND($E78&gt;=AV$3,$E78&lt;=AV$3+6),$A78,"")))</f>
        <v/>
      </c>
      <c r="AW78" s="47" t="str">
        <f aca="false">IF($A78="","",IF(AND(INDEX(工程マスタ!$I$5:$I$154,$A78)="○",$E78&gt;=AW$3,$E78&lt;=AW$3+6),"▼",IF(AND($E78&gt;=AW$3,$E78&lt;=AW$3+6),$A78,"")))</f>
        <v/>
      </c>
      <c r="AX78" s="47" t="str">
        <f aca="false">IF($A78="","",IF(AND(INDEX(工程マスタ!$I$5:$I$154,$A78)="○",$E78&gt;=AX$3,$E78&lt;=AX$3+6),"▼",IF(AND($E78&gt;=AX$3,$E78&lt;=AX$3+6),$A78,"")))</f>
        <v/>
      </c>
      <c r="AY78" s="47" t="str">
        <f aca="false">IF($A78="","",IF(AND(INDEX(工程マスタ!$I$5:$I$154,$A78)="○",$E78&gt;=AY$3,$E78&lt;=AY$3+6),"▼",IF(AND($E78&gt;=AY$3,$E78&lt;=AY$3+6),$A78,"")))</f>
        <v/>
      </c>
      <c r="AZ78" s="47" t="str">
        <f aca="false">IF($A78="","",IF(AND(INDEX(工程マスタ!$I$5:$I$154,$A78)="○",$E78&gt;=AZ$3,$E78&lt;=AZ$3+6),"▼",IF(AND($E78&gt;=AZ$3,$E78&lt;=AZ$3+6),$A78,"")))</f>
        <v/>
      </c>
      <c r="BA78" s="47" t="str">
        <f aca="false">IF($A78="","",IF(AND(INDEX(工程マスタ!$I$5:$I$154,$A78)="○",$E78&gt;=BA$3,$E78&lt;=BA$3+6),"▼",IF(AND($E78&gt;=BA$3,$E78&lt;=BA$3+6),$A78,"")))</f>
        <v/>
      </c>
      <c r="BB78" s="47" t="str">
        <f aca="false">IF($A78="","",IF(AND(INDEX(工程マスタ!$I$5:$I$154,$A78)="○",$E78&gt;=BB$3,$E78&lt;=BB$3+6),"▼",IF(AND($E78&gt;=BB$3,$E78&lt;=BB$3+6),$A78,"")))</f>
        <v/>
      </c>
      <c r="BC78" s="47" t="str">
        <f aca="false">IF($A78="","",IF(AND(INDEX(工程マスタ!$I$5:$I$154,$A78)="○",$E78&gt;=BC$3,$E78&lt;=BC$3+6),"▼",IF(AND($E78&gt;=BC$3,$E78&lt;=BC$3+6),$A78,"")))</f>
        <v/>
      </c>
      <c r="BD78" s="47" t="str">
        <f aca="false">IF($A78="","",IF(AND(INDEX(工程マスタ!$I$5:$I$154,$A78)="○",$E78&gt;=BD$3,$E78&lt;=BD$3+6),"▼",IF(AND($E78&gt;=BD$3,$E78&lt;=BD$3+6),$A78,"")))</f>
        <v/>
      </c>
      <c r="BE78" s="47" t="str">
        <f aca="false">IF($A78="","",IF(AND(INDEX(工程マスタ!$I$5:$I$154,$A78)="○",$E78&gt;=BE$3,$E78&lt;=BE$3+6),"▼",IF(AND($E78&gt;=BE$3,$E78&lt;=BE$3+6),$A78,"")))</f>
        <v/>
      </c>
      <c r="BF78" s="47" t="str">
        <f aca="false">IF($A78="","",IF(AND(INDEX(工程マスタ!$I$5:$I$154,$A78)="○",$E78&gt;=BF$3,$E78&lt;=BF$3+6),"▼",IF(AND($E78&gt;=BF$3,$E78&lt;=BF$3+6),$A78,"")))</f>
        <v/>
      </c>
      <c r="BG78" s="47" t="str">
        <f aca="false">IF($A78="","",IF(AND(INDEX(工程マスタ!$I$5:$I$154,$A78)="○",$E78&gt;=BG$3,$E78&lt;=BG$3+6),"▼",IF(AND($E78&gt;=BG$3,$E78&lt;=BG$3+6),$A78,"")))</f>
        <v/>
      </c>
      <c r="BH78" s="47" t="str">
        <f aca="false">IF($A78="","",IF(AND(INDEX(工程マスタ!$I$5:$I$154,$A78)="○",$E78&gt;=BH$3,$E78&lt;=BH$3+6),"▼",IF(AND($E78&gt;=BH$3,$E78&lt;=BH$3+6),$A78,"")))</f>
        <v/>
      </c>
      <c r="BI78" s="47" t="str">
        <f aca="false">IF($A78="","",IF(AND(INDEX(工程マスタ!$I$5:$I$154,$A78)="○",$E78&gt;=BI$3,$E78&lt;=BI$3+6),"▼",IF(AND($E78&gt;=BI$3,$E78&lt;=BI$3+6),$A78,"")))</f>
        <v/>
      </c>
      <c r="BJ78" s="47" t="str">
        <f aca="false">IF($A78="","",IF(AND(INDEX(工程マスタ!$I$5:$I$154,$A78)="○",$E78&gt;=BJ$3,$E78&lt;=BJ$3+6),"▼",IF(AND($E78&gt;=BJ$3,$E78&lt;=BJ$3+6),$A78,"")))</f>
        <v/>
      </c>
    </row>
    <row r="79" customFormat="false" ht="15" hidden="false" customHeight="false" outlineLevel="0" collapsed="false">
      <c r="A79" s="28" t="str">
        <f aca="false">IF(工程マスタ!$C77="","",工程マスタ!$A77)</f>
        <v/>
      </c>
      <c r="B79" s="46" t="str">
        <f aca="false">IF($A79="","",工程マスタ!$C77)</f>
        <v/>
      </c>
      <c r="C79" s="28" t="str">
        <f aca="false">IF($A79="","",MAX(1,工程マスタ!$G77))</f>
        <v/>
      </c>
      <c r="D79" s="28" t="str">
        <f aca="false">IF($A79="","",_xlfn.TEXTJOIN(",",TRUE(),工程マスタ!$N77:$P77))</f>
        <v/>
      </c>
      <c r="E79" s="29" t="str">
        <f aca="false">IF($A79="","",IF(COUNT(工程マスタ!$N77:$P77)=0,設定!$B$8,MAX(IF(工程マスタ!$N77="",0,INDEX($F$7:$F$156,工程マスタ!$N77)),IF(工程マスタ!$O77="",0,INDEX($F$7:$F$156,工程マスタ!$O77)),IF(工程マスタ!$P77="",0,INDEX($F$7:$F$156,工程マスタ!$P77)))+1))</f>
        <v/>
      </c>
      <c r="F79" s="29" t="str">
        <f aca="false">IF($A79="","",$E79+$C79-1)</f>
        <v/>
      </c>
      <c r="G79" s="29" t="str">
        <f aca="false">IF($A79="","",$H79-$C79+1)</f>
        <v/>
      </c>
      <c r="H79" s="29" t="str">
        <f aca="false" t="array" ref="H79:H79">IF($A79="","",IF(SUMPRODUCT((工程マスタ!$N$78:$N$154=$A79)*1)+SUMPRODUCT((工程マスタ!$O$78:$O$154=$A79)*1)+SUMPRODUCT((工程マスタ!$P$78:$P$154=$A79)*1)=0,MAX($F$7:$F$156),MIN(IF((工程マスタ!$N$78:$N$154=$A79)+(工程マスタ!$O$78:$O$154=$A79)+(工程マスタ!$P$78:$P$154=$A79),$G80:$G$156))-1))</f>
        <v/>
      </c>
      <c r="I79" s="28" t="str">
        <f aca="false">IF($A79="","",$G79-$E79)</f>
        <v/>
      </c>
      <c r="J79" s="28" t="str">
        <f aca="false">IF($A79="","",IF($I79&lt;=0,"●",""))</f>
        <v/>
      </c>
      <c r="K79" s="47" t="str">
        <f aca="false">IF($A79="","",IF(AND(INDEX(工程マスタ!$I$5:$I$154,$A79)="○",$E79&gt;=K$3,$E79&lt;=K$3+6),"▼",IF(AND($E79&gt;=K$3,$E79&lt;=K$3+6),$A79,"")))</f>
        <v/>
      </c>
      <c r="L79" s="47" t="str">
        <f aca="false">IF($A79="","",IF(AND(INDEX(工程マスタ!$I$5:$I$154,$A79)="○",$E79&gt;=L$3,$E79&lt;=L$3+6),"▼",IF(AND($E79&gt;=L$3,$E79&lt;=L$3+6),$A79,"")))</f>
        <v/>
      </c>
      <c r="M79" s="47" t="str">
        <f aca="false">IF($A79="","",IF(AND(INDEX(工程マスタ!$I$5:$I$154,$A79)="○",$E79&gt;=M$3,$E79&lt;=M$3+6),"▼",IF(AND($E79&gt;=M$3,$E79&lt;=M$3+6),$A79,"")))</f>
        <v/>
      </c>
      <c r="N79" s="47" t="str">
        <f aca="false">IF($A79="","",IF(AND(INDEX(工程マスタ!$I$5:$I$154,$A79)="○",$E79&gt;=N$3,$E79&lt;=N$3+6),"▼",IF(AND($E79&gt;=N$3,$E79&lt;=N$3+6),$A79,"")))</f>
        <v/>
      </c>
      <c r="O79" s="47" t="str">
        <f aca="false">IF($A79="","",IF(AND(INDEX(工程マスタ!$I$5:$I$154,$A79)="○",$E79&gt;=O$3,$E79&lt;=O$3+6),"▼",IF(AND($E79&gt;=O$3,$E79&lt;=O$3+6),$A79,"")))</f>
        <v/>
      </c>
      <c r="P79" s="47" t="str">
        <f aca="false">IF($A79="","",IF(AND(INDEX(工程マスタ!$I$5:$I$154,$A79)="○",$E79&gt;=P$3,$E79&lt;=P$3+6),"▼",IF(AND($E79&gt;=P$3,$E79&lt;=P$3+6),$A79,"")))</f>
        <v/>
      </c>
      <c r="Q79" s="47" t="str">
        <f aca="false">IF($A79="","",IF(AND(INDEX(工程マスタ!$I$5:$I$154,$A79)="○",$E79&gt;=Q$3,$E79&lt;=Q$3+6),"▼",IF(AND($E79&gt;=Q$3,$E79&lt;=Q$3+6),$A79,"")))</f>
        <v/>
      </c>
      <c r="R79" s="47" t="str">
        <f aca="false">IF($A79="","",IF(AND(INDEX(工程マスタ!$I$5:$I$154,$A79)="○",$E79&gt;=R$3,$E79&lt;=R$3+6),"▼",IF(AND($E79&gt;=R$3,$E79&lt;=R$3+6),$A79,"")))</f>
        <v/>
      </c>
      <c r="S79" s="47" t="str">
        <f aca="false">IF($A79="","",IF(AND(INDEX(工程マスタ!$I$5:$I$154,$A79)="○",$E79&gt;=S$3,$E79&lt;=S$3+6),"▼",IF(AND($E79&gt;=S$3,$E79&lt;=S$3+6),$A79,"")))</f>
        <v/>
      </c>
      <c r="T79" s="47" t="str">
        <f aca="false">IF($A79="","",IF(AND(INDEX(工程マスタ!$I$5:$I$154,$A79)="○",$E79&gt;=T$3,$E79&lt;=T$3+6),"▼",IF(AND($E79&gt;=T$3,$E79&lt;=T$3+6),$A79,"")))</f>
        <v/>
      </c>
      <c r="U79" s="47" t="str">
        <f aca="false">IF($A79="","",IF(AND(INDEX(工程マスタ!$I$5:$I$154,$A79)="○",$E79&gt;=U$3,$E79&lt;=U$3+6),"▼",IF(AND($E79&gt;=U$3,$E79&lt;=U$3+6),$A79,"")))</f>
        <v/>
      </c>
      <c r="V79" s="47" t="str">
        <f aca="false">IF($A79="","",IF(AND(INDEX(工程マスタ!$I$5:$I$154,$A79)="○",$E79&gt;=V$3,$E79&lt;=V$3+6),"▼",IF(AND($E79&gt;=V$3,$E79&lt;=V$3+6),$A79,"")))</f>
        <v/>
      </c>
      <c r="W79" s="47" t="str">
        <f aca="false">IF($A79="","",IF(AND(INDEX(工程マスタ!$I$5:$I$154,$A79)="○",$E79&gt;=W$3,$E79&lt;=W$3+6),"▼",IF(AND($E79&gt;=W$3,$E79&lt;=W$3+6),$A79,"")))</f>
        <v/>
      </c>
      <c r="X79" s="47" t="str">
        <f aca="false">IF($A79="","",IF(AND(INDEX(工程マスタ!$I$5:$I$154,$A79)="○",$E79&gt;=X$3,$E79&lt;=X$3+6),"▼",IF(AND($E79&gt;=X$3,$E79&lt;=X$3+6),$A79,"")))</f>
        <v/>
      </c>
      <c r="Y79" s="47" t="str">
        <f aca="false">IF($A79="","",IF(AND(INDEX(工程マスタ!$I$5:$I$154,$A79)="○",$E79&gt;=Y$3,$E79&lt;=Y$3+6),"▼",IF(AND($E79&gt;=Y$3,$E79&lt;=Y$3+6),$A79,"")))</f>
        <v/>
      </c>
      <c r="Z79" s="47" t="str">
        <f aca="false">IF($A79="","",IF(AND(INDEX(工程マスタ!$I$5:$I$154,$A79)="○",$E79&gt;=Z$3,$E79&lt;=Z$3+6),"▼",IF(AND($E79&gt;=Z$3,$E79&lt;=Z$3+6),$A79,"")))</f>
        <v/>
      </c>
      <c r="AA79" s="47" t="str">
        <f aca="false">IF($A79="","",IF(AND(INDEX(工程マスタ!$I$5:$I$154,$A79)="○",$E79&gt;=AA$3,$E79&lt;=AA$3+6),"▼",IF(AND($E79&gt;=AA$3,$E79&lt;=AA$3+6),$A79,"")))</f>
        <v/>
      </c>
      <c r="AB79" s="47" t="str">
        <f aca="false">IF($A79="","",IF(AND(INDEX(工程マスタ!$I$5:$I$154,$A79)="○",$E79&gt;=AB$3,$E79&lt;=AB$3+6),"▼",IF(AND($E79&gt;=AB$3,$E79&lt;=AB$3+6),$A79,"")))</f>
        <v/>
      </c>
      <c r="AC79" s="47" t="str">
        <f aca="false">IF($A79="","",IF(AND(INDEX(工程マスタ!$I$5:$I$154,$A79)="○",$E79&gt;=AC$3,$E79&lt;=AC$3+6),"▼",IF(AND($E79&gt;=AC$3,$E79&lt;=AC$3+6),$A79,"")))</f>
        <v/>
      </c>
      <c r="AD79" s="47" t="str">
        <f aca="false">IF($A79="","",IF(AND(INDEX(工程マスタ!$I$5:$I$154,$A79)="○",$E79&gt;=AD$3,$E79&lt;=AD$3+6),"▼",IF(AND($E79&gt;=AD$3,$E79&lt;=AD$3+6),$A79,"")))</f>
        <v/>
      </c>
      <c r="AE79" s="47" t="str">
        <f aca="false">IF($A79="","",IF(AND(INDEX(工程マスタ!$I$5:$I$154,$A79)="○",$E79&gt;=AE$3,$E79&lt;=AE$3+6),"▼",IF(AND($E79&gt;=AE$3,$E79&lt;=AE$3+6),$A79,"")))</f>
        <v/>
      </c>
      <c r="AF79" s="47" t="str">
        <f aca="false">IF($A79="","",IF(AND(INDEX(工程マスタ!$I$5:$I$154,$A79)="○",$E79&gt;=AF$3,$E79&lt;=AF$3+6),"▼",IF(AND($E79&gt;=AF$3,$E79&lt;=AF$3+6),$A79,"")))</f>
        <v/>
      </c>
      <c r="AG79" s="47" t="str">
        <f aca="false">IF($A79="","",IF(AND(INDEX(工程マスタ!$I$5:$I$154,$A79)="○",$E79&gt;=AG$3,$E79&lt;=AG$3+6),"▼",IF(AND($E79&gt;=AG$3,$E79&lt;=AG$3+6),$A79,"")))</f>
        <v/>
      </c>
      <c r="AH79" s="47" t="str">
        <f aca="false">IF($A79="","",IF(AND(INDEX(工程マスタ!$I$5:$I$154,$A79)="○",$E79&gt;=AH$3,$E79&lt;=AH$3+6),"▼",IF(AND($E79&gt;=AH$3,$E79&lt;=AH$3+6),$A79,"")))</f>
        <v/>
      </c>
      <c r="AI79" s="47" t="str">
        <f aca="false">IF($A79="","",IF(AND(INDEX(工程マスタ!$I$5:$I$154,$A79)="○",$E79&gt;=AI$3,$E79&lt;=AI$3+6),"▼",IF(AND($E79&gt;=AI$3,$E79&lt;=AI$3+6),$A79,"")))</f>
        <v/>
      </c>
      <c r="AJ79" s="47" t="str">
        <f aca="false">IF($A79="","",IF(AND(INDEX(工程マスタ!$I$5:$I$154,$A79)="○",$E79&gt;=AJ$3,$E79&lt;=AJ$3+6),"▼",IF(AND($E79&gt;=AJ$3,$E79&lt;=AJ$3+6),$A79,"")))</f>
        <v/>
      </c>
      <c r="AK79" s="47" t="str">
        <f aca="false">IF($A79="","",IF(AND(INDEX(工程マスタ!$I$5:$I$154,$A79)="○",$E79&gt;=AK$3,$E79&lt;=AK$3+6),"▼",IF(AND($E79&gt;=AK$3,$E79&lt;=AK$3+6),$A79,"")))</f>
        <v/>
      </c>
      <c r="AL79" s="47" t="str">
        <f aca="false">IF($A79="","",IF(AND(INDEX(工程マスタ!$I$5:$I$154,$A79)="○",$E79&gt;=AL$3,$E79&lt;=AL$3+6),"▼",IF(AND($E79&gt;=AL$3,$E79&lt;=AL$3+6),$A79,"")))</f>
        <v/>
      </c>
      <c r="AM79" s="47" t="str">
        <f aca="false">IF($A79="","",IF(AND(INDEX(工程マスタ!$I$5:$I$154,$A79)="○",$E79&gt;=AM$3,$E79&lt;=AM$3+6),"▼",IF(AND($E79&gt;=AM$3,$E79&lt;=AM$3+6),$A79,"")))</f>
        <v/>
      </c>
      <c r="AN79" s="47" t="str">
        <f aca="false">IF($A79="","",IF(AND(INDEX(工程マスタ!$I$5:$I$154,$A79)="○",$E79&gt;=AN$3,$E79&lt;=AN$3+6),"▼",IF(AND($E79&gt;=AN$3,$E79&lt;=AN$3+6),$A79,"")))</f>
        <v/>
      </c>
      <c r="AO79" s="47" t="str">
        <f aca="false">IF($A79="","",IF(AND(INDEX(工程マスタ!$I$5:$I$154,$A79)="○",$E79&gt;=AO$3,$E79&lt;=AO$3+6),"▼",IF(AND($E79&gt;=AO$3,$E79&lt;=AO$3+6),$A79,"")))</f>
        <v/>
      </c>
      <c r="AP79" s="47" t="str">
        <f aca="false">IF($A79="","",IF(AND(INDEX(工程マスタ!$I$5:$I$154,$A79)="○",$E79&gt;=AP$3,$E79&lt;=AP$3+6),"▼",IF(AND($E79&gt;=AP$3,$E79&lt;=AP$3+6),$A79,"")))</f>
        <v/>
      </c>
      <c r="AQ79" s="47" t="str">
        <f aca="false">IF($A79="","",IF(AND(INDEX(工程マスタ!$I$5:$I$154,$A79)="○",$E79&gt;=AQ$3,$E79&lt;=AQ$3+6),"▼",IF(AND($E79&gt;=AQ$3,$E79&lt;=AQ$3+6),$A79,"")))</f>
        <v/>
      </c>
      <c r="AR79" s="47" t="str">
        <f aca="false">IF($A79="","",IF(AND(INDEX(工程マスタ!$I$5:$I$154,$A79)="○",$E79&gt;=AR$3,$E79&lt;=AR$3+6),"▼",IF(AND($E79&gt;=AR$3,$E79&lt;=AR$3+6),$A79,"")))</f>
        <v/>
      </c>
      <c r="AS79" s="47" t="str">
        <f aca="false">IF($A79="","",IF(AND(INDEX(工程マスタ!$I$5:$I$154,$A79)="○",$E79&gt;=AS$3,$E79&lt;=AS$3+6),"▼",IF(AND($E79&gt;=AS$3,$E79&lt;=AS$3+6),$A79,"")))</f>
        <v/>
      </c>
      <c r="AT79" s="47" t="str">
        <f aca="false">IF($A79="","",IF(AND(INDEX(工程マスタ!$I$5:$I$154,$A79)="○",$E79&gt;=AT$3,$E79&lt;=AT$3+6),"▼",IF(AND($E79&gt;=AT$3,$E79&lt;=AT$3+6),$A79,"")))</f>
        <v/>
      </c>
      <c r="AU79" s="47" t="str">
        <f aca="false">IF($A79="","",IF(AND(INDEX(工程マスタ!$I$5:$I$154,$A79)="○",$E79&gt;=AU$3,$E79&lt;=AU$3+6),"▼",IF(AND($E79&gt;=AU$3,$E79&lt;=AU$3+6),$A79,"")))</f>
        <v/>
      </c>
      <c r="AV79" s="47" t="str">
        <f aca="false">IF($A79="","",IF(AND(INDEX(工程マスタ!$I$5:$I$154,$A79)="○",$E79&gt;=AV$3,$E79&lt;=AV$3+6),"▼",IF(AND($E79&gt;=AV$3,$E79&lt;=AV$3+6),$A79,"")))</f>
        <v/>
      </c>
      <c r="AW79" s="47" t="str">
        <f aca="false">IF($A79="","",IF(AND(INDEX(工程マスタ!$I$5:$I$154,$A79)="○",$E79&gt;=AW$3,$E79&lt;=AW$3+6),"▼",IF(AND($E79&gt;=AW$3,$E79&lt;=AW$3+6),$A79,"")))</f>
        <v/>
      </c>
      <c r="AX79" s="47" t="str">
        <f aca="false">IF($A79="","",IF(AND(INDEX(工程マスタ!$I$5:$I$154,$A79)="○",$E79&gt;=AX$3,$E79&lt;=AX$3+6),"▼",IF(AND($E79&gt;=AX$3,$E79&lt;=AX$3+6),$A79,"")))</f>
        <v/>
      </c>
      <c r="AY79" s="47" t="str">
        <f aca="false">IF($A79="","",IF(AND(INDEX(工程マスタ!$I$5:$I$154,$A79)="○",$E79&gt;=AY$3,$E79&lt;=AY$3+6),"▼",IF(AND($E79&gt;=AY$3,$E79&lt;=AY$3+6),$A79,"")))</f>
        <v/>
      </c>
      <c r="AZ79" s="47" t="str">
        <f aca="false">IF($A79="","",IF(AND(INDEX(工程マスタ!$I$5:$I$154,$A79)="○",$E79&gt;=AZ$3,$E79&lt;=AZ$3+6),"▼",IF(AND($E79&gt;=AZ$3,$E79&lt;=AZ$3+6),$A79,"")))</f>
        <v/>
      </c>
      <c r="BA79" s="47" t="str">
        <f aca="false">IF($A79="","",IF(AND(INDEX(工程マスタ!$I$5:$I$154,$A79)="○",$E79&gt;=BA$3,$E79&lt;=BA$3+6),"▼",IF(AND($E79&gt;=BA$3,$E79&lt;=BA$3+6),$A79,"")))</f>
        <v/>
      </c>
      <c r="BB79" s="47" t="str">
        <f aca="false">IF($A79="","",IF(AND(INDEX(工程マスタ!$I$5:$I$154,$A79)="○",$E79&gt;=BB$3,$E79&lt;=BB$3+6),"▼",IF(AND($E79&gt;=BB$3,$E79&lt;=BB$3+6),$A79,"")))</f>
        <v/>
      </c>
      <c r="BC79" s="47" t="str">
        <f aca="false">IF($A79="","",IF(AND(INDEX(工程マスタ!$I$5:$I$154,$A79)="○",$E79&gt;=BC$3,$E79&lt;=BC$3+6),"▼",IF(AND($E79&gt;=BC$3,$E79&lt;=BC$3+6),$A79,"")))</f>
        <v/>
      </c>
      <c r="BD79" s="47" t="str">
        <f aca="false">IF($A79="","",IF(AND(INDEX(工程マスタ!$I$5:$I$154,$A79)="○",$E79&gt;=BD$3,$E79&lt;=BD$3+6),"▼",IF(AND($E79&gt;=BD$3,$E79&lt;=BD$3+6),$A79,"")))</f>
        <v/>
      </c>
      <c r="BE79" s="47" t="str">
        <f aca="false">IF($A79="","",IF(AND(INDEX(工程マスタ!$I$5:$I$154,$A79)="○",$E79&gt;=BE$3,$E79&lt;=BE$3+6),"▼",IF(AND($E79&gt;=BE$3,$E79&lt;=BE$3+6),$A79,"")))</f>
        <v/>
      </c>
      <c r="BF79" s="47" t="str">
        <f aca="false">IF($A79="","",IF(AND(INDEX(工程マスタ!$I$5:$I$154,$A79)="○",$E79&gt;=BF$3,$E79&lt;=BF$3+6),"▼",IF(AND($E79&gt;=BF$3,$E79&lt;=BF$3+6),$A79,"")))</f>
        <v/>
      </c>
      <c r="BG79" s="47" t="str">
        <f aca="false">IF($A79="","",IF(AND(INDEX(工程マスタ!$I$5:$I$154,$A79)="○",$E79&gt;=BG$3,$E79&lt;=BG$3+6),"▼",IF(AND($E79&gt;=BG$3,$E79&lt;=BG$3+6),$A79,"")))</f>
        <v/>
      </c>
      <c r="BH79" s="47" t="str">
        <f aca="false">IF($A79="","",IF(AND(INDEX(工程マスタ!$I$5:$I$154,$A79)="○",$E79&gt;=BH$3,$E79&lt;=BH$3+6),"▼",IF(AND($E79&gt;=BH$3,$E79&lt;=BH$3+6),$A79,"")))</f>
        <v/>
      </c>
      <c r="BI79" s="47" t="str">
        <f aca="false">IF($A79="","",IF(AND(INDEX(工程マスタ!$I$5:$I$154,$A79)="○",$E79&gt;=BI$3,$E79&lt;=BI$3+6),"▼",IF(AND($E79&gt;=BI$3,$E79&lt;=BI$3+6),$A79,"")))</f>
        <v/>
      </c>
      <c r="BJ79" s="47" t="str">
        <f aca="false">IF($A79="","",IF(AND(INDEX(工程マスタ!$I$5:$I$154,$A79)="○",$E79&gt;=BJ$3,$E79&lt;=BJ$3+6),"▼",IF(AND($E79&gt;=BJ$3,$E79&lt;=BJ$3+6),$A79,"")))</f>
        <v/>
      </c>
    </row>
    <row r="80" customFormat="false" ht="15" hidden="false" customHeight="false" outlineLevel="0" collapsed="false">
      <c r="A80" s="28" t="str">
        <f aca="false">IF(工程マスタ!$C78="","",工程マスタ!$A78)</f>
        <v/>
      </c>
      <c r="B80" s="46" t="str">
        <f aca="false">IF($A80="","",工程マスタ!$C78)</f>
        <v/>
      </c>
      <c r="C80" s="28" t="str">
        <f aca="false">IF($A80="","",MAX(1,工程マスタ!$G78))</f>
        <v/>
      </c>
      <c r="D80" s="28" t="str">
        <f aca="false">IF($A80="","",_xlfn.TEXTJOIN(",",TRUE(),工程マスタ!$N78:$P78))</f>
        <v/>
      </c>
      <c r="E80" s="29" t="str">
        <f aca="false">IF($A80="","",IF(COUNT(工程マスタ!$N78:$P78)=0,設定!$B$8,MAX(IF(工程マスタ!$N78="",0,INDEX($F$7:$F$156,工程マスタ!$N78)),IF(工程マスタ!$O78="",0,INDEX($F$7:$F$156,工程マスタ!$O78)),IF(工程マスタ!$P78="",0,INDEX($F$7:$F$156,工程マスタ!$P78)))+1))</f>
        <v/>
      </c>
      <c r="F80" s="29" t="str">
        <f aca="false">IF($A80="","",$E80+$C80-1)</f>
        <v/>
      </c>
      <c r="G80" s="29" t="str">
        <f aca="false">IF($A80="","",$H80-$C80+1)</f>
        <v/>
      </c>
      <c r="H80" s="29" t="str">
        <f aca="false" t="array" ref="H80:H80">IF($A80="","",IF(SUMPRODUCT((工程マスタ!$N$79:$N$154=$A80)*1)+SUMPRODUCT((工程マスタ!$O$79:$O$154=$A80)*1)+SUMPRODUCT((工程マスタ!$P$79:$P$154=$A80)*1)=0,MAX($F$7:$F$156),MIN(IF((工程マスタ!$N$79:$N$154=$A80)+(工程マスタ!$O$79:$O$154=$A80)+(工程マスタ!$P$79:$P$154=$A80),$G81:$G$156))-1))</f>
        <v/>
      </c>
      <c r="I80" s="28" t="str">
        <f aca="false">IF($A80="","",$G80-$E80)</f>
        <v/>
      </c>
      <c r="J80" s="28" t="str">
        <f aca="false">IF($A80="","",IF($I80&lt;=0,"●",""))</f>
        <v/>
      </c>
      <c r="K80" s="47" t="str">
        <f aca="false">IF($A80="","",IF(AND(INDEX(工程マスタ!$I$5:$I$154,$A80)="○",$E80&gt;=K$3,$E80&lt;=K$3+6),"▼",IF(AND($E80&gt;=K$3,$E80&lt;=K$3+6),$A80,"")))</f>
        <v/>
      </c>
      <c r="L80" s="47" t="str">
        <f aca="false">IF($A80="","",IF(AND(INDEX(工程マスタ!$I$5:$I$154,$A80)="○",$E80&gt;=L$3,$E80&lt;=L$3+6),"▼",IF(AND($E80&gt;=L$3,$E80&lt;=L$3+6),$A80,"")))</f>
        <v/>
      </c>
      <c r="M80" s="47" t="str">
        <f aca="false">IF($A80="","",IF(AND(INDEX(工程マスタ!$I$5:$I$154,$A80)="○",$E80&gt;=M$3,$E80&lt;=M$3+6),"▼",IF(AND($E80&gt;=M$3,$E80&lt;=M$3+6),$A80,"")))</f>
        <v/>
      </c>
      <c r="N80" s="47" t="str">
        <f aca="false">IF($A80="","",IF(AND(INDEX(工程マスタ!$I$5:$I$154,$A80)="○",$E80&gt;=N$3,$E80&lt;=N$3+6),"▼",IF(AND($E80&gt;=N$3,$E80&lt;=N$3+6),$A80,"")))</f>
        <v/>
      </c>
      <c r="O80" s="47" t="str">
        <f aca="false">IF($A80="","",IF(AND(INDEX(工程マスタ!$I$5:$I$154,$A80)="○",$E80&gt;=O$3,$E80&lt;=O$3+6),"▼",IF(AND($E80&gt;=O$3,$E80&lt;=O$3+6),$A80,"")))</f>
        <v/>
      </c>
      <c r="P80" s="47" t="str">
        <f aca="false">IF($A80="","",IF(AND(INDEX(工程マスタ!$I$5:$I$154,$A80)="○",$E80&gt;=P$3,$E80&lt;=P$3+6),"▼",IF(AND($E80&gt;=P$3,$E80&lt;=P$3+6),$A80,"")))</f>
        <v/>
      </c>
      <c r="Q80" s="47" t="str">
        <f aca="false">IF($A80="","",IF(AND(INDEX(工程マスタ!$I$5:$I$154,$A80)="○",$E80&gt;=Q$3,$E80&lt;=Q$3+6),"▼",IF(AND($E80&gt;=Q$3,$E80&lt;=Q$3+6),$A80,"")))</f>
        <v/>
      </c>
      <c r="R80" s="47" t="str">
        <f aca="false">IF($A80="","",IF(AND(INDEX(工程マスタ!$I$5:$I$154,$A80)="○",$E80&gt;=R$3,$E80&lt;=R$3+6),"▼",IF(AND($E80&gt;=R$3,$E80&lt;=R$3+6),$A80,"")))</f>
        <v/>
      </c>
      <c r="S80" s="47" t="str">
        <f aca="false">IF($A80="","",IF(AND(INDEX(工程マスタ!$I$5:$I$154,$A80)="○",$E80&gt;=S$3,$E80&lt;=S$3+6),"▼",IF(AND($E80&gt;=S$3,$E80&lt;=S$3+6),$A80,"")))</f>
        <v/>
      </c>
      <c r="T80" s="47" t="str">
        <f aca="false">IF($A80="","",IF(AND(INDEX(工程マスタ!$I$5:$I$154,$A80)="○",$E80&gt;=T$3,$E80&lt;=T$3+6),"▼",IF(AND($E80&gt;=T$3,$E80&lt;=T$3+6),$A80,"")))</f>
        <v/>
      </c>
      <c r="U80" s="47" t="str">
        <f aca="false">IF($A80="","",IF(AND(INDEX(工程マスタ!$I$5:$I$154,$A80)="○",$E80&gt;=U$3,$E80&lt;=U$3+6),"▼",IF(AND($E80&gt;=U$3,$E80&lt;=U$3+6),$A80,"")))</f>
        <v/>
      </c>
      <c r="V80" s="47" t="str">
        <f aca="false">IF($A80="","",IF(AND(INDEX(工程マスタ!$I$5:$I$154,$A80)="○",$E80&gt;=V$3,$E80&lt;=V$3+6),"▼",IF(AND($E80&gt;=V$3,$E80&lt;=V$3+6),$A80,"")))</f>
        <v/>
      </c>
      <c r="W80" s="47" t="str">
        <f aca="false">IF($A80="","",IF(AND(INDEX(工程マスタ!$I$5:$I$154,$A80)="○",$E80&gt;=W$3,$E80&lt;=W$3+6),"▼",IF(AND($E80&gt;=W$3,$E80&lt;=W$3+6),$A80,"")))</f>
        <v/>
      </c>
      <c r="X80" s="47" t="str">
        <f aca="false">IF($A80="","",IF(AND(INDEX(工程マスタ!$I$5:$I$154,$A80)="○",$E80&gt;=X$3,$E80&lt;=X$3+6),"▼",IF(AND($E80&gt;=X$3,$E80&lt;=X$3+6),$A80,"")))</f>
        <v/>
      </c>
      <c r="Y80" s="47" t="str">
        <f aca="false">IF($A80="","",IF(AND(INDEX(工程マスタ!$I$5:$I$154,$A80)="○",$E80&gt;=Y$3,$E80&lt;=Y$3+6),"▼",IF(AND($E80&gt;=Y$3,$E80&lt;=Y$3+6),$A80,"")))</f>
        <v/>
      </c>
      <c r="Z80" s="47" t="str">
        <f aca="false">IF($A80="","",IF(AND(INDEX(工程マスタ!$I$5:$I$154,$A80)="○",$E80&gt;=Z$3,$E80&lt;=Z$3+6),"▼",IF(AND($E80&gt;=Z$3,$E80&lt;=Z$3+6),$A80,"")))</f>
        <v/>
      </c>
      <c r="AA80" s="47" t="str">
        <f aca="false">IF($A80="","",IF(AND(INDEX(工程マスタ!$I$5:$I$154,$A80)="○",$E80&gt;=AA$3,$E80&lt;=AA$3+6),"▼",IF(AND($E80&gt;=AA$3,$E80&lt;=AA$3+6),$A80,"")))</f>
        <v/>
      </c>
      <c r="AB80" s="47" t="str">
        <f aca="false">IF($A80="","",IF(AND(INDEX(工程マスタ!$I$5:$I$154,$A80)="○",$E80&gt;=AB$3,$E80&lt;=AB$3+6),"▼",IF(AND($E80&gt;=AB$3,$E80&lt;=AB$3+6),$A80,"")))</f>
        <v/>
      </c>
      <c r="AC80" s="47" t="str">
        <f aca="false">IF($A80="","",IF(AND(INDEX(工程マスタ!$I$5:$I$154,$A80)="○",$E80&gt;=AC$3,$E80&lt;=AC$3+6),"▼",IF(AND($E80&gt;=AC$3,$E80&lt;=AC$3+6),$A80,"")))</f>
        <v/>
      </c>
      <c r="AD80" s="47" t="str">
        <f aca="false">IF($A80="","",IF(AND(INDEX(工程マスタ!$I$5:$I$154,$A80)="○",$E80&gt;=AD$3,$E80&lt;=AD$3+6),"▼",IF(AND($E80&gt;=AD$3,$E80&lt;=AD$3+6),$A80,"")))</f>
        <v/>
      </c>
      <c r="AE80" s="47" t="str">
        <f aca="false">IF($A80="","",IF(AND(INDEX(工程マスタ!$I$5:$I$154,$A80)="○",$E80&gt;=AE$3,$E80&lt;=AE$3+6),"▼",IF(AND($E80&gt;=AE$3,$E80&lt;=AE$3+6),$A80,"")))</f>
        <v/>
      </c>
      <c r="AF80" s="47" t="str">
        <f aca="false">IF($A80="","",IF(AND(INDEX(工程マスタ!$I$5:$I$154,$A80)="○",$E80&gt;=AF$3,$E80&lt;=AF$3+6),"▼",IF(AND($E80&gt;=AF$3,$E80&lt;=AF$3+6),$A80,"")))</f>
        <v/>
      </c>
      <c r="AG80" s="47" t="str">
        <f aca="false">IF($A80="","",IF(AND(INDEX(工程マスタ!$I$5:$I$154,$A80)="○",$E80&gt;=AG$3,$E80&lt;=AG$3+6),"▼",IF(AND($E80&gt;=AG$3,$E80&lt;=AG$3+6),$A80,"")))</f>
        <v/>
      </c>
      <c r="AH80" s="47" t="str">
        <f aca="false">IF($A80="","",IF(AND(INDEX(工程マスタ!$I$5:$I$154,$A80)="○",$E80&gt;=AH$3,$E80&lt;=AH$3+6),"▼",IF(AND($E80&gt;=AH$3,$E80&lt;=AH$3+6),$A80,"")))</f>
        <v/>
      </c>
      <c r="AI80" s="47" t="str">
        <f aca="false">IF($A80="","",IF(AND(INDEX(工程マスタ!$I$5:$I$154,$A80)="○",$E80&gt;=AI$3,$E80&lt;=AI$3+6),"▼",IF(AND($E80&gt;=AI$3,$E80&lt;=AI$3+6),$A80,"")))</f>
        <v/>
      </c>
      <c r="AJ80" s="47" t="str">
        <f aca="false">IF($A80="","",IF(AND(INDEX(工程マスタ!$I$5:$I$154,$A80)="○",$E80&gt;=AJ$3,$E80&lt;=AJ$3+6),"▼",IF(AND($E80&gt;=AJ$3,$E80&lt;=AJ$3+6),$A80,"")))</f>
        <v/>
      </c>
      <c r="AK80" s="47" t="str">
        <f aca="false">IF($A80="","",IF(AND(INDEX(工程マスタ!$I$5:$I$154,$A80)="○",$E80&gt;=AK$3,$E80&lt;=AK$3+6),"▼",IF(AND($E80&gt;=AK$3,$E80&lt;=AK$3+6),$A80,"")))</f>
        <v/>
      </c>
      <c r="AL80" s="47" t="str">
        <f aca="false">IF($A80="","",IF(AND(INDEX(工程マスタ!$I$5:$I$154,$A80)="○",$E80&gt;=AL$3,$E80&lt;=AL$3+6),"▼",IF(AND($E80&gt;=AL$3,$E80&lt;=AL$3+6),$A80,"")))</f>
        <v/>
      </c>
      <c r="AM80" s="47" t="str">
        <f aca="false">IF($A80="","",IF(AND(INDEX(工程マスタ!$I$5:$I$154,$A80)="○",$E80&gt;=AM$3,$E80&lt;=AM$3+6),"▼",IF(AND($E80&gt;=AM$3,$E80&lt;=AM$3+6),$A80,"")))</f>
        <v/>
      </c>
      <c r="AN80" s="47" t="str">
        <f aca="false">IF($A80="","",IF(AND(INDEX(工程マスタ!$I$5:$I$154,$A80)="○",$E80&gt;=AN$3,$E80&lt;=AN$3+6),"▼",IF(AND($E80&gt;=AN$3,$E80&lt;=AN$3+6),$A80,"")))</f>
        <v/>
      </c>
      <c r="AO80" s="47" t="str">
        <f aca="false">IF($A80="","",IF(AND(INDEX(工程マスタ!$I$5:$I$154,$A80)="○",$E80&gt;=AO$3,$E80&lt;=AO$3+6),"▼",IF(AND($E80&gt;=AO$3,$E80&lt;=AO$3+6),$A80,"")))</f>
        <v/>
      </c>
      <c r="AP80" s="47" t="str">
        <f aca="false">IF($A80="","",IF(AND(INDEX(工程マスタ!$I$5:$I$154,$A80)="○",$E80&gt;=AP$3,$E80&lt;=AP$3+6),"▼",IF(AND($E80&gt;=AP$3,$E80&lt;=AP$3+6),$A80,"")))</f>
        <v/>
      </c>
      <c r="AQ80" s="47" t="str">
        <f aca="false">IF($A80="","",IF(AND(INDEX(工程マスタ!$I$5:$I$154,$A80)="○",$E80&gt;=AQ$3,$E80&lt;=AQ$3+6),"▼",IF(AND($E80&gt;=AQ$3,$E80&lt;=AQ$3+6),$A80,"")))</f>
        <v/>
      </c>
      <c r="AR80" s="47" t="str">
        <f aca="false">IF($A80="","",IF(AND(INDEX(工程マスタ!$I$5:$I$154,$A80)="○",$E80&gt;=AR$3,$E80&lt;=AR$3+6),"▼",IF(AND($E80&gt;=AR$3,$E80&lt;=AR$3+6),$A80,"")))</f>
        <v/>
      </c>
      <c r="AS80" s="47" t="str">
        <f aca="false">IF($A80="","",IF(AND(INDEX(工程マスタ!$I$5:$I$154,$A80)="○",$E80&gt;=AS$3,$E80&lt;=AS$3+6),"▼",IF(AND($E80&gt;=AS$3,$E80&lt;=AS$3+6),$A80,"")))</f>
        <v/>
      </c>
      <c r="AT80" s="47" t="str">
        <f aca="false">IF($A80="","",IF(AND(INDEX(工程マスタ!$I$5:$I$154,$A80)="○",$E80&gt;=AT$3,$E80&lt;=AT$3+6),"▼",IF(AND($E80&gt;=AT$3,$E80&lt;=AT$3+6),$A80,"")))</f>
        <v/>
      </c>
      <c r="AU80" s="47" t="str">
        <f aca="false">IF($A80="","",IF(AND(INDEX(工程マスタ!$I$5:$I$154,$A80)="○",$E80&gt;=AU$3,$E80&lt;=AU$3+6),"▼",IF(AND($E80&gt;=AU$3,$E80&lt;=AU$3+6),$A80,"")))</f>
        <v/>
      </c>
      <c r="AV80" s="47" t="str">
        <f aca="false">IF($A80="","",IF(AND(INDEX(工程マスタ!$I$5:$I$154,$A80)="○",$E80&gt;=AV$3,$E80&lt;=AV$3+6),"▼",IF(AND($E80&gt;=AV$3,$E80&lt;=AV$3+6),$A80,"")))</f>
        <v/>
      </c>
      <c r="AW80" s="47" t="str">
        <f aca="false">IF($A80="","",IF(AND(INDEX(工程マスタ!$I$5:$I$154,$A80)="○",$E80&gt;=AW$3,$E80&lt;=AW$3+6),"▼",IF(AND($E80&gt;=AW$3,$E80&lt;=AW$3+6),$A80,"")))</f>
        <v/>
      </c>
      <c r="AX80" s="47" t="str">
        <f aca="false">IF($A80="","",IF(AND(INDEX(工程マスタ!$I$5:$I$154,$A80)="○",$E80&gt;=AX$3,$E80&lt;=AX$3+6),"▼",IF(AND($E80&gt;=AX$3,$E80&lt;=AX$3+6),$A80,"")))</f>
        <v/>
      </c>
      <c r="AY80" s="47" t="str">
        <f aca="false">IF($A80="","",IF(AND(INDEX(工程マスタ!$I$5:$I$154,$A80)="○",$E80&gt;=AY$3,$E80&lt;=AY$3+6),"▼",IF(AND($E80&gt;=AY$3,$E80&lt;=AY$3+6),$A80,"")))</f>
        <v/>
      </c>
      <c r="AZ80" s="47" t="str">
        <f aca="false">IF($A80="","",IF(AND(INDEX(工程マスタ!$I$5:$I$154,$A80)="○",$E80&gt;=AZ$3,$E80&lt;=AZ$3+6),"▼",IF(AND($E80&gt;=AZ$3,$E80&lt;=AZ$3+6),$A80,"")))</f>
        <v/>
      </c>
      <c r="BA80" s="47" t="str">
        <f aca="false">IF($A80="","",IF(AND(INDEX(工程マスタ!$I$5:$I$154,$A80)="○",$E80&gt;=BA$3,$E80&lt;=BA$3+6),"▼",IF(AND($E80&gt;=BA$3,$E80&lt;=BA$3+6),$A80,"")))</f>
        <v/>
      </c>
      <c r="BB80" s="47" t="str">
        <f aca="false">IF($A80="","",IF(AND(INDEX(工程マスタ!$I$5:$I$154,$A80)="○",$E80&gt;=BB$3,$E80&lt;=BB$3+6),"▼",IF(AND($E80&gt;=BB$3,$E80&lt;=BB$3+6),$A80,"")))</f>
        <v/>
      </c>
      <c r="BC80" s="47" t="str">
        <f aca="false">IF($A80="","",IF(AND(INDEX(工程マスタ!$I$5:$I$154,$A80)="○",$E80&gt;=BC$3,$E80&lt;=BC$3+6),"▼",IF(AND($E80&gt;=BC$3,$E80&lt;=BC$3+6),$A80,"")))</f>
        <v/>
      </c>
      <c r="BD80" s="47" t="str">
        <f aca="false">IF($A80="","",IF(AND(INDEX(工程マスタ!$I$5:$I$154,$A80)="○",$E80&gt;=BD$3,$E80&lt;=BD$3+6),"▼",IF(AND($E80&gt;=BD$3,$E80&lt;=BD$3+6),$A80,"")))</f>
        <v/>
      </c>
      <c r="BE80" s="47" t="str">
        <f aca="false">IF($A80="","",IF(AND(INDEX(工程マスタ!$I$5:$I$154,$A80)="○",$E80&gt;=BE$3,$E80&lt;=BE$3+6),"▼",IF(AND($E80&gt;=BE$3,$E80&lt;=BE$3+6),$A80,"")))</f>
        <v/>
      </c>
      <c r="BF80" s="47" t="str">
        <f aca="false">IF($A80="","",IF(AND(INDEX(工程マスタ!$I$5:$I$154,$A80)="○",$E80&gt;=BF$3,$E80&lt;=BF$3+6),"▼",IF(AND($E80&gt;=BF$3,$E80&lt;=BF$3+6),$A80,"")))</f>
        <v/>
      </c>
      <c r="BG80" s="47" t="str">
        <f aca="false">IF($A80="","",IF(AND(INDEX(工程マスタ!$I$5:$I$154,$A80)="○",$E80&gt;=BG$3,$E80&lt;=BG$3+6),"▼",IF(AND($E80&gt;=BG$3,$E80&lt;=BG$3+6),$A80,"")))</f>
        <v/>
      </c>
      <c r="BH80" s="47" t="str">
        <f aca="false">IF($A80="","",IF(AND(INDEX(工程マスタ!$I$5:$I$154,$A80)="○",$E80&gt;=BH$3,$E80&lt;=BH$3+6),"▼",IF(AND($E80&gt;=BH$3,$E80&lt;=BH$3+6),$A80,"")))</f>
        <v/>
      </c>
      <c r="BI80" s="47" t="str">
        <f aca="false">IF($A80="","",IF(AND(INDEX(工程マスタ!$I$5:$I$154,$A80)="○",$E80&gt;=BI$3,$E80&lt;=BI$3+6),"▼",IF(AND($E80&gt;=BI$3,$E80&lt;=BI$3+6),$A80,"")))</f>
        <v/>
      </c>
      <c r="BJ80" s="47" t="str">
        <f aca="false">IF($A80="","",IF(AND(INDEX(工程マスタ!$I$5:$I$154,$A80)="○",$E80&gt;=BJ$3,$E80&lt;=BJ$3+6),"▼",IF(AND($E80&gt;=BJ$3,$E80&lt;=BJ$3+6),$A80,"")))</f>
        <v/>
      </c>
    </row>
    <row r="81" customFormat="false" ht="15" hidden="false" customHeight="false" outlineLevel="0" collapsed="false">
      <c r="A81" s="28" t="str">
        <f aca="false">IF(工程マスタ!$C79="","",工程マスタ!$A79)</f>
        <v/>
      </c>
      <c r="B81" s="46" t="str">
        <f aca="false">IF($A81="","",工程マスタ!$C79)</f>
        <v/>
      </c>
      <c r="C81" s="28" t="str">
        <f aca="false">IF($A81="","",MAX(1,工程マスタ!$G79))</f>
        <v/>
      </c>
      <c r="D81" s="28" t="str">
        <f aca="false">IF($A81="","",_xlfn.TEXTJOIN(",",TRUE(),工程マスタ!$N79:$P79))</f>
        <v/>
      </c>
      <c r="E81" s="29" t="str">
        <f aca="false">IF($A81="","",IF(COUNT(工程マスタ!$N79:$P79)=0,設定!$B$8,MAX(IF(工程マスタ!$N79="",0,INDEX($F$7:$F$156,工程マスタ!$N79)),IF(工程マスタ!$O79="",0,INDEX($F$7:$F$156,工程マスタ!$O79)),IF(工程マスタ!$P79="",0,INDEX($F$7:$F$156,工程マスタ!$P79)))+1))</f>
        <v/>
      </c>
      <c r="F81" s="29" t="str">
        <f aca="false">IF($A81="","",$E81+$C81-1)</f>
        <v/>
      </c>
      <c r="G81" s="29" t="str">
        <f aca="false">IF($A81="","",$H81-$C81+1)</f>
        <v/>
      </c>
      <c r="H81" s="29" t="str">
        <f aca="false" t="array" ref="H81:H81">IF($A81="","",IF(SUMPRODUCT((工程マスタ!$N$80:$N$154=$A81)*1)+SUMPRODUCT((工程マスタ!$O$80:$O$154=$A81)*1)+SUMPRODUCT((工程マスタ!$P$80:$P$154=$A81)*1)=0,MAX($F$7:$F$156),MIN(IF((工程マスタ!$N$80:$N$154=$A81)+(工程マスタ!$O$80:$O$154=$A81)+(工程マスタ!$P$80:$P$154=$A81),$G82:$G$156))-1))</f>
        <v/>
      </c>
      <c r="I81" s="28" t="str">
        <f aca="false">IF($A81="","",$G81-$E81)</f>
        <v/>
      </c>
      <c r="J81" s="28" t="str">
        <f aca="false">IF($A81="","",IF($I81&lt;=0,"●",""))</f>
        <v/>
      </c>
      <c r="K81" s="47" t="str">
        <f aca="false">IF($A81="","",IF(AND(INDEX(工程マスタ!$I$5:$I$154,$A81)="○",$E81&gt;=K$3,$E81&lt;=K$3+6),"▼",IF(AND($E81&gt;=K$3,$E81&lt;=K$3+6),$A81,"")))</f>
        <v/>
      </c>
      <c r="L81" s="47" t="str">
        <f aca="false">IF($A81="","",IF(AND(INDEX(工程マスタ!$I$5:$I$154,$A81)="○",$E81&gt;=L$3,$E81&lt;=L$3+6),"▼",IF(AND($E81&gt;=L$3,$E81&lt;=L$3+6),$A81,"")))</f>
        <v/>
      </c>
      <c r="M81" s="47" t="str">
        <f aca="false">IF($A81="","",IF(AND(INDEX(工程マスタ!$I$5:$I$154,$A81)="○",$E81&gt;=M$3,$E81&lt;=M$3+6),"▼",IF(AND($E81&gt;=M$3,$E81&lt;=M$3+6),$A81,"")))</f>
        <v/>
      </c>
      <c r="N81" s="47" t="str">
        <f aca="false">IF($A81="","",IF(AND(INDEX(工程マスタ!$I$5:$I$154,$A81)="○",$E81&gt;=N$3,$E81&lt;=N$3+6),"▼",IF(AND($E81&gt;=N$3,$E81&lt;=N$3+6),$A81,"")))</f>
        <v/>
      </c>
      <c r="O81" s="47" t="str">
        <f aca="false">IF($A81="","",IF(AND(INDEX(工程マスタ!$I$5:$I$154,$A81)="○",$E81&gt;=O$3,$E81&lt;=O$3+6),"▼",IF(AND($E81&gt;=O$3,$E81&lt;=O$3+6),$A81,"")))</f>
        <v/>
      </c>
      <c r="P81" s="47" t="str">
        <f aca="false">IF($A81="","",IF(AND(INDEX(工程マスタ!$I$5:$I$154,$A81)="○",$E81&gt;=P$3,$E81&lt;=P$3+6),"▼",IF(AND($E81&gt;=P$3,$E81&lt;=P$3+6),$A81,"")))</f>
        <v/>
      </c>
      <c r="Q81" s="47" t="str">
        <f aca="false">IF($A81="","",IF(AND(INDEX(工程マスタ!$I$5:$I$154,$A81)="○",$E81&gt;=Q$3,$E81&lt;=Q$3+6),"▼",IF(AND($E81&gt;=Q$3,$E81&lt;=Q$3+6),$A81,"")))</f>
        <v/>
      </c>
      <c r="R81" s="47" t="str">
        <f aca="false">IF($A81="","",IF(AND(INDEX(工程マスタ!$I$5:$I$154,$A81)="○",$E81&gt;=R$3,$E81&lt;=R$3+6),"▼",IF(AND($E81&gt;=R$3,$E81&lt;=R$3+6),$A81,"")))</f>
        <v/>
      </c>
      <c r="S81" s="47" t="str">
        <f aca="false">IF($A81="","",IF(AND(INDEX(工程マスタ!$I$5:$I$154,$A81)="○",$E81&gt;=S$3,$E81&lt;=S$3+6),"▼",IF(AND($E81&gt;=S$3,$E81&lt;=S$3+6),$A81,"")))</f>
        <v/>
      </c>
      <c r="T81" s="47" t="str">
        <f aca="false">IF($A81="","",IF(AND(INDEX(工程マスタ!$I$5:$I$154,$A81)="○",$E81&gt;=T$3,$E81&lt;=T$3+6),"▼",IF(AND($E81&gt;=T$3,$E81&lt;=T$3+6),$A81,"")))</f>
        <v/>
      </c>
      <c r="U81" s="47" t="str">
        <f aca="false">IF($A81="","",IF(AND(INDEX(工程マスタ!$I$5:$I$154,$A81)="○",$E81&gt;=U$3,$E81&lt;=U$3+6),"▼",IF(AND($E81&gt;=U$3,$E81&lt;=U$3+6),$A81,"")))</f>
        <v/>
      </c>
      <c r="V81" s="47" t="str">
        <f aca="false">IF($A81="","",IF(AND(INDEX(工程マスタ!$I$5:$I$154,$A81)="○",$E81&gt;=V$3,$E81&lt;=V$3+6),"▼",IF(AND($E81&gt;=V$3,$E81&lt;=V$3+6),$A81,"")))</f>
        <v/>
      </c>
      <c r="W81" s="47" t="str">
        <f aca="false">IF($A81="","",IF(AND(INDEX(工程マスタ!$I$5:$I$154,$A81)="○",$E81&gt;=W$3,$E81&lt;=W$3+6),"▼",IF(AND($E81&gt;=W$3,$E81&lt;=W$3+6),$A81,"")))</f>
        <v/>
      </c>
      <c r="X81" s="47" t="str">
        <f aca="false">IF($A81="","",IF(AND(INDEX(工程マスタ!$I$5:$I$154,$A81)="○",$E81&gt;=X$3,$E81&lt;=X$3+6),"▼",IF(AND($E81&gt;=X$3,$E81&lt;=X$3+6),$A81,"")))</f>
        <v/>
      </c>
      <c r="Y81" s="47" t="str">
        <f aca="false">IF($A81="","",IF(AND(INDEX(工程マスタ!$I$5:$I$154,$A81)="○",$E81&gt;=Y$3,$E81&lt;=Y$3+6),"▼",IF(AND($E81&gt;=Y$3,$E81&lt;=Y$3+6),$A81,"")))</f>
        <v/>
      </c>
      <c r="Z81" s="47" t="str">
        <f aca="false">IF($A81="","",IF(AND(INDEX(工程マスタ!$I$5:$I$154,$A81)="○",$E81&gt;=Z$3,$E81&lt;=Z$3+6),"▼",IF(AND($E81&gt;=Z$3,$E81&lt;=Z$3+6),$A81,"")))</f>
        <v/>
      </c>
      <c r="AA81" s="47" t="str">
        <f aca="false">IF($A81="","",IF(AND(INDEX(工程マスタ!$I$5:$I$154,$A81)="○",$E81&gt;=AA$3,$E81&lt;=AA$3+6),"▼",IF(AND($E81&gt;=AA$3,$E81&lt;=AA$3+6),$A81,"")))</f>
        <v/>
      </c>
      <c r="AB81" s="47" t="str">
        <f aca="false">IF($A81="","",IF(AND(INDEX(工程マスタ!$I$5:$I$154,$A81)="○",$E81&gt;=AB$3,$E81&lt;=AB$3+6),"▼",IF(AND($E81&gt;=AB$3,$E81&lt;=AB$3+6),$A81,"")))</f>
        <v/>
      </c>
      <c r="AC81" s="47" t="str">
        <f aca="false">IF($A81="","",IF(AND(INDEX(工程マスタ!$I$5:$I$154,$A81)="○",$E81&gt;=AC$3,$E81&lt;=AC$3+6),"▼",IF(AND($E81&gt;=AC$3,$E81&lt;=AC$3+6),$A81,"")))</f>
        <v/>
      </c>
      <c r="AD81" s="47" t="str">
        <f aca="false">IF($A81="","",IF(AND(INDEX(工程マスタ!$I$5:$I$154,$A81)="○",$E81&gt;=AD$3,$E81&lt;=AD$3+6),"▼",IF(AND($E81&gt;=AD$3,$E81&lt;=AD$3+6),$A81,"")))</f>
        <v/>
      </c>
      <c r="AE81" s="47" t="str">
        <f aca="false">IF($A81="","",IF(AND(INDEX(工程マスタ!$I$5:$I$154,$A81)="○",$E81&gt;=AE$3,$E81&lt;=AE$3+6),"▼",IF(AND($E81&gt;=AE$3,$E81&lt;=AE$3+6),$A81,"")))</f>
        <v/>
      </c>
      <c r="AF81" s="47" t="str">
        <f aca="false">IF($A81="","",IF(AND(INDEX(工程マスタ!$I$5:$I$154,$A81)="○",$E81&gt;=AF$3,$E81&lt;=AF$3+6),"▼",IF(AND($E81&gt;=AF$3,$E81&lt;=AF$3+6),$A81,"")))</f>
        <v/>
      </c>
      <c r="AG81" s="47" t="str">
        <f aca="false">IF($A81="","",IF(AND(INDEX(工程マスタ!$I$5:$I$154,$A81)="○",$E81&gt;=AG$3,$E81&lt;=AG$3+6),"▼",IF(AND($E81&gt;=AG$3,$E81&lt;=AG$3+6),$A81,"")))</f>
        <v/>
      </c>
      <c r="AH81" s="47" t="str">
        <f aca="false">IF($A81="","",IF(AND(INDEX(工程マスタ!$I$5:$I$154,$A81)="○",$E81&gt;=AH$3,$E81&lt;=AH$3+6),"▼",IF(AND($E81&gt;=AH$3,$E81&lt;=AH$3+6),$A81,"")))</f>
        <v/>
      </c>
      <c r="AI81" s="47" t="str">
        <f aca="false">IF($A81="","",IF(AND(INDEX(工程マスタ!$I$5:$I$154,$A81)="○",$E81&gt;=AI$3,$E81&lt;=AI$3+6),"▼",IF(AND($E81&gt;=AI$3,$E81&lt;=AI$3+6),$A81,"")))</f>
        <v/>
      </c>
      <c r="AJ81" s="47" t="str">
        <f aca="false">IF($A81="","",IF(AND(INDEX(工程マスタ!$I$5:$I$154,$A81)="○",$E81&gt;=AJ$3,$E81&lt;=AJ$3+6),"▼",IF(AND($E81&gt;=AJ$3,$E81&lt;=AJ$3+6),$A81,"")))</f>
        <v/>
      </c>
      <c r="AK81" s="47" t="str">
        <f aca="false">IF($A81="","",IF(AND(INDEX(工程マスタ!$I$5:$I$154,$A81)="○",$E81&gt;=AK$3,$E81&lt;=AK$3+6),"▼",IF(AND($E81&gt;=AK$3,$E81&lt;=AK$3+6),$A81,"")))</f>
        <v/>
      </c>
      <c r="AL81" s="47" t="str">
        <f aca="false">IF($A81="","",IF(AND(INDEX(工程マスタ!$I$5:$I$154,$A81)="○",$E81&gt;=AL$3,$E81&lt;=AL$3+6),"▼",IF(AND($E81&gt;=AL$3,$E81&lt;=AL$3+6),$A81,"")))</f>
        <v/>
      </c>
      <c r="AM81" s="47" t="str">
        <f aca="false">IF($A81="","",IF(AND(INDEX(工程マスタ!$I$5:$I$154,$A81)="○",$E81&gt;=AM$3,$E81&lt;=AM$3+6),"▼",IF(AND($E81&gt;=AM$3,$E81&lt;=AM$3+6),$A81,"")))</f>
        <v/>
      </c>
      <c r="AN81" s="47" t="str">
        <f aca="false">IF($A81="","",IF(AND(INDEX(工程マスタ!$I$5:$I$154,$A81)="○",$E81&gt;=AN$3,$E81&lt;=AN$3+6),"▼",IF(AND($E81&gt;=AN$3,$E81&lt;=AN$3+6),$A81,"")))</f>
        <v/>
      </c>
      <c r="AO81" s="47" t="str">
        <f aca="false">IF($A81="","",IF(AND(INDEX(工程マスタ!$I$5:$I$154,$A81)="○",$E81&gt;=AO$3,$E81&lt;=AO$3+6),"▼",IF(AND($E81&gt;=AO$3,$E81&lt;=AO$3+6),$A81,"")))</f>
        <v/>
      </c>
      <c r="AP81" s="47" t="str">
        <f aca="false">IF($A81="","",IF(AND(INDEX(工程マスタ!$I$5:$I$154,$A81)="○",$E81&gt;=AP$3,$E81&lt;=AP$3+6),"▼",IF(AND($E81&gt;=AP$3,$E81&lt;=AP$3+6),$A81,"")))</f>
        <v/>
      </c>
      <c r="AQ81" s="47" t="str">
        <f aca="false">IF($A81="","",IF(AND(INDEX(工程マスタ!$I$5:$I$154,$A81)="○",$E81&gt;=AQ$3,$E81&lt;=AQ$3+6),"▼",IF(AND($E81&gt;=AQ$3,$E81&lt;=AQ$3+6),$A81,"")))</f>
        <v/>
      </c>
      <c r="AR81" s="47" t="str">
        <f aca="false">IF($A81="","",IF(AND(INDEX(工程マスタ!$I$5:$I$154,$A81)="○",$E81&gt;=AR$3,$E81&lt;=AR$3+6),"▼",IF(AND($E81&gt;=AR$3,$E81&lt;=AR$3+6),$A81,"")))</f>
        <v/>
      </c>
      <c r="AS81" s="47" t="str">
        <f aca="false">IF($A81="","",IF(AND(INDEX(工程マスタ!$I$5:$I$154,$A81)="○",$E81&gt;=AS$3,$E81&lt;=AS$3+6),"▼",IF(AND($E81&gt;=AS$3,$E81&lt;=AS$3+6),$A81,"")))</f>
        <v/>
      </c>
      <c r="AT81" s="47" t="str">
        <f aca="false">IF($A81="","",IF(AND(INDEX(工程マスタ!$I$5:$I$154,$A81)="○",$E81&gt;=AT$3,$E81&lt;=AT$3+6),"▼",IF(AND($E81&gt;=AT$3,$E81&lt;=AT$3+6),$A81,"")))</f>
        <v/>
      </c>
      <c r="AU81" s="47" t="str">
        <f aca="false">IF($A81="","",IF(AND(INDEX(工程マスタ!$I$5:$I$154,$A81)="○",$E81&gt;=AU$3,$E81&lt;=AU$3+6),"▼",IF(AND($E81&gt;=AU$3,$E81&lt;=AU$3+6),$A81,"")))</f>
        <v/>
      </c>
      <c r="AV81" s="47" t="str">
        <f aca="false">IF($A81="","",IF(AND(INDEX(工程マスタ!$I$5:$I$154,$A81)="○",$E81&gt;=AV$3,$E81&lt;=AV$3+6),"▼",IF(AND($E81&gt;=AV$3,$E81&lt;=AV$3+6),$A81,"")))</f>
        <v/>
      </c>
      <c r="AW81" s="47" t="str">
        <f aca="false">IF($A81="","",IF(AND(INDEX(工程マスタ!$I$5:$I$154,$A81)="○",$E81&gt;=AW$3,$E81&lt;=AW$3+6),"▼",IF(AND($E81&gt;=AW$3,$E81&lt;=AW$3+6),$A81,"")))</f>
        <v/>
      </c>
      <c r="AX81" s="47" t="str">
        <f aca="false">IF($A81="","",IF(AND(INDEX(工程マスタ!$I$5:$I$154,$A81)="○",$E81&gt;=AX$3,$E81&lt;=AX$3+6),"▼",IF(AND($E81&gt;=AX$3,$E81&lt;=AX$3+6),$A81,"")))</f>
        <v/>
      </c>
      <c r="AY81" s="47" t="str">
        <f aca="false">IF($A81="","",IF(AND(INDEX(工程マスタ!$I$5:$I$154,$A81)="○",$E81&gt;=AY$3,$E81&lt;=AY$3+6),"▼",IF(AND($E81&gt;=AY$3,$E81&lt;=AY$3+6),$A81,"")))</f>
        <v/>
      </c>
      <c r="AZ81" s="47" t="str">
        <f aca="false">IF($A81="","",IF(AND(INDEX(工程マスタ!$I$5:$I$154,$A81)="○",$E81&gt;=AZ$3,$E81&lt;=AZ$3+6),"▼",IF(AND($E81&gt;=AZ$3,$E81&lt;=AZ$3+6),$A81,"")))</f>
        <v/>
      </c>
      <c r="BA81" s="47" t="str">
        <f aca="false">IF($A81="","",IF(AND(INDEX(工程マスタ!$I$5:$I$154,$A81)="○",$E81&gt;=BA$3,$E81&lt;=BA$3+6),"▼",IF(AND($E81&gt;=BA$3,$E81&lt;=BA$3+6),$A81,"")))</f>
        <v/>
      </c>
      <c r="BB81" s="47" t="str">
        <f aca="false">IF($A81="","",IF(AND(INDEX(工程マスタ!$I$5:$I$154,$A81)="○",$E81&gt;=BB$3,$E81&lt;=BB$3+6),"▼",IF(AND($E81&gt;=BB$3,$E81&lt;=BB$3+6),$A81,"")))</f>
        <v/>
      </c>
      <c r="BC81" s="47" t="str">
        <f aca="false">IF($A81="","",IF(AND(INDEX(工程マスタ!$I$5:$I$154,$A81)="○",$E81&gt;=BC$3,$E81&lt;=BC$3+6),"▼",IF(AND($E81&gt;=BC$3,$E81&lt;=BC$3+6),$A81,"")))</f>
        <v/>
      </c>
      <c r="BD81" s="47" t="str">
        <f aca="false">IF($A81="","",IF(AND(INDEX(工程マスタ!$I$5:$I$154,$A81)="○",$E81&gt;=BD$3,$E81&lt;=BD$3+6),"▼",IF(AND($E81&gt;=BD$3,$E81&lt;=BD$3+6),$A81,"")))</f>
        <v/>
      </c>
      <c r="BE81" s="47" t="str">
        <f aca="false">IF($A81="","",IF(AND(INDEX(工程マスタ!$I$5:$I$154,$A81)="○",$E81&gt;=BE$3,$E81&lt;=BE$3+6),"▼",IF(AND($E81&gt;=BE$3,$E81&lt;=BE$3+6),$A81,"")))</f>
        <v/>
      </c>
      <c r="BF81" s="47" t="str">
        <f aca="false">IF($A81="","",IF(AND(INDEX(工程マスタ!$I$5:$I$154,$A81)="○",$E81&gt;=BF$3,$E81&lt;=BF$3+6),"▼",IF(AND($E81&gt;=BF$3,$E81&lt;=BF$3+6),$A81,"")))</f>
        <v/>
      </c>
      <c r="BG81" s="47" t="str">
        <f aca="false">IF($A81="","",IF(AND(INDEX(工程マスタ!$I$5:$I$154,$A81)="○",$E81&gt;=BG$3,$E81&lt;=BG$3+6),"▼",IF(AND($E81&gt;=BG$3,$E81&lt;=BG$3+6),$A81,"")))</f>
        <v/>
      </c>
      <c r="BH81" s="47" t="str">
        <f aca="false">IF($A81="","",IF(AND(INDEX(工程マスタ!$I$5:$I$154,$A81)="○",$E81&gt;=BH$3,$E81&lt;=BH$3+6),"▼",IF(AND($E81&gt;=BH$3,$E81&lt;=BH$3+6),$A81,"")))</f>
        <v/>
      </c>
      <c r="BI81" s="47" t="str">
        <f aca="false">IF($A81="","",IF(AND(INDEX(工程マスタ!$I$5:$I$154,$A81)="○",$E81&gt;=BI$3,$E81&lt;=BI$3+6),"▼",IF(AND($E81&gt;=BI$3,$E81&lt;=BI$3+6),$A81,"")))</f>
        <v/>
      </c>
      <c r="BJ81" s="47" t="str">
        <f aca="false">IF($A81="","",IF(AND(INDEX(工程マスタ!$I$5:$I$154,$A81)="○",$E81&gt;=BJ$3,$E81&lt;=BJ$3+6),"▼",IF(AND($E81&gt;=BJ$3,$E81&lt;=BJ$3+6),$A81,"")))</f>
        <v/>
      </c>
    </row>
    <row r="82" customFormat="false" ht="15" hidden="false" customHeight="false" outlineLevel="0" collapsed="false">
      <c r="A82" s="28" t="str">
        <f aca="false">IF(工程マスタ!$C80="","",工程マスタ!$A80)</f>
        <v/>
      </c>
      <c r="B82" s="46" t="str">
        <f aca="false">IF($A82="","",工程マスタ!$C80)</f>
        <v/>
      </c>
      <c r="C82" s="28" t="str">
        <f aca="false">IF($A82="","",MAX(1,工程マスタ!$G80))</f>
        <v/>
      </c>
      <c r="D82" s="28" t="str">
        <f aca="false">IF($A82="","",_xlfn.TEXTJOIN(",",TRUE(),工程マスタ!$N80:$P80))</f>
        <v/>
      </c>
      <c r="E82" s="29" t="str">
        <f aca="false">IF($A82="","",IF(COUNT(工程マスタ!$N80:$P80)=0,設定!$B$8,MAX(IF(工程マスタ!$N80="",0,INDEX($F$7:$F$156,工程マスタ!$N80)),IF(工程マスタ!$O80="",0,INDEX($F$7:$F$156,工程マスタ!$O80)),IF(工程マスタ!$P80="",0,INDEX($F$7:$F$156,工程マスタ!$P80)))+1))</f>
        <v/>
      </c>
      <c r="F82" s="29" t="str">
        <f aca="false">IF($A82="","",$E82+$C82-1)</f>
        <v/>
      </c>
      <c r="G82" s="29" t="str">
        <f aca="false">IF($A82="","",$H82-$C82+1)</f>
        <v/>
      </c>
      <c r="H82" s="29" t="str">
        <f aca="false" t="array" ref="H82:H82">IF($A82="","",IF(SUMPRODUCT((工程マスタ!$N$81:$N$154=$A82)*1)+SUMPRODUCT((工程マスタ!$O$81:$O$154=$A82)*1)+SUMPRODUCT((工程マスタ!$P$81:$P$154=$A82)*1)=0,MAX($F$7:$F$156),MIN(IF((工程マスタ!$N$81:$N$154=$A82)+(工程マスタ!$O$81:$O$154=$A82)+(工程マスタ!$P$81:$P$154=$A82),$G83:$G$156))-1))</f>
        <v/>
      </c>
      <c r="I82" s="28" t="str">
        <f aca="false">IF($A82="","",$G82-$E82)</f>
        <v/>
      </c>
      <c r="J82" s="28" t="str">
        <f aca="false">IF($A82="","",IF($I82&lt;=0,"●",""))</f>
        <v/>
      </c>
      <c r="K82" s="47" t="str">
        <f aca="false">IF($A82="","",IF(AND(INDEX(工程マスタ!$I$5:$I$154,$A82)="○",$E82&gt;=K$3,$E82&lt;=K$3+6),"▼",IF(AND($E82&gt;=K$3,$E82&lt;=K$3+6),$A82,"")))</f>
        <v/>
      </c>
      <c r="L82" s="47" t="str">
        <f aca="false">IF($A82="","",IF(AND(INDEX(工程マスタ!$I$5:$I$154,$A82)="○",$E82&gt;=L$3,$E82&lt;=L$3+6),"▼",IF(AND($E82&gt;=L$3,$E82&lt;=L$3+6),$A82,"")))</f>
        <v/>
      </c>
      <c r="M82" s="47" t="str">
        <f aca="false">IF($A82="","",IF(AND(INDEX(工程マスタ!$I$5:$I$154,$A82)="○",$E82&gt;=M$3,$E82&lt;=M$3+6),"▼",IF(AND($E82&gt;=M$3,$E82&lt;=M$3+6),$A82,"")))</f>
        <v/>
      </c>
      <c r="N82" s="47" t="str">
        <f aca="false">IF($A82="","",IF(AND(INDEX(工程マスタ!$I$5:$I$154,$A82)="○",$E82&gt;=N$3,$E82&lt;=N$3+6),"▼",IF(AND($E82&gt;=N$3,$E82&lt;=N$3+6),$A82,"")))</f>
        <v/>
      </c>
      <c r="O82" s="47" t="str">
        <f aca="false">IF($A82="","",IF(AND(INDEX(工程マスタ!$I$5:$I$154,$A82)="○",$E82&gt;=O$3,$E82&lt;=O$3+6),"▼",IF(AND($E82&gt;=O$3,$E82&lt;=O$3+6),$A82,"")))</f>
        <v/>
      </c>
      <c r="P82" s="47" t="str">
        <f aca="false">IF($A82="","",IF(AND(INDEX(工程マスタ!$I$5:$I$154,$A82)="○",$E82&gt;=P$3,$E82&lt;=P$3+6),"▼",IF(AND($E82&gt;=P$3,$E82&lt;=P$3+6),$A82,"")))</f>
        <v/>
      </c>
      <c r="Q82" s="47" t="str">
        <f aca="false">IF($A82="","",IF(AND(INDEX(工程マスタ!$I$5:$I$154,$A82)="○",$E82&gt;=Q$3,$E82&lt;=Q$3+6),"▼",IF(AND($E82&gt;=Q$3,$E82&lt;=Q$3+6),$A82,"")))</f>
        <v/>
      </c>
      <c r="R82" s="47" t="str">
        <f aca="false">IF($A82="","",IF(AND(INDEX(工程マスタ!$I$5:$I$154,$A82)="○",$E82&gt;=R$3,$E82&lt;=R$3+6),"▼",IF(AND($E82&gt;=R$3,$E82&lt;=R$3+6),$A82,"")))</f>
        <v/>
      </c>
      <c r="S82" s="47" t="str">
        <f aca="false">IF($A82="","",IF(AND(INDEX(工程マスタ!$I$5:$I$154,$A82)="○",$E82&gt;=S$3,$E82&lt;=S$3+6),"▼",IF(AND($E82&gt;=S$3,$E82&lt;=S$3+6),$A82,"")))</f>
        <v/>
      </c>
      <c r="T82" s="47" t="str">
        <f aca="false">IF($A82="","",IF(AND(INDEX(工程マスタ!$I$5:$I$154,$A82)="○",$E82&gt;=T$3,$E82&lt;=T$3+6),"▼",IF(AND($E82&gt;=T$3,$E82&lt;=T$3+6),$A82,"")))</f>
        <v/>
      </c>
      <c r="U82" s="47" t="str">
        <f aca="false">IF($A82="","",IF(AND(INDEX(工程マスタ!$I$5:$I$154,$A82)="○",$E82&gt;=U$3,$E82&lt;=U$3+6),"▼",IF(AND($E82&gt;=U$3,$E82&lt;=U$3+6),$A82,"")))</f>
        <v/>
      </c>
      <c r="V82" s="47" t="str">
        <f aca="false">IF($A82="","",IF(AND(INDEX(工程マスタ!$I$5:$I$154,$A82)="○",$E82&gt;=V$3,$E82&lt;=V$3+6),"▼",IF(AND($E82&gt;=V$3,$E82&lt;=V$3+6),$A82,"")))</f>
        <v/>
      </c>
      <c r="W82" s="47" t="str">
        <f aca="false">IF($A82="","",IF(AND(INDEX(工程マスタ!$I$5:$I$154,$A82)="○",$E82&gt;=W$3,$E82&lt;=W$3+6),"▼",IF(AND($E82&gt;=W$3,$E82&lt;=W$3+6),$A82,"")))</f>
        <v/>
      </c>
      <c r="X82" s="47" t="str">
        <f aca="false">IF($A82="","",IF(AND(INDEX(工程マスタ!$I$5:$I$154,$A82)="○",$E82&gt;=X$3,$E82&lt;=X$3+6),"▼",IF(AND($E82&gt;=X$3,$E82&lt;=X$3+6),$A82,"")))</f>
        <v/>
      </c>
      <c r="Y82" s="47" t="str">
        <f aca="false">IF($A82="","",IF(AND(INDEX(工程マスタ!$I$5:$I$154,$A82)="○",$E82&gt;=Y$3,$E82&lt;=Y$3+6),"▼",IF(AND($E82&gt;=Y$3,$E82&lt;=Y$3+6),$A82,"")))</f>
        <v/>
      </c>
      <c r="Z82" s="47" t="str">
        <f aca="false">IF($A82="","",IF(AND(INDEX(工程マスタ!$I$5:$I$154,$A82)="○",$E82&gt;=Z$3,$E82&lt;=Z$3+6),"▼",IF(AND($E82&gt;=Z$3,$E82&lt;=Z$3+6),$A82,"")))</f>
        <v/>
      </c>
      <c r="AA82" s="47" t="str">
        <f aca="false">IF($A82="","",IF(AND(INDEX(工程マスタ!$I$5:$I$154,$A82)="○",$E82&gt;=AA$3,$E82&lt;=AA$3+6),"▼",IF(AND($E82&gt;=AA$3,$E82&lt;=AA$3+6),$A82,"")))</f>
        <v/>
      </c>
      <c r="AB82" s="47" t="str">
        <f aca="false">IF($A82="","",IF(AND(INDEX(工程マスタ!$I$5:$I$154,$A82)="○",$E82&gt;=AB$3,$E82&lt;=AB$3+6),"▼",IF(AND($E82&gt;=AB$3,$E82&lt;=AB$3+6),$A82,"")))</f>
        <v/>
      </c>
      <c r="AC82" s="47" t="str">
        <f aca="false">IF($A82="","",IF(AND(INDEX(工程マスタ!$I$5:$I$154,$A82)="○",$E82&gt;=AC$3,$E82&lt;=AC$3+6),"▼",IF(AND($E82&gt;=AC$3,$E82&lt;=AC$3+6),$A82,"")))</f>
        <v/>
      </c>
      <c r="AD82" s="47" t="str">
        <f aca="false">IF($A82="","",IF(AND(INDEX(工程マスタ!$I$5:$I$154,$A82)="○",$E82&gt;=AD$3,$E82&lt;=AD$3+6),"▼",IF(AND($E82&gt;=AD$3,$E82&lt;=AD$3+6),$A82,"")))</f>
        <v/>
      </c>
      <c r="AE82" s="47" t="str">
        <f aca="false">IF($A82="","",IF(AND(INDEX(工程マスタ!$I$5:$I$154,$A82)="○",$E82&gt;=AE$3,$E82&lt;=AE$3+6),"▼",IF(AND($E82&gt;=AE$3,$E82&lt;=AE$3+6),$A82,"")))</f>
        <v/>
      </c>
      <c r="AF82" s="47" t="str">
        <f aca="false">IF($A82="","",IF(AND(INDEX(工程マスタ!$I$5:$I$154,$A82)="○",$E82&gt;=AF$3,$E82&lt;=AF$3+6),"▼",IF(AND($E82&gt;=AF$3,$E82&lt;=AF$3+6),$A82,"")))</f>
        <v/>
      </c>
      <c r="AG82" s="47" t="str">
        <f aca="false">IF($A82="","",IF(AND(INDEX(工程マスタ!$I$5:$I$154,$A82)="○",$E82&gt;=AG$3,$E82&lt;=AG$3+6),"▼",IF(AND($E82&gt;=AG$3,$E82&lt;=AG$3+6),$A82,"")))</f>
        <v/>
      </c>
      <c r="AH82" s="47" t="str">
        <f aca="false">IF($A82="","",IF(AND(INDEX(工程マスタ!$I$5:$I$154,$A82)="○",$E82&gt;=AH$3,$E82&lt;=AH$3+6),"▼",IF(AND($E82&gt;=AH$3,$E82&lt;=AH$3+6),$A82,"")))</f>
        <v/>
      </c>
      <c r="AI82" s="47" t="str">
        <f aca="false">IF($A82="","",IF(AND(INDEX(工程マスタ!$I$5:$I$154,$A82)="○",$E82&gt;=AI$3,$E82&lt;=AI$3+6),"▼",IF(AND($E82&gt;=AI$3,$E82&lt;=AI$3+6),$A82,"")))</f>
        <v/>
      </c>
      <c r="AJ82" s="47" t="str">
        <f aca="false">IF($A82="","",IF(AND(INDEX(工程マスタ!$I$5:$I$154,$A82)="○",$E82&gt;=AJ$3,$E82&lt;=AJ$3+6),"▼",IF(AND($E82&gt;=AJ$3,$E82&lt;=AJ$3+6),$A82,"")))</f>
        <v/>
      </c>
      <c r="AK82" s="47" t="str">
        <f aca="false">IF($A82="","",IF(AND(INDEX(工程マスタ!$I$5:$I$154,$A82)="○",$E82&gt;=AK$3,$E82&lt;=AK$3+6),"▼",IF(AND($E82&gt;=AK$3,$E82&lt;=AK$3+6),$A82,"")))</f>
        <v/>
      </c>
      <c r="AL82" s="47" t="str">
        <f aca="false">IF($A82="","",IF(AND(INDEX(工程マスタ!$I$5:$I$154,$A82)="○",$E82&gt;=AL$3,$E82&lt;=AL$3+6),"▼",IF(AND($E82&gt;=AL$3,$E82&lt;=AL$3+6),$A82,"")))</f>
        <v/>
      </c>
      <c r="AM82" s="47" t="str">
        <f aca="false">IF($A82="","",IF(AND(INDEX(工程マスタ!$I$5:$I$154,$A82)="○",$E82&gt;=AM$3,$E82&lt;=AM$3+6),"▼",IF(AND($E82&gt;=AM$3,$E82&lt;=AM$3+6),$A82,"")))</f>
        <v/>
      </c>
      <c r="AN82" s="47" t="str">
        <f aca="false">IF($A82="","",IF(AND(INDEX(工程マスタ!$I$5:$I$154,$A82)="○",$E82&gt;=AN$3,$E82&lt;=AN$3+6),"▼",IF(AND($E82&gt;=AN$3,$E82&lt;=AN$3+6),$A82,"")))</f>
        <v/>
      </c>
      <c r="AO82" s="47" t="str">
        <f aca="false">IF($A82="","",IF(AND(INDEX(工程マスタ!$I$5:$I$154,$A82)="○",$E82&gt;=AO$3,$E82&lt;=AO$3+6),"▼",IF(AND($E82&gt;=AO$3,$E82&lt;=AO$3+6),$A82,"")))</f>
        <v/>
      </c>
      <c r="AP82" s="47" t="str">
        <f aca="false">IF($A82="","",IF(AND(INDEX(工程マスタ!$I$5:$I$154,$A82)="○",$E82&gt;=AP$3,$E82&lt;=AP$3+6),"▼",IF(AND($E82&gt;=AP$3,$E82&lt;=AP$3+6),$A82,"")))</f>
        <v/>
      </c>
      <c r="AQ82" s="47" t="str">
        <f aca="false">IF($A82="","",IF(AND(INDEX(工程マスタ!$I$5:$I$154,$A82)="○",$E82&gt;=AQ$3,$E82&lt;=AQ$3+6),"▼",IF(AND($E82&gt;=AQ$3,$E82&lt;=AQ$3+6),$A82,"")))</f>
        <v/>
      </c>
      <c r="AR82" s="47" t="str">
        <f aca="false">IF($A82="","",IF(AND(INDEX(工程マスタ!$I$5:$I$154,$A82)="○",$E82&gt;=AR$3,$E82&lt;=AR$3+6),"▼",IF(AND($E82&gt;=AR$3,$E82&lt;=AR$3+6),$A82,"")))</f>
        <v/>
      </c>
      <c r="AS82" s="47" t="str">
        <f aca="false">IF($A82="","",IF(AND(INDEX(工程マスタ!$I$5:$I$154,$A82)="○",$E82&gt;=AS$3,$E82&lt;=AS$3+6),"▼",IF(AND($E82&gt;=AS$3,$E82&lt;=AS$3+6),$A82,"")))</f>
        <v/>
      </c>
      <c r="AT82" s="47" t="str">
        <f aca="false">IF($A82="","",IF(AND(INDEX(工程マスタ!$I$5:$I$154,$A82)="○",$E82&gt;=AT$3,$E82&lt;=AT$3+6),"▼",IF(AND($E82&gt;=AT$3,$E82&lt;=AT$3+6),$A82,"")))</f>
        <v/>
      </c>
      <c r="AU82" s="47" t="str">
        <f aca="false">IF($A82="","",IF(AND(INDEX(工程マスタ!$I$5:$I$154,$A82)="○",$E82&gt;=AU$3,$E82&lt;=AU$3+6),"▼",IF(AND($E82&gt;=AU$3,$E82&lt;=AU$3+6),$A82,"")))</f>
        <v/>
      </c>
      <c r="AV82" s="47" t="str">
        <f aca="false">IF($A82="","",IF(AND(INDEX(工程マスタ!$I$5:$I$154,$A82)="○",$E82&gt;=AV$3,$E82&lt;=AV$3+6),"▼",IF(AND($E82&gt;=AV$3,$E82&lt;=AV$3+6),$A82,"")))</f>
        <v/>
      </c>
      <c r="AW82" s="47" t="str">
        <f aca="false">IF($A82="","",IF(AND(INDEX(工程マスタ!$I$5:$I$154,$A82)="○",$E82&gt;=AW$3,$E82&lt;=AW$3+6),"▼",IF(AND($E82&gt;=AW$3,$E82&lt;=AW$3+6),$A82,"")))</f>
        <v/>
      </c>
      <c r="AX82" s="47" t="str">
        <f aca="false">IF($A82="","",IF(AND(INDEX(工程マスタ!$I$5:$I$154,$A82)="○",$E82&gt;=AX$3,$E82&lt;=AX$3+6),"▼",IF(AND($E82&gt;=AX$3,$E82&lt;=AX$3+6),$A82,"")))</f>
        <v/>
      </c>
      <c r="AY82" s="47" t="str">
        <f aca="false">IF($A82="","",IF(AND(INDEX(工程マスタ!$I$5:$I$154,$A82)="○",$E82&gt;=AY$3,$E82&lt;=AY$3+6),"▼",IF(AND($E82&gt;=AY$3,$E82&lt;=AY$3+6),$A82,"")))</f>
        <v/>
      </c>
      <c r="AZ82" s="47" t="str">
        <f aca="false">IF($A82="","",IF(AND(INDEX(工程マスタ!$I$5:$I$154,$A82)="○",$E82&gt;=AZ$3,$E82&lt;=AZ$3+6),"▼",IF(AND($E82&gt;=AZ$3,$E82&lt;=AZ$3+6),$A82,"")))</f>
        <v/>
      </c>
      <c r="BA82" s="47" t="str">
        <f aca="false">IF($A82="","",IF(AND(INDEX(工程マスタ!$I$5:$I$154,$A82)="○",$E82&gt;=BA$3,$E82&lt;=BA$3+6),"▼",IF(AND($E82&gt;=BA$3,$E82&lt;=BA$3+6),$A82,"")))</f>
        <v/>
      </c>
      <c r="BB82" s="47" t="str">
        <f aca="false">IF($A82="","",IF(AND(INDEX(工程マスタ!$I$5:$I$154,$A82)="○",$E82&gt;=BB$3,$E82&lt;=BB$3+6),"▼",IF(AND($E82&gt;=BB$3,$E82&lt;=BB$3+6),$A82,"")))</f>
        <v/>
      </c>
      <c r="BC82" s="47" t="str">
        <f aca="false">IF($A82="","",IF(AND(INDEX(工程マスタ!$I$5:$I$154,$A82)="○",$E82&gt;=BC$3,$E82&lt;=BC$3+6),"▼",IF(AND($E82&gt;=BC$3,$E82&lt;=BC$3+6),$A82,"")))</f>
        <v/>
      </c>
      <c r="BD82" s="47" t="str">
        <f aca="false">IF($A82="","",IF(AND(INDEX(工程マスタ!$I$5:$I$154,$A82)="○",$E82&gt;=BD$3,$E82&lt;=BD$3+6),"▼",IF(AND($E82&gt;=BD$3,$E82&lt;=BD$3+6),$A82,"")))</f>
        <v/>
      </c>
      <c r="BE82" s="47" t="str">
        <f aca="false">IF($A82="","",IF(AND(INDEX(工程マスタ!$I$5:$I$154,$A82)="○",$E82&gt;=BE$3,$E82&lt;=BE$3+6),"▼",IF(AND($E82&gt;=BE$3,$E82&lt;=BE$3+6),$A82,"")))</f>
        <v/>
      </c>
      <c r="BF82" s="47" t="str">
        <f aca="false">IF($A82="","",IF(AND(INDEX(工程マスタ!$I$5:$I$154,$A82)="○",$E82&gt;=BF$3,$E82&lt;=BF$3+6),"▼",IF(AND($E82&gt;=BF$3,$E82&lt;=BF$3+6),$A82,"")))</f>
        <v/>
      </c>
      <c r="BG82" s="47" t="str">
        <f aca="false">IF($A82="","",IF(AND(INDEX(工程マスタ!$I$5:$I$154,$A82)="○",$E82&gt;=BG$3,$E82&lt;=BG$3+6),"▼",IF(AND($E82&gt;=BG$3,$E82&lt;=BG$3+6),$A82,"")))</f>
        <v/>
      </c>
      <c r="BH82" s="47" t="str">
        <f aca="false">IF($A82="","",IF(AND(INDEX(工程マスタ!$I$5:$I$154,$A82)="○",$E82&gt;=BH$3,$E82&lt;=BH$3+6),"▼",IF(AND($E82&gt;=BH$3,$E82&lt;=BH$3+6),$A82,"")))</f>
        <v/>
      </c>
      <c r="BI82" s="47" t="str">
        <f aca="false">IF($A82="","",IF(AND(INDEX(工程マスタ!$I$5:$I$154,$A82)="○",$E82&gt;=BI$3,$E82&lt;=BI$3+6),"▼",IF(AND($E82&gt;=BI$3,$E82&lt;=BI$3+6),$A82,"")))</f>
        <v/>
      </c>
      <c r="BJ82" s="47" t="str">
        <f aca="false">IF($A82="","",IF(AND(INDEX(工程マスタ!$I$5:$I$154,$A82)="○",$E82&gt;=BJ$3,$E82&lt;=BJ$3+6),"▼",IF(AND($E82&gt;=BJ$3,$E82&lt;=BJ$3+6),$A82,"")))</f>
        <v/>
      </c>
    </row>
    <row r="83" customFormat="false" ht="15" hidden="false" customHeight="false" outlineLevel="0" collapsed="false">
      <c r="A83" s="28" t="str">
        <f aca="false">IF(工程マスタ!$C81="","",工程マスタ!$A81)</f>
        <v/>
      </c>
      <c r="B83" s="46" t="str">
        <f aca="false">IF($A83="","",工程マスタ!$C81)</f>
        <v/>
      </c>
      <c r="C83" s="28" t="str">
        <f aca="false">IF($A83="","",MAX(1,工程マスタ!$G81))</f>
        <v/>
      </c>
      <c r="D83" s="28" t="str">
        <f aca="false">IF($A83="","",_xlfn.TEXTJOIN(",",TRUE(),工程マスタ!$N81:$P81))</f>
        <v/>
      </c>
      <c r="E83" s="29" t="str">
        <f aca="false">IF($A83="","",IF(COUNT(工程マスタ!$N81:$P81)=0,設定!$B$8,MAX(IF(工程マスタ!$N81="",0,INDEX($F$7:$F$156,工程マスタ!$N81)),IF(工程マスタ!$O81="",0,INDEX($F$7:$F$156,工程マスタ!$O81)),IF(工程マスタ!$P81="",0,INDEX($F$7:$F$156,工程マスタ!$P81)))+1))</f>
        <v/>
      </c>
      <c r="F83" s="29" t="str">
        <f aca="false">IF($A83="","",$E83+$C83-1)</f>
        <v/>
      </c>
      <c r="G83" s="29" t="str">
        <f aca="false">IF($A83="","",$H83-$C83+1)</f>
        <v/>
      </c>
      <c r="H83" s="29" t="str">
        <f aca="false" t="array" ref="H83:H83">IF($A83="","",IF(SUMPRODUCT((工程マスタ!$N$82:$N$154=$A83)*1)+SUMPRODUCT((工程マスタ!$O$82:$O$154=$A83)*1)+SUMPRODUCT((工程マスタ!$P$82:$P$154=$A83)*1)=0,MAX($F$7:$F$156),MIN(IF((工程マスタ!$N$82:$N$154=$A83)+(工程マスタ!$O$82:$O$154=$A83)+(工程マスタ!$P$82:$P$154=$A83),$G84:$G$156))-1))</f>
        <v/>
      </c>
      <c r="I83" s="28" t="str">
        <f aca="false">IF($A83="","",$G83-$E83)</f>
        <v/>
      </c>
      <c r="J83" s="28" t="str">
        <f aca="false">IF($A83="","",IF($I83&lt;=0,"●",""))</f>
        <v/>
      </c>
      <c r="K83" s="47" t="str">
        <f aca="false">IF($A83="","",IF(AND(INDEX(工程マスタ!$I$5:$I$154,$A83)="○",$E83&gt;=K$3,$E83&lt;=K$3+6),"▼",IF(AND($E83&gt;=K$3,$E83&lt;=K$3+6),$A83,"")))</f>
        <v/>
      </c>
      <c r="L83" s="47" t="str">
        <f aca="false">IF($A83="","",IF(AND(INDEX(工程マスタ!$I$5:$I$154,$A83)="○",$E83&gt;=L$3,$E83&lt;=L$3+6),"▼",IF(AND($E83&gt;=L$3,$E83&lt;=L$3+6),$A83,"")))</f>
        <v/>
      </c>
      <c r="M83" s="47" t="str">
        <f aca="false">IF($A83="","",IF(AND(INDEX(工程マスタ!$I$5:$I$154,$A83)="○",$E83&gt;=M$3,$E83&lt;=M$3+6),"▼",IF(AND($E83&gt;=M$3,$E83&lt;=M$3+6),$A83,"")))</f>
        <v/>
      </c>
      <c r="N83" s="47" t="str">
        <f aca="false">IF($A83="","",IF(AND(INDEX(工程マスタ!$I$5:$I$154,$A83)="○",$E83&gt;=N$3,$E83&lt;=N$3+6),"▼",IF(AND($E83&gt;=N$3,$E83&lt;=N$3+6),$A83,"")))</f>
        <v/>
      </c>
      <c r="O83" s="47" t="str">
        <f aca="false">IF($A83="","",IF(AND(INDEX(工程マスタ!$I$5:$I$154,$A83)="○",$E83&gt;=O$3,$E83&lt;=O$3+6),"▼",IF(AND($E83&gt;=O$3,$E83&lt;=O$3+6),$A83,"")))</f>
        <v/>
      </c>
      <c r="P83" s="47" t="str">
        <f aca="false">IF($A83="","",IF(AND(INDEX(工程マスタ!$I$5:$I$154,$A83)="○",$E83&gt;=P$3,$E83&lt;=P$3+6),"▼",IF(AND($E83&gt;=P$3,$E83&lt;=P$3+6),$A83,"")))</f>
        <v/>
      </c>
      <c r="Q83" s="47" t="str">
        <f aca="false">IF($A83="","",IF(AND(INDEX(工程マスタ!$I$5:$I$154,$A83)="○",$E83&gt;=Q$3,$E83&lt;=Q$3+6),"▼",IF(AND($E83&gt;=Q$3,$E83&lt;=Q$3+6),$A83,"")))</f>
        <v/>
      </c>
      <c r="R83" s="47" t="str">
        <f aca="false">IF($A83="","",IF(AND(INDEX(工程マスタ!$I$5:$I$154,$A83)="○",$E83&gt;=R$3,$E83&lt;=R$3+6),"▼",IF(AND($E83&gt;=R$3,$E83&lt;=R$3+6),$A83,"")))</f>
        <v/>
      </c>
      <c r="S83" s="47" t="str">
        <f aca="false">IF($A83="","",IF(AND(INDEX(工程マスタ!$I$5:$I$154,$A83)="○",$E83&gt;=S$3,$E83&lt;=S$3+6),"▼",IF(AND($E83&gt;=S$3,$E83&lt;=S$3+6),$A83,"")))</f>
        <v/>
      </c>
      <c r="T83" s="47" t="str">
        <f aca="false">IF($A83="","",IF(AND(INDEX(工程マスタ!$I$5:$I$154,$A83)="○",$E83&gt;=T$3,$E83&lt;=T$3+6),"▼",IF(AND($E83&gt;=T$3,$E83&lt;=T$3+6),$A83,"")))</f>
        <v/>
      </c>
      <c r="U83" s="47" t="str">
        <f aca="false">IF($A83="","",IF(AND(INDEX(工程マスタ!$I$5:$I$154,$A83)="○",$E83&gt;=U$3,$E83&lt;=U$3+6),"▼",IF(AND($E83&gt;=U$3,$E83&lt;=U$3+6),$A83,"")))</f>
        <v/>
      </c>
      <c r="V83" s="47" t="str">
        <f aca="false">IF($A83="","",IF(AND(INDEX(工程マスタ!$I$5:$I$154,$A83)="○",$E83&gt;=V$3,$E83&lt;=V$3+6),"▼",IF(AND($E83&gt;=V$3,$E83&lt;=V$3+6),$A83,"")))</f>
        <v/>
      </c>
      <c r="W83" s="47" t="str">
        <f aca="false">IF($A83="","",IF(AND(INDEX(工程マスタ!$I$5:$I$154,$A83)="○",$E83&gt;=W$3,$E83&lt;=W$3+6),"▼",IF(AND($E83&gt;=W$3,$E83&lt;=W$3+6),$A83,"")))</f>
        <v/>
      </c>
      <c r="X83" s="47" t="str">
        <f aca="false">IF($A83="","",IF(AND(INDEX(工程マスタ!$I$5:$I$154,$A83)="○",$E83&gt;=X$3,$E83&lt;=X$3+6),"▼",IF(AND($E83&gt;=X$3,$E83&lt;=X$3+6),$A83,"")))</f>
        <v/>
      </c>
      <c r="Y83" s="47" t="str">
        <f aca="false">IF($A83="","",IF(AND(INDEX(工程マスタ!$I$5:$I$154,$A83)="○",$E83&gt;=Y$3,$E83&lt;=Y$3+6),"▼",IF(AND($E83&gt;=Y$3,$E83&lt;=Y$3+6),$A83,"")))</f>
        <v/>
      </c>
      <c r="Z83" s="47" t="str">
        <f aca="false">IF($A83="","",IF(AND(INDEX(工程マスタ!$I$5:$I$154,$A83)="○",$E83&gt;=Z$3,$E83&lt;=Z$3+6),"▼",IF(AND($E83&gt;=Z$3,$E83&lt;=Z$3+6),$A83,"")))</f>
        <v/>
      </c>
      <c r="AA83" s="47" t="str">
        <f aca="false">IF($A83="","",IF(AND(INDEX(工程マスタ!$I$5:$I$154,$A83)="○",$E83&gt;=AA$3,$E83&lt;=AA$3+6),"▼",IF(AND($E83&gt;=AA$3,$E83&lt;=AA$3+6),$A83,"")))</f>
        <v/>
      </c>
      <c r="AB83" s="47" t="str">
        <f aca="false">IF($A83="","",IF(AND(INDEX(工程マスタ!$I$5:$I$154,$A83)="○",$E83&gt;=AB$3,$E83&lt;=AB$3+6),"▼",IF(AND($E83&gt;=AB$3,$E83&lt;=AB$3+6),$A83,"")))</f>
        <v/>
      </c>
      <c r="AC83" s="47" t="str">
        <f aca="false">IF($A83="","",IF(AND(INDEX(工程マスタ!$I$5:$I$154,$A83)="○",$E83&gt;=AC$3,$E83&lt;=AC$3+6),"▼",IF(AND($E83&gt;=AC$3,$E83&lt;=AC$3+6),$A83,"")))</f>
        <v/>
      </c>
      <c r="AD83" s="47" t="str">
        <f aca="false">IF($A83="","",IF(AND(INDEX(工程マスタ!$I$5:$I$154,$A83)="○",$E83&gt;=AD$3,$E83&lt;=AD$3+6),"▼",IF(AND($E83&gt;=AD$3,$E83&lt;=AD$3+6),$A83,"")))</f>
        <v/>
      </c>
      <c r="AE83" s="47" t="str">
        <f aca="false">IF($A83="","",IF(AND(INDEX(工程マスタ!$I$5:$I$154,$A83)="○",$E83&gt;=AE$3,$E83&lt;=AE$3+6),"▼",IF(AND($E83&gt;=AE$3,$E83&lt;=AE$3+6),$A83,"")))</f>
        <v/>
      </c>
      <c r="AF83" s="47" t="str">
        <f aca="false">IF($A83="","",IF(AND(INDEX(工程マスタ!$I$5:$I$154,$A83)="○",$E83&gt;=AF$3,$E83&lt;=AF$3+6),"▼",IF(AND($E83&gt;=AF$3,$E83&lt;=AF$3+6),$A83,"")))</f>
        <v/>
      </c>
      <c r="AG83" s="47" t="str">
        <f aca="false">IF($A83="","",IF(AND(INDEX(工程マスタ!$I$5:$I$154,$A83)="○",$E83&gt;=AG$3,$E83&lt;=AG$3+6),"▼",IF(AND($E83&gt;=AG$3,$E83&lt;=AG$3+6),$A83,"")))</f>
        <v/>
      </c>
      <c r="AH83" s="47" t="str">
        <f aca="false">IF($A83="","",IF(AND(INDEX(工程マスタ!$I$5:$I$154,$A83)="○",$E83&gt;=AH$3,$E83&lt;=AH$3+6),"▼",IF(AND($E83&gt;=AH$3,$E83&lt;=AH$3+6),$A83,"")))</f>
        <v/>
      </c>
      <c r="AI83" s="47" t="str">
        <f aca="false">IF($A83="","",IF(AND(INDEX(工程マスタ!$I$5:$I$154,$A83)="○",$E83&gt;=AI$3,$E83&lt;=AI$3+6),"▼",IF(AND($E83&gt;=AI$3,$E83&lt;=AI$3+6),$A83,"")))</f>
        <v/>
      </c>
      <c r="AJ83" s="47" t="str">
        <f aca="false">IF($A83="","",IF(AND(INDEX(工程マスタ!$I$5:$I$154,$A83)="○",$E83&gt;=AJ$3,$E83&lt;=AJ$3+6),"▼",IF(AND($E83&gt;=AJ$3,$E83&lt;=AJ$3+6),$A83,"")))</f>
        <v/>
      </c>
      <c r="AK83" s="47" t="str">
        <f aca="false">IF($A83="","",IF(AND(INDEX(工程マスタ!$I$5:$I$154,$A83)="○",$E83&gt;=AK$3,$E83&lt;=AK$3+6),"▼",IF(AND($E83&gt;=AK$3,$E83&lt;=AK$3+6),$A83,"")))</f>
        <v/>
      </c>
      <c r="AL83" s="47" t="str">
        <f aca="false">IF($A83="","",IF(AND(INDEX(工程マスタ!$I$5:$I$154,$A83)="○",$E83&gt;=AL$3,$E83&lt;=AL$3+6),"▼",IF(AND($E83&gt;=AL$3,$E83&lt;=AL$3+6),$A83,"")))</f>
        <v/>
      </c>
      <c r="AM83" s="47" t="str">
        <f aca="false">IF($A83="","",IF(AND(INDEX(工程マスタ!$I$5:$I$154,$A83)="○",$E83&gt;=AM$3,$E83&lt;=AM$3+6),"▼",IF(AND($E83&gt;=AM$3,$E83&lt;=AM$3+6),$A83,"")))</f>
        <v/>
      </c>
      <c r="AN83" s="47" t="str">
        <f aca="false">IF($A83="","",IF(AND(INDEX(工程マスタ!$I$5:$I$154,$A83)="○",$E83&gt;=AN$3,$E83&lt;=AN$3+6),"▼",IF(AND($E83&gt;=AN$3,$E83&lt;=AN$3+6),$A83,"")))</f>
        <v/>
      </c>
      <c r="AO83" s="47" t="str">
        <f aca="false">IF($A83="","",IF(AND(INDEX(工程マスタ!$I$5:$I$154,$A83)="○",$E83&gt;=AO$3,$E83&lt;=AO$3+6),"▼",IF(AND($E83&gt;=AO$3,$E83&lt;=AO$3+6),$A83,"")))</f>
        <v/>
      </c>
      <c r="AP83" s="47" t="str">
        <f aca="false">IF($A83="","",IF(AND(INDEX(工程マスタ!$I$5:$I$154,$A83)="○",$E83&gt;=AP$3,$E83&lt;=AP$3+6),"▼",IF(AND($E83&gt;=AP$3,$E83&lt;=AP$3+6),$A83,"")))</f>
        <v/>
      </c>
      <c r="AQ83" s="47" t="str">
        <f aca="false">IF($A83="","",IF(AND(INDEX(工程マスタ!$I$5:$I$154,$A83)="○",$E83&gt;=AQ$3,$E83&lt;=AQ$3+6),"▼",IF(AND($E83&gt;=AQ$3,$E83&lt;=AQ$3+6),$A83,"")))</f>
        <v/>
      </c>
      <c r="AR83" s="47" t="str">
        <f aca="false">IF($A83="","",IF(AND(INDEX(工程マスタ!$I$5:$I$154,$A83)="○",$E83&gt;=AR$3,$E83&lt;=AR$3+6),"▼",IF(AND($E83&gt;=AR$3,$E83&lt;=AR$3+6),$A83,"")))</f>
        <v/>
      </c>
      <c r="AS83" s="47" t="str">
        <f aca="false">IF($A83="","",IF(AND(INDEX(工程マスタ!$I$5:$I$154,$A83)="○",$E83&gt;=AS$3,$E83&lt;=AS$3+6),"▼",IF(AND($E83&gt;=AS$3,$E83&lt;=AS$3+6),$A83,"")))</f>
        <v/>
      </c>
      <c r="AT83" s="47" t="str">
        <f aca="false">IF($A83="","",IF(AND(INDEX(工程マスタ!$I$5:$I$154,$A83)="○",$E83&gt;=AT$3,$E83&lt;=AT$3+6),"▼",IF(AND($E83&gt;=AT$3,$E83&lt;=AT$3+6),$A83,"")))</f>
        <v/>
      </c>
      <c r="AU83" s="47" t="str">
        <f aca="false">IF($A83="","",IF(AND(INDEX(工程マスタ!$I$5:$I$154,$A83)="○",$E83&gt;=AU$3,$E83&lt;=AU$3+6),"▼",IF(AND($E83&gt;=AU$3,$E83&lt;=AU$3+6),$A83,"")))</f>
        <v/>
      </c>
      <c r="AV83" s="47" t="str">
        <f aca="false">IF($A83="","",IF(AND(INDEX(工程マスタ!$I$5:$I$154,$A83)="○",$E83&gt;=AV$3,$E83&lt;=AV$3+6),"▼",IF(AND($E83&gt;=AV$3,$E83&lt;=AV$3+6),$A83,"")))</f>
        <v/>
      </c>
      <c r="AW83" s="47" t="str">
        <f aca="false">IF($A83="","",IF(AND(INDEX(工程マスタ!$I$5:$I$154,$A83)="○",$E83&gt;=AW$3,$E83&lt;=AW$3+6),"▼",IF(AND($E83&gt;=AW$3,$E83&lt;=AW$3+6),$A83,"")))</f>
        <v/>
      </c>
      <c r="AX83" s="47" t="str">
        <f aca="false">IF($A83="","",IF(AND(INDEX(工程マスタ!$I$5:$I$154,$A83)="○",$E83&gt;=AX$3,$E83&lt;=AX$3+6),"▼",IF(AND($E83&gt;=AX$3,$E83&lt;=AX$3+6),$A83,"")))</f>
        <v/>
      </c>
      <c r="AY83" s="47" t="str">
        <f aca="false">IF($A83="","",IF(AND(INDEX(工程マスタ!$I$5:$I$154,$A83)="○",$E83&gt;=AY$3,$E83&lt;=AY$3+6),"▼",IF(AND($E83&gt;=AY$3,$E83&lt;=AY$3+6),$A83,"")))</f>
        <v/>
      </c>
      <c r="AZ83" s="47" t="str">
        <f aca="false">IF($A83="","",IF(AND(INDEX(工程マスタ!$I$5:$I$154,$A83)="○",$E83&gt;=AZ$3,$E83&lt;=AZ$3+6),"▼",IF(AND($E83&gt;=AZ$3,$E83&lt;=AZ$3+6),$A83,"")))</f>
        <v/>
      </c>
      <c r="BA83" s="47" t="str">
        <f aca="false">IF($A83="","",IF(AND(INDEX(工程マスタ!$I$5:$I$154,$A83)="○",$E83&gt;=BA$3,$E83&lt;=BA$3+6),"▼",IF(AND($E83&gt;=BA$3,$E83&lt;=BA$3+6),$A83,"")))</f>
        <v/>
      </c>
      <c r="BB83" s="47" t="str">
        <f aca="false">IF($A83="","",IF(AND(INDEX(工程マスタ!$I$5:$I$154,$A83)="○",$E83&gt;=BB$3,$E83&lt;=BB$3+6),"▼",IF(AND($E83&gt;=BB$3,$E83&lt;=BB$3+6),$A83,"")))</f>
        <v/>
      </c>
      <c r="BC83" s="47" t="str">
        <f aca="false">IF($A83="","",IF(AND(INDEX(工程マスタ!$I$5:$I$154,$A83)="○",$E83&gt;=BC$3,$E83&lt;=BC$3+6),"▼",IF(AND($E83&gt;=BC$3,$E83&lt;=BC$3+6),$A83,"")))</f>
        <v/>
      </c>
      <c r="BD83" s="47" t="str">
        <f aca="false">IF($A83="","",IF(AND(INDEX(工程マスタ!$I$5:$I$154,$A83)="○",$E83&gt;=BD$3,$E83&lt;=BD$3+6),"▼",IF(AND($E83&gt;=BD$3,$E83&lt;=BD$3+6),$A83,"")))</f>
        <v/>
      </c>
      <c r="BE83" s="47" t="str">
        <f aca="false">IF($A83="","",IF(AND(INDEX(工程マスタ!$I$5:$I$154,$A83)="○",$E83&gt;=BE$3,$E83&lt;=BE$3+6),"▼",IF(AND($E83&gt;=BE$3,$E83&lt;=BE$3+6),$A83,"")))</f>
        <v/>
      </c>
      <c r="BF83" s="47" t="str">
        <f aca="false">IF($A83="","",IF(AND(INDEX(工程マスタ!$I$5:$I$154,$A83)="○",$E83&gt;=BF$3,$E83&lt;=BF$3+6),"▼",IF(AND($E83&gt;=BF$3,$E83&lt;=BF$3+6),$A83,"")))</f>
        <v/>
      </c>
      <c r="BG83" s="47" t="str">
        <f aca="false">IF($A83="","",IF(AND(INDEX(工程マスタ!$I$5:$I$154,$A83)="○",$E83&gt;=BG$3,$E83&lt;=BG$3+6),"▼",IF(AND($E83&gt;=BG$3,$E83&lt;=BG$3+6),$A83,"")))</f>
        <v/>
      </c>
      <c r="BH83" s="47" t="str">
        <f aca="false">IF($A83="","",IF(AND(INDEX(工程マスタ!$I$5:$I$154,$A83)="○",$E83&gt;=BH$3,$E83&lt;=BH$3+6),"▼",IF(AND($E83&gt;=BH$3,$E83&lt;=BH$3+6),$A83,"")))</f>
        <v/>
      </c>
      <c r="BI83" s="47" t="str">
        <f aca="false">IF($A83="","",IF(AND(INDEX(工程マスタ!$I$5:$I$154,$A83)="○",$E83&gt;=BI$3,$E83&lt;=BI$3+6),"▼",IF(AND($E83&gt;=BI$3,$E83&lt;=BI$3+6),$A83,"")))</f>
        <v/>
      </c>
      <c r="BJ83" s="47" t="str">
        <f aca="false">IF($A83="","",IF(AND(INDEX(工程マスタ!$I$5:$I$154,$A83)="○",$E83&gt;=BJ$3,$E83&lt;=BJ$3+6),"▼",IF(AND($E83&gt;=BJ$3,$E83&lt;=BJ$3+6),$A83,"")))</f>
        <v/>
      </c>
    </row>
    <row r="84" customFormat="false" ht="15" hidden="false" customHeight="false" outlineLevel="0" collapsed="false">
      <c r="A84" s="28" t="str">
        <f aca="false">IF(工程マスタ!$C82="","",工程マスタ!$A82)</f>
        <v/>
      </c>
      <c r="B84" s="46" t="str">
        <f aca="false">IF($A84="","",工程マスタ!$C82)</f>
        <v/>
      </c>
      <c r="C84" s="28" t="str">
        <f aca="false">IF($A84="","",MAX(1,工程マスタ!$G82))</f>
        <v/>
      </c>
      <c r="D84" s="28" t="str">
        <f aca="false">IF($A84="","",_xlfn.TEXTJOIN(",",TRUE(),工程マスタ!$N82:$P82))</f>
        <v/>
      </c>
      <c r="E84" s="29" t="str">
        <f aca="false">IF($A84="","",IF(COUNT(工程マスタ!$N82:$P82)=0,設定!$B$8,MAX(IF(工程マスタ!$N82="",0,INDEX($F$7:$F$156,工程マスタ!$N82)),IF(工程マスタ!$O82="",0,INDEX($F$7:$F$156,工程マスタ!$O82)),IF(工程マスタ!$P82="",0,INDEX($F$7:$F$156,工程マスタ!$P82)))+1))</f>
        <v/>
      </c>
      <c r="F84" s="29" t="str">
        <f aca="false">IF($A84="","",$E84+$C84-1)</f>
        <v/>
      </c>
      <c r="G84" s="29" t="str">
        <f aca="false">IF($A84="","",$H84-$C84+1)</f>
        <v/>
      </c>
      <c r="H84" s="29" t="str">
        <f aca="false" t="array" ref="H84:H84">IF($A84="","",IF(SUMPRODUCT((工程マスタ!$N$83:$N$154=$A84)*1)+SUMPRODUCT((工程マスタ!$O$83:$O$154=$A84)*1)+SUMPRODUCT((工程マスタ!$P$83:$P$154=$A84)*1)=0,MAX($F$7:$F$156),MIN(IF((工程マスタ!$N$83:$N$154=$A84)+(工程マスタ!$O$83:$O$154=$A84)+(工程マスタ!$P$83:$P$154=$A84),$G85:$G$156))-1))</f>
        <v/>
      </c>
      <c r="I84" s="28" t="str">
        <f aca="false">IF($A84="","",$G84-$E84)</f>
        <v/>
      </c>
      <c r="J84" s="28" t="str">
        <f aca="false">IF($A84="","",IF($I84&lt;=0,"●",""))</f>
        <v/>
      </c>
      <c r="K84" s="47" t="str">
        <f aca="false">IF($A84="","",IF(AND(INDEX(工程マスタ!$I$5:$I$154,$A84)="○",$E84&gt;=K$3,$E84&lt;=K$3+6),"▼",IF(AND($E84&gt;=K$3,$E84&lt;=K$3+6),$A84,"")))</f>
        <v/>
      </c>
      <c r="L84" s="47" t="str">
        <f aca="false">IF($A84="","",IF(AND(INDEX(工程マスタ!$I$5:$I$154,$A84)="○",$E84&gt;=L$3,$E84&lt;=L$3+6),"▼",IF(AND($E84&gt;=L$3,$E84&lt;=L$3+6),$A84,"")))</f>
        <v/>
      </c>
      <c r="M84" s="47" t="str">
        <f aca="false">IF($A84="","",IF(AND(INDEX(工程マスタ!$I$5:$I$154,$A84)="○",$E84&gt;=M$3,$E84&lt;=M$3+6),"▼",IF(AND($E84&gt;=M$3,$E84&lt;=M$3+6),$A84,"")))</f>
        <v/>
      </c>
      <c r="N84" s="47" t="str">
        <f aca="false">IF($A84="","",IF(AND(INDEX(工程マスタ!$I$5:$I$154,$A84)="○",$E84&gt;=N$3,$E84&lt;=N$3+6),"▼",IF(AND($E84&gt;=N$3,$E84&lt;=N$3+6),$A84,"")))</f>
        <v/>
      </c>
      <c r="O84" s="47" t="str">
        <f aca="false">IF($A84="","",IF(AND(INDEX(工程マスタ!$I$5:$I$154,$A84)="○",$E84&gt;=O$3,$E84&lt;=O$3+6),"▼",IF(AND($E84&gt;=O$3,$E84&lt;=O$3+6),$A84,"")))</f>
        <v/>
      </c>
      <c r="P84" s="47" t="str">
        <f aca="false">IF($A84="","",IF(AND(INDEX(工程マスタ!$I$5:$I$154,$A84)="○",$E84&gt;=P$3,$E84&lt;=P$3+6),"▼",IF(AND($E84&gt;=P$3,$E84&lt;=P$3+6),$A84,"")))</f>
        <v/>
      </c>
      <c r="Q84" s="47" t="str">
        <f aca="false">IF($A84="","",IF(AND(INDEX(工程マスタ!$I$5:$I$154,$A84)="○",$E84&gt;=Q$3,$E84&lt;=Q$3+6),"▼",IF(AND($E84&gt;=Q$3,$E84&lt;=Q$3+6),$A84,"")))</f>
        <v/>
      </c>
      <c r="R84" s="47" t="str">
        <f aca="false">IF($A84="","",IF(AND(INDEX(工程マスタ!$I$5:$I$154,$A84)="○",$E84&gt;=R$3,$E84&lt;=R$3+6),"▼",IF(AND($E84&gt;=R$3,$E84&lt;=R$3+6),$A84,"")))</f>
        <v/>
      </c>
      <c r="S84" s="47" t="str">
        <f aca="false">IF($A84="","",IF(AND(INDEX(工程マスタ!$I$5:$I$154,$A84)="○",$E84&gt;=S$3,$E84&lt;=S$3+6),"▼",IF(AND($E84&gt;=S$3,$E84&lt;=S$3+6),$A84,"")))</f>
        <v/>
      </c>
      <c r="T84" s="47" t="str">
        <f aca="false">IF($A84="","",IF(AND(INDEX(工程マスタ!$I$5:$I$154,$A84)="○",$E84&gt;=T$3,$E84&lt;=T$3+6),"▼",IF(AND($E84&gt;=T$3,$E84&lt;=T$3+6),$A84,"")))</f>
        <v/>
      </c>
      <c r="U84" s="47" t="str">
        <f aca="false">IF($A84="","",IF(AND(INDEX(工程マスタ!$I$5:$I$154,$A84)="○",$E84&gt;=U$3,$E84&lt;=U$3+6),"▼",IF(AND($E84&gt;=U$3,$E84&lt;=U$3+6),$A84,"")))</f>
        <v/>
      </c>
      <c r="V84" s="47" t="str">
        <f aca="false">IF($A84="","",IF(AND(INDEX(工程マスタ!$I$5:$I$154,$A84)="○",$E84&gt;=V$3,$E84&lt;=V$3+6),"▼",IF(AND($E84&gt;=V$3,$E84&lt;=V$3+6),$A84,"")))</f>
        <v/>
      </c>
      <c r="W84" s="47" t="str">
        <f aca="false">IF($A84="","",IF(AND(INDEX(工程マスタ!$I$5:$I$154,$A84)="○",$E84&gt;=W$3,$E84&lt;=W$3+6),"▼",IF(AND($E84&gt;=W$3,$E84&lt;=W$3+6),$A84,"")))</f>
        <v/>
      </c>
      <c r="X84" s="47" t="str">
        <f aca="false">IF($A84="","",IF(AND(INDEX(工程マスタ!$I$5:$I$154,$A84)="○",$E84&gt;=X$3,$E84&lt;=X$3+6),"▼",IF(AND($E84&gt;=X$3,$E84&lt;=X$3+6),$A84,"")))</f>
        <v/>
      </c>
      <c r="Y84" s="47" t="str">
        <f aca="false">IF($A84="","",IF(AND(INDEX(工程マスタ!$I$5:$I$154,$A84)="○",$E84&gt;=Y$3,$E84&lt;=Y$3+6),"▼",IF(AND($E84&gt;=Y$3,$E84&lt;=Y$3+6),$A84,"")))</f>
        <v/>
      </c>
      <c r="Z84" s="47" t="str">
        <f aca="false">IF($A84="","",IF(AND(INDEX(工程マスタ!$I$5:$I$154,$A84)="○",$E84&gt;=Z$3,$E84&lt;=Z$3+6),"▼",IF(AND($E84&gt;=Z$3,$E84&lt;=Z$3+6),$A84,"")))</f>
        <v/>
      </c>
      <c r="AA84" s="47" t="str">
        <f aca="false">IF($A84="","",IF(AND(INDEX(工程マスタ!$I$5:$I$154,$A84)="○",$E84&gt;=AA$3,$E84&lt;=AA$3+6),"▼",IF(AND($E84&gt;=AA$3,$E84&lt;=AA$3+6),$A84,"")))</f>
        <v/>
      </c>
      <c r="AB84" s="47" t="str">
        <f aca="false">IF($A84="","",IF(AND(INDEX(工程マスタ!$I$5:$I$154,$A84)="○",$E84&gt;=AB$3,$E84&lt;=AB$3+6),"▼",IF(AND($E84&gt;=AB$3,$E84&lt;=AB$3+6),$A84,"")))</f>
        <v/>
      </c>
      <c r="AC84" s="47" t="str">
        <f aca="false">IF($A84="","",IF(AND(INDEX(工程マスタ!$I$5:$I$154,$A84)="○",$E84&gt;=AC$3,$E84&lt;=AC$3+6),"▼",IF(AND($E84&gt;=AC$3,$E84&lt;=AC$3+6),$A84,"")))</f>
        <v/>
      </c>
      <c r="AD84" s="47" t="str">
        <f aca="false">IF($A84="","",IF(AND(INDEX(工程マスタ!$I$5:$I$154,$A84)="○",$E84&gt;=AD$3,$E84&lt;=AD$3+6),"▼",IF(AND($E84&gt;=AD$3,$E84&lt;=AD$3+6),$A84,"")))</f>
        <v/>
      </c>
      <c r="AE84" s="47" t="str">
        <f aca="false">IF($A84="","",IF(AND(INDEX(工程マスタ!$I$5:$I$154,$A84)="○",$E84&gt;=AE$3,$E84&lt;=AE$3+6),"▼",IF(AND($E84&gt;=AE$3,$E84&lt;=AE$3+6),$A84,"")))</f>
        <v/>
      </c>
      <c r="AF84" s="47" t="str">
        <f aca="false">IF($A84="","",IF(AND(INDEX(工程マスタ!$I$5:$I$154,$A84)="○",$E84&gt;=AF$3,$E84&lt;=AF$3+6),"▼",IF(AND($E84&gt;=AF$3,$E84&lt;=AF$3+6),$A84,"")))</f>
        <v/>
      </c>
      <c r="AG84" s="47" t="str">
        <f aca="false">IF($A84="","",IF(AND(INDEX(工程マスタ!$I$5:$I$154,$A84)="○",$E84&gt;=AG$3,$E84&lt;=AG$3+6),"▼",IF(AND($E84&gt;=AG$3,$E84&lt;=AG$3+6),$A84,"")))</f>
        <v/>
      </c>
      <c r="AH84" s="47" t="str">
        <f aca="false">IF($A84="","",IF(AND(INDEX(工程マスタ!$I$5:$I$154,$A84)="○",$E84&gt;=AH$3,$E84&lt;=AH$3+6),"▼",IF(AND($E84&gt;=AH$3,$E84&lt;=AH$3+6),$A84,"")))</f>
        <v/>
      </c>
      <c r="AI84" s="47" t="str">
        <f aca="false">IF($A84="","",IF(AND(INDEX(工程マスタ!$I$5:$I$154,$A84)="○",$E84&gt;=AI$3,$E84&lt;=AI$3+6),"▼",IF(AND($E84&gt;=AI$3,$E84&lt;=AI$3+6),$A84,"")))</f>
        <v/>
      </c>
      <c r="AJ84" s="47" t="str">
        <f aca="false">IF($A84="","",IF(AND(INDEX(工程マスタ!$I$5:$I$154,$A84)="○",$E84&gt;=AJ$3,$E84&lt;=AJ$3+6),"▼",IF(AND($E84&gt;=AJ$3,$E84&lt;=AJ$3+6),$A84,"")))</f>
        <v/>
      </c>
      <c r="AK84" s="47" t="str">
        <f aca="false">IF($A84="","",IF(AND(INDEX(工程マスタ!$I$5:$I$154,$A84)="○",$E84&gt;=AK$3,$E84&lt;=AK$3+6),"▼",IF(AND($E84&gt;=AK$3,$E84&lt;=AK$3+6),$A84,"")))</f>
        <v/>
      </c>
      <c r="AL84" s="47" t="str">
        <f aca="false">IF($A84="","",IF(AND(INDEX(工程マスタ!$I$5:$I$154,$A84)="○",$E84&gt;=AL$3,$E84&lt;=AL$3+6),"▼",IF(AND($E84&gt;=AL$3,$E84&lt;=AL$3+6),$A84,"")))</f>
        <v/>
      </c>
      <c r="AM84" s="47" t="str">
        <f aca="false">IF($A84="","",IF(AND(INDEX(工程マスタ!$I$5:$I$154,$A84)="○",$E84&gt;=AM$3,$E84&lt;=AM$3+6),"▼",IF(AND($E84&gt;=AM$3,$E84&lt;=AM$3+6),$A84,"")))</f>
        <v/>
      </c>
      <c r="AN84" s="47" t="str">
        <f aca="false">IF($A84="","",IF(AND(INDEX(工程マスタ!$I$5:$I$154,$A84)="○",$E84&gt;=AN$3,$E84&lt;=AN$3+6),"▼",IF(AND($E84&gt;=AN$3,$E84&lt;=AN$3+6),$A84,"")))</f>
        <v/>
      </c>
      <c r="AO84" s="47" t="str">
        <f aca="false">IF($A84="","",IF(AND(INDEX(工程マスタ!$I$5:$I$154,$A84)="○",$E84&gt;=AO$3,$E84&lt;=AO$3+6),"▼",IF(AND($E84&gt;=AO$3,$E84&lt;=AO$3+6),$A84,"")))</f>
        <v/>
      </c>
      <c r="AP84" s="47" t="str">
        <f aca="false">IF($A84="","",IF(AND(INDEX(工程マスタ!$I$5:$I$154,$A84)="○",$E84&gt;=AP$3,$E84&lt;=AP$3+6),"▼",IF(AND($E84&gt;=AP$3,$E84&lt;=AP$3+6),$A84,"")))</f>
        <v/>
      </c>
      <c r="AQ84" s="47" t="str">
        <f aca="false">IF($A84="","",IF(AND(INDEX(工程マスタ!$I$5:$I$154,$A84)="○",$E84&gt;=AQ$3,$E84&lt;=AQ$3+6),"▼",IF(AND($E84&gt;=AQ$3,$E84&lt;=AQ$3+6),$A84,"")))</f>
        <v/>
      </c>
      <c r="AR84" s="47" t="str">
        <f aca="false">IF($A84="","",IF(AND(INDEX(工程マスタ!$I$5:$I$154,$A84)="○",$E84&gt;=AR$3,$E84&lt;=AR$3+6),"▼",IF(AND($E84&gt;=AR$3,$E84&lt;=AR$3+6),$A84,"")))</f>
        <v/>
      </c>
      <c r="AS84" s="47" t="str">
        <f aca="false">IF($A84="","",IF(AND(INDEX(工程マスタ!$I$5:$I$154,$A84)="○",$E84&gt;=AS$3,$E84&lt;=AS$3+6),"▼",IF(AND($E84&gt;=AS$3,$E84&lt;=AS$3+6),$A84,"")))</f>
        <v/>
      </c>
      <c r="AT84" s="47" t="str">
        <f aca="false">IF($A84="","",IF(AND(INDEX(工程マスタ!$I$5:$I$154,$A84)="○",$E84&gt;=AT$3,$E84&lt;=AT$3+6),"▼",IF(AND($E84&gt;=AT$3,$E84&lt;=AT$3+6),$A84,"")))</f>
        <v/>
      </c>
      <c r="AU84" s="47" t="str">
        <f aca="false">IF($A84="","",IF(AND(INDEX(工程マスタ!$I$5:$I$154,$A84)="○",$E84&gt;=AU$3,$E84&lt;=AU$3+6),"▼",IF(AND($E84&gt;=AU$3,$E84&lt;=AU$3+6),$A84,"")))</f>
        <v/>
      </c>
      <c r="AV84" s="47" t="str">
        <f aca="false">IF($A84="","",IF(AND(INDEX(工程マスタ!$I$5:$I$154,$A84)="○",$E84&gt;=AV$3,$E84&lt;=AV$3+6),"▼",IF(AND($E84&gt;=AV$3,$E84&lt;=AV$3+6),$A84,"")))</f>
        <v/>
      </c>
      <c r="AW84" s="47" t="str">
        <f aca="false">IF($A84="","",IF(AND(INDEX(工程マスタ!$I$5:$I$154,$A84)="○",$E84&gt;=AW$3,$E84&lt;=AW$3+6),"▼",IF(AND($E84&gt;=AW$3,$E84&lt;=AW$3+6),$A84,"")))</f>
        <v/>
      </c>
      <c r="AX84" s="47" t="str">
        <f aca="false">IF($A84="","",IF(AND(INDEX(工程マスタ!$I$5:$I$154,$A84)="○",$E84&gt;=AX$3,$E84&lt;=AX$3+6),"▼",IF(AND($E84&gt;=AX$3,$E84&lt;=AX$3+6),$A84,"")))</f>
        <v/>
      </c>
      <c r="AY84" s="47" t="str">
        <f aca="false">IF($A84="","",IF(AND(INDEX(工程マスタ!$I$5:$I$154,$A84)="○",$E84&gt;=AY$3,$E84&lt;=AY$3+6),"▼",IF(AND($E84&gt;=AY$3,$E84&lt;=AY$3+6),$A84,"")))</f>
        <v/>
      </c>
      <c r="AZ84" s="47" t="str">
        <f aca="false">IF($A84="","",IF(AND(INDEX(工程マスタ!$I$5:$I$154,$A84)="○",$E84&gt;=AZ$3,$E84&lt;=AZ$3+6),"▼",IF(AND($E84&gt;=AZ$3,$E84&lt;=AZ$3+6),$A84,"")))</f>
        <v/>
      </c>
      <c r="BA84" s="47" t="str">
        <f aca="false">IF($A84="","",IF(AND(INDEX(工程マスタ!$I$5:$I$154,$A84)="○",$E84&gt;=BA$3,$E84&lt;=BA$3+6),"▼",IF(AND($E84&gt;=BA$3,$E84&lt;=BA$3+6),$A84,"")))</f>
        <v/>
      </c>
      <c r="BB84" s="47" t="str">
        <f aca="false">IF($A84="","",IF(AND(INDEX(工程マスタ!$I$5:$I$154,$A84)="○",$E84&gt;=BB$3,$E84&lt;=BB$3+6),"▼",IF(AND($E84&gt;=BB$3,$E84&lt;=BB$3+6),$A84,"")))</f>
        <v/>
      </c>
      <c r="BC84" s="47" t="str">
        <f aca="false">IF($A84="","",IF(AND(INDEX(工程マスタ!$I$5:$I$154,$A84)="○",$E84&gt;=BC$3,$E84&lt;=BC$3+6),"▼",IF(AND($E84&gt;=BC$3,$E84&lt;=BC$3+6),$A84,"")))</f>
        <v/>
      </c>
      <c r="BD84" s="47" t="str">
        <f aca="false">IF($A84="","",IF(AND(INDEX(工程マスタ!$I$5:$I$154,$A84)="○",$E84&gt;=BD$3,$E84&lt;=BD$3+6),"▼",IF(AND($E84&gt;=BD$3,$E84&lt;=BD$3+6),$A84,"")))</f>
        <v/>
      </c>
      <c r="BE84" s="47" t="str">
        <f aca="false">IF($A84="","",IF(AND(INDEX(工程マスタ!$I$5:$I$154,$A84)="○",$E84&gt;=BE$3,$E84&lt;=BE$3+6),"▼",IF(AND($E84&gt;=BE$3,$E84&lt;=BE$3+6),$A84,"")))</f>
        <v/>
      </c>
      <c r="BF84" s="47" t="str">
        <f aca="false">IF($A84="","",IF(AND(INDEX(工程マスタ!$I$5:$I$154,$A84)="○",$E84&gt;=BF$3,$E84&lt;=BF$3+6),"▼",IF(AND($E84&gt;=BF$3,$E84&lt;=BF$3+6),$A84,"")))</f>
        <v/>
      </c>
      <c r="BG84" s="47" t="str">
        <f aca="false">IF($A84="","",IF(AND(INDEX(工程マスタ!$I$5:$I$154,$A84)="○",$E84&gt;=BG$3,$E84&lt;=BG$3+6),"▼",IF(AND($E84&gt;=BG$3,$E84&lt;=BG$3+6),$A84,"")))</f>
        <v/>
      </c>
      <c r="BH84" s="47" t="str">
        <f aca="false">IF($A84="","",IF(AND(INDEX(工程マスタ!$I$5:$I$154,$A84)="○",$E84&gt;=BH$3,$E84&lt;=BH$3+6),"▼",IF(AND($E84&gt;=BH$3,$E84&lt;=BH$3+6),$A84,"")))</f>
        <v/>
      </c>
      <c r="BI84" s="47" t="str">
        <f aca="false">IF($A84="","",IF(AND(INDEX(工程マスタ!$I$5:$I$154,$A84)="○",$E84&gt;=BI$3,$E84&lt;=BI$3+6),"▼",IF(AND($E84&gt;=BI$3,$E84&lt;=BI$3+6),$A84,"")))</f>
        <v/>
      </c>
      <c r="BJ84" s="47" t="str">
        <f aca="false">IF($A84="","",IF(AND(INDEX(工程マスタ!$I$5:$I$154,$A84)="○",$E84&gt;=BJ$3,$E84&lt;=BJ$3+6),"▼",IF(AND($E84&gt;=BJ$3,$E84&lt;=BJ$3+6),$A84,"")))</f>
        <v/>
      </c>
    </row>
    <row r="85" customFormat="false" ht="15" hidden="false" customHeight="false" outlineLevel="0" collapsed="false">
      <c r="A85" s="28" t="str">
        <f aca="false">IF(工程マスタ!$C83="","",工程マスタ!$A83)</f>
        <v/>
      </c>
      <c r="B85" s="46" t="str">
        <f aca="false">IF($A85="","",工程マスタ!$C83)</f>
        <v/>
      </c>
      <c r="C85" s="28" t="str">
        <f aca="false">IF($A85="","",MAX(1,工程マスタ!$G83))</f>
        <v/>
      </c>
      <c r="D85" s="28" t="str">
        <f aca="false">IF($A85="","",_xlfn.TEXTJOIN(",",TRUE(),工程マスタ!$N83:$P83))</f>
        <v/>
      </c>
      <c r="E85" s="29" t="str">
        <f aca="false">IF($A85="","",IF(COUNT(工程マスタ!$N83:$P83)=0,設定!$B$8,MAX(IF(工程マスタ!$N83="",0,INDEX($F$7:$F$156,工程マスタ!$N83)),IF(工程マスタ!$O83="",0,INDEX($F$7:$F$156,工程マスタ!$O83)),IF(工程マスタ!$P83="",0,INDEX($F$7:$F$156,工程マスタ!$P83)))+1))</f>
        <v/>
      </c>
      <c r="F85" s="29" t="str">
        <f aca="false">IF($A85="","",$E85+$C85-1)</f>
        <v/>
      </c>
      <c r="G85" s="29" t="str">
        <f aca="false">IF($A85="","",$H85-$C85+1)</f>
        <v/>
      </c>
      <c r="H85" s="29" t="str">
        <f aca="false" t="array" ref="H85:H85">IF($A85="","",IF(SUMPRODUCT((工程マスタ!$N$84:$N$154=$A85)*1)+SUMPRODUCT((工程マスタ!$O$84:$O$154=$A85)*1)+SUMPRODUCT((工程マスタ!$P$84:$P$154=$A85)*1)=0,MAX($F$7:$F$156),MIN(IF((工程マスタ!$N$84:$N$154=$A85)+(工程マスタ!$O$84:$O$154=$A85)+(工程マスタ!$P$84:$P$154=$A85),$G86:$G$156))-1))</f>
        <v/>
      </c>
      <c r="I85" s="28" t="str">
        <f aca="false">IF($A85="","",$G85-$E85)</f>
        <v/>
      </c>
      <c r="J85" s="28" t="str">
        <f aca="false">IF($A85="","",IF($I85&lt;=0,"●",""))</f>
        <v/>
      </c>
      <c r="K85" s="47" t="str">
        <f aca="false">IF($A85="","",IF(AND(INDEX(工程マスタ!$I$5:$I$154,$A85)="○",$E85&gt;=K$3,$E85&lt;=K$3+6),"▼",IF(AND($E85&gt;=K$3,$E85&lt;=K$3+6),$A85,"")))</f>
        <v/>
      </c>
      <c r="L85" s="47" t="str">
        <f aca="false">IF($A85="","",IF(AND(INDEX(工程マスタ!$I$5:$I$154,$A85)="○",$E85&gt;=L$3,$E85&lt;=L$3+6),"▼",IF(AND($E85&gt;=L$3,$E85&lt;=L$3+6),$A85,"")))</f>
        <v/>
      </c>
      <c r="M85" s="47" t="str">
        <f aca="false">IF($A85="","",IF(AND(INDEX(工程マスタ!$I$5:$I$154,$A85)="○",$E85&gt;=M$3,$E85&lt;=M$3+6),"▼",IF(AND($E85&gt;=M$3,$E85&lt;=M$3+6),$A85,"")))</f>
        <v/>
      </c>
      <c r="N85" s="47" t="str">
        <f aca="false">IF($A85="","",IF(AND(INDEX(工程マスタ!$I$5:$I$154,$A85)="○",$E85&gt;=N$3,$E85&lt;=N$3+6),"▼",IF(AND($E85&gt;=N$3,$E85&lt;=N$3+6),$A85,"")))</f>
        <v/>
      </c>
      <c r="O85" s="47" t="str">
        <f aca="false">IF($A85="","",IF(AND(INDEX(工程マスタ!$I$5:$I$154,$A85)="○",$E85&gt;=O$3,$E85&lt;=O$3+6),"▼",IF(AND($E85&gt;=O$3,$E85&lt;=O$3+6),$A85,"")))</f>
        <v/>
      </c>
      <c r="P85" s="47" t="str">
        <f aca="false">IF($A85="","",IF(AND(INDEX(工程マスタ!$I$5:$I$154,$A85)="○",$E85&gt;=P$3,$E85&lt;=P$3+6),"▼",IF(AND($E85&gt;=P$3,$E85&lt;=P$3+6),$A85,"")))</f>
        <v/>
      </c>
      <c r="Q85" s="47" t="str">
        <f aca="false">IF($A85="","",IF(AND(INDEX(工程マスタ!$I$5:$I$154,$A85)="○",$E85&gt;=Q$3,$E85&lt;=Q$3+6),"▼",IF(AND($E85&gt;=Q$3,$E85&lt;=Q$3+6),$A85,"")))</f>
        <v/>
      </c>
      <c r="R85" s="47" t="str">
        <f aca="false">IF($A85="","",IF(AND(INDEX(工程マスタ!$I$5:$I$154,$A85)="○",$E85&gt;=R$3,$E85&lt;=R$3+6),"▼",IF(AND($E85&gt;=R$3,$E85&lt;=R$3+6),$A85,"")))</f>
        <v/>
      </c>
      <c r="S85" s="47" t="str">
        <f aca="false">IF($A85="","",IF(AND(INDEX(工程マスタ!$I$5:$I$154,$A85)="○",$E85&gt;=S$3,$E85&lt;=S$3+6),"▼",IF(AND($E85&gt;=S$3,$E85&lt;=S$3+6),$A85,"")))</f>
        <v/>
      </c>
      <c r="T85" s="47" t="str">
        <f aca="false">IF($A85="","",IF(AND(INDEX(工程マスタ!$I$5:$I$154,$A85)="○",$E85&gt;=T$3,$E85&lt;=T$3+6),"▼",IF(AND($E85&gt;=T$3,$E85&lt;=T$3+6),$A85,"")))</f>
        <v/>
      </c>
      <c r="U85" s="47" t="str">
        <f aca="false">IF($A85="","",IF(AND(INDEX(工程マスタ!$I$5:$I$154,$A85)="○",$E85&gt;=U$3,$E85&lt;=U$3+6),"▼",IF(AND($E85&gt;=U$3,$E85&lt;=U$3+6),$A85,"")))</f>
        <v/>
      </c>
      <c r="V85" s="47" t="str">
        <f aca="false">IF($A85="","",IF(AND(INDEX(工程マスタ!$I$5:$I$154,$A85)="○",$E85&gt;=V$3,$E85&lt;=V$3+6),"▼",IF(AND($E85&gt;=V$3,$E85&lt;=V$3+6),$A85,"")))</f>
        <v/>
      </c>
      <c r="W85" s="47" t="str">
        <f aca="false">IF($A85="","",IF(AND(INDEX(工程マスタ!$I$5:$I$154,$A85)="○",$E85&gt;=W$3,$E85&lt;=W$3+6),"▼",IF(AND($E85&gt;=W$3,$E85&lt;=W$3+6),$A85,"")))</f>
        <v/>
      </c>
      <c r="X85" s="47" t="str">
        <f aca="false">IF($A85="","",IF(AND(INDEX(工程マスタ!$I$5:$I$154,$A85)="○",$E85&gt;=X$3,$E85&lt;=X$3+6),"▼",IF(AND($E85&gt;=X$3,$E85&lt;=X$3+6),$A85,"")))</f>
        <v/>
      </c>
      <c r="Y85" s="47" t="str">
        <f aca="false">IF($A85="","",IF(AND(INDEX(工程マスタ!$I$5:$I$154,$A85)="○",$E85&gt;=Y$3,$E85&lt;=Y$3+6),"▼",IF(AND($E85&gt;=Y$3,$E85&lt;=Y$3+6),$A85,"")))</f>
        <v/>
      </c>
      <c r="Z85" s="47" t="str">
        <f aca="false">IF($A85="","",IF(AND(INDEX(工程マスタ!$I$5:$I$154,$A85)="○",$E85&gt;=Z$3,$E85&lt;=Z$3+6),"▼",IF(AND($E85&gt;=Z$3,$E85&lt;=Z$3+6),$A85,"")))</f>
        <v/>
      </c>
      <c r="AA85" s="47" t="str">
        <f aca="false">IF($A85="","",IF(AND(INDEX(工程マスタ!$I$5:$I$154,$A85)="○",$E85&gt;=AA$3,$E85&lt;=AA$3+6),"▼",IF(AND($E85&gt;=AA$3,$E85&lt;=AA$3+6),$A85,"")))</f>
        <v/>
      </c>
      <c r="AB85" s="47" t="str">
        <f aca="false">IF($A85="","",IF(AND(INDEX(工程マスタ!$I$5:$I$154,$A85)="○",$E85&gt;=AB$3,$E85&lt;=AB$3+6),"▼",IF(AND($E85&gt;=AB$3,$E85&lt;=AB$3+6),$A85,"")))</f>
        <v/>
      </c>
      <c r="AC85" s="47" t="str">
        <f aca="false">IF($A85="","",IF(AND(INDEX(工程マスタ!$I$5:$I$154,$A85)="○",$E85&gt;=AC$3,$E85&lt;=AC$3+6),"▼",IF(AND($E85&gt;=AC$3,$E85&lt;=AC$3+6),$A85,"")))</f>
        <v/>
      </c>
      <c r="AD85" s="47" t="str">
        <f aca="false">IF($A85="","",IF(AND(INDEX(工程マスタ!$I$5:$I$154,$A85)="○",$E85&gt;=AD$3,$E85&lt;=AD$3+6),"▼",IF(AND($E85&gt;=AD$3,$E85&lt;=AD$3+6),$A85,"")))</f>
        <v/>
      </c>
      <c r="AE85" s="47" t="str">
        <f aca="false">IF($A85="","",IF(AND(INDEX(工程マスタ!$I$5:$I$154,$A85)="○",$E85&gt;=AE$3,$E85&lt;=AE$3+6),"▼",IF(AND($E85&gt;=AE$3,$E85&lt;=AE$3+6),$A85,"")))</f>
        <v/>
      </c>
      <c r="AF85" s="47" t="str">
        <f aca="false">IF($A85="","",IF(AND(INDEX(工程マスタ!$I$5:$I$154,$A85)="○",$E85&gt;=AF$3,$E85&lt;=AF$3+6),"▼",IF(AND($E85&gt;=AF$3,$E85&lt;=AF$3+6),$A85,"")))</f>
        <v/>
      </c>
      <c r="AG85" s="47" t="str">
        <f aca="false">IF($A85="","",IF(AND(INDEX(工程マスタ!$I$5:$I$154,$A85)="○",$E85&gt;=AG$3,$E85&lt;=AG$3+6),"▼",IF(AND($E85&gt;=AG$3,$E85&lt;=AG$3+6),$A85,"")))</f>
        <v/>
      </c>
      <c r="AH85" s="47" t="str">
        <f aca="false">IF($A85="","",IF(AND(INDEX(工程マスタ!$I$5:$I$154,$A85)="○",$E85&gt;=AH$3,$E85&lt;=AH$3+6),"▼",IF(AND($E85&gt;=AH$3,$E85&lt;=AH$3+6),$A85,"")))</f>
        <v/>
      </c>
      <c r="AI85" s="47" t="str">
        <f aca="false">IF($A85="","",IF(AND(INDEX(工程マスタ!$I$5:$I$154,$A85)="○",$E85&gt;=AI$3,$E85&lt;=AI$3+6),"▼",IF(AND($E85&gt;=AI$3,$E85&lt;=AI$3+6),$A85,"")))</f>
        <v/>
      </c>
      <c r="AJ85" s="47" t="str">
        <f aca="false">IF($A85="","",IF(AND(INDEX(工程マスタ!$I$5:$I$154,$A85)="○",$E85&gt;=AJ$3,$E85&lt;=AJ$3+6),"▼",IF(AND($E85&gt;=AJ$3,$E85&lt;=AJ$3+6),$A85,"")))</f>
        <v/>
      </c>
      <c r="AK85" s="47" t="str">
        <f aca="false">IF($A85="","",IF(AND(INDEX(工程マスタ!$I$5:$I$154,$A85)="○",$E85&gt;=AK$3,$E85&lt;=AK$3+6),"▼",IF(AND($E85&gt;=AK$3,$E85&lt;=AK$3+6),$A85,"")))</f>
        <v/>
      </c>
      <c r="AL85" s="47" t="str">
        <f aca="false">IF($A85="","",IF(AND(INDEX(工程マスタ!$I$5:$I$154,$A85)="○",$E85&gt;=AL$3,$E85&lt;=AL$3+6),"▼",IF(AND($E85&gt;=AL$3,$E85&lt;=AL$3+6),$A85,"")))</f>
        <v/>
      </c>
      <c r="AM85" s="47" t="str">
        <f aca="false">IF($A85="","",IF(AND(INDEX(工程マスタ!$I$5:$I$154,$A85)="○",$E85&gt;=AM$3,$E85&lt;=AM$3+6),"▼",IF(AND($E85&gt;=AM$3,$E85&lt;=AM$3+6),$A85,"")))</f>
        <v/>
      </c>
      <c r="AN85" s="47" t="str">
        <f aca="false">IF($A85="","",IF(AND(INDEX(工程マスタ!$I$5:$I$154,$A85)="○",$E85&gt;=AN$3,$E85&lt;=AN$3+6),"▼",IF(AND($E85&gt;=AN$3,$E85&lt;=AN$3+6),$A85,"")))</f>
        <v/>
      </c>
      <c r="AO85" s="47" t="str">
        <f aca="false">IF($A85="","",IF(AND(INDEX(工程マスタ!$I$5:$I$154,$A85)="○",$E85&gt;=AO$3,$E85&lt;=AO$3+6),"▼",IF(AND($E85&gt;=AO$3,$E85&lt;=AO$3+6),$A85,"")))</f>
        <v/>
      </c>
      <c r="AP85" s="47" t="str">
        <f aca="false">IF($A85="","",IF(AND(INDEX(工程マスタ!$I$5:$I$154,$A85)="○",$E85&gt;=AP$3,$E85&lt;=AP$3+6),"▼",IF(AND($E85&gt;=AP$3,$E85&lt;=AP$3+6),$A85,"")))</f>
        <v/>
      </c>
      <c r="AQ85" s="47" t="str">
        <f aca="false">IF($A85="","",IF(AND(INDEX(工程マスタ!$I$5:$I$154,$A85)="○",$E85&gt;=AQ$3,$E85&lt;=AQ$3+6),"▼",IF(AND($E85&gt;=AQ$3,$E85&lt;=AQ$3+6),$A85,"")))</f>
        <v/>
      </c>
      <c r="AR85" s="47" t="str">
        <f aca="false">IF($A85="","",IF(AND(INDEX(工程マスタ!$I$5:$I$154,$A85)="○",$E85&gt;=AR$3,$E85&lt;=AR$3+6),"▼",IF(AND($E85&gt;=AR$3,$E85&lt;=AR$3+6),$A85,"")))</f>
        <v/>
      </c>
      <c r="AS85" s="47" t="str">
        <f aca="false">IF($A85="","",IF(AND(INDEX(工程マスタ!$I$5:$I$154,$A85)="○",$E85&gt;=AS$3,$E85&lt;=AS$3+6),"▼",IF(AND($E85&gt;=AS$3,$E85&lt;=AS$3+6),$A85,"")))</f>
        <v/>
      </c>
      <c r="AT85" s="47" t="str">
        <f aca="false">IF($A85="","",IF(AND(INDEX(工程マスタ!$I$5:$I$154,$A85)="○",$E85&gt;=AT$3,$E85&lt;=AT$3+6),"▼",IF(AND($E85&gt;=AT$3,$E85&lt;=AT$3+6),$A85,"")))</f>
        <v/>
      </c>
      <c r="AU85" s="47" t="str">
        <f aca="false">IF($A85="","",IF(AND(INDEX(工程マスタ!$I$5:$I$154,$A85)="○",$E85&gt;=AU$3,$E85&lt;=AU$3+6),"▼",IF(AND($E85&gt;=AU$3,$E85&lt;=AU$3+6),$A85,"")))</f>
        <v/>
      </c>
      <c r="AV85" s="47" t="str">
        <f aca="false">IF($A85="","",IF(AND(INDEX(工程マスタ!$I$5:$I$154,$A85)="○",$E85&gt;=AV$3,$E85&lt;=AV$3+6),"▼",IF(AND($E85&gt;=AV$3,$E85&lt;=AV$3+6),$A85,"")))</f>
        <v/>
      </c>
      <c r="AW85" s="47" t="str">
        <f aca="false">IF($A85="","",IF(AND(INDEX(工程マスタ!$I$5:$I$154,$A85)="○",$E85&gt;=AW$3,$E85&lt;=AW$3+6),"▼",IF(AND($E85&gt;=AW$3,$E85&lt;=AW$3+6),$A85,"")))</f>
        <v/>
      </c>
      <c r="AX85" s="47" t="str">
        <f aca="false">IF($A85="","",IF(AND(INDEX(工程マスタ!$I$5:$I$154,$A85)="○",$E85&gt;=AX$3,$E85&lt;=AX$3+6),"▼",IF(AND($E85&gt;=AX$3,$E85&lt;=AX$3+6),$A85,"")))</f>
        <v/>
      </c>
      <c r="AY85" s="47" t="str">
        <f aca="false">IF($A85="","",IF(AND(INDEX(工程マスタ!$I$5:$I$154,$A85)="○",$E85&gt;=AY$3,$E85&lt;=AY$3+6),"▼",IF(AND($E85&gt;=AY$3,$E85&lt;=AY$3+6),$A85,"")))</f>
        <v/>
      </c>
      <c r="AZ85" s="47" t="str">
        <f aca="false">IF($A85="","",IF(AND(INDEX(工程マスタ!$I$5:$I$154,$A85)="○",$E85&gt;=AZ$3,$E85&lt;=AZ$3+6),"▼",IF(AND($E85&gt;=AZ$3,$E85&lt;=AZ$3+6),$A85,"")))</f>
        <v/>
      </c>
      <c r="BA85" s="47" t="str">
        <f aca="false">IF($A85="","",IF(AND(INDEX(工程マスタ!$I$5:$I$154,$A85)="○",$E85&gt;=BA$3,$E85&lt;=BA$3+6),"▼",IF(AND($E85&gt;=BA$3,$E85&lt;=BA$3+6),$A85,"")))</f>
        <v/>
      </c>
      <c r="BB85" s="47" t="str">
        <f aca="false">IF($A85="","",IF(AND(INDEX(工程マスタ!$I$5:$I$154,$A85)="○",$E85&gt;=BB$3,$E85&lt;=BB$3+6),"▼",IF(AND($E85&gt;=BB$3,$E85&lt;=BB$3+6),$A85,"")))</f>
        <v/>
      </c>
      <c r="BC85" s="47" t="str">
        <f aca="false">IF($A85="","",IF(AND(INDEX(工程マスタ!$I$5:$I$154,$A85)="○",$E85&gt;=BC$3,$E85&lt;=BC$3+6),"▼",IF(AND($E85&gt;=BC$3,$E85&lt;=BC$3+6),$A85,"")))</f>
        <v/>
      </c>
      <c r="BD85" s="47" t="str">
        <f aca="false">IF($A85="","",IF(AND(INDEX(工程マスタ!$I$5:$I$154,$A85)="○",$E85&gt;=BD$3,$E85&lt;=BD$3+6),"▼",IF(AND($E85&gt;=BD$3,$E85&lt;=BD$3+6),$A85,"")))</f>
        <v/>
      </c>
      <c r="BE85" s="47" t="str">
        <f aca="false">IF($A85="","",IF(AND(INDEX(工程マスタ!$I$5:$I$154,$A85)="○",$E85&gt;=BE$3,$E85&lt;=BE$3+6),"▼",IF(AND($E85&gt;=BE$3,$E85&lt;=BE$3+6),$A85,"")))</f>
        <v/>
      </c>
      <c r="BF85" s="47" t="str">
        <f aca="false">IF($A85="","",IF(AND(INDEX(工程マスタ!$I$5:$I$154,$A85)="○",$E85&gt;=BF$3,$E85&lt;=BF$3+6),"▼",IF(AND($E85&gt;=BF$3,$E85&lt;=BF$3+6),$A85,"")))</f>
        <v/>
      </c>
      <c r="BG85" s="47" t="str">
        <f aca="false">IF($A85="","",IF(AND(INDEX(工程マスタ!$I$5:$I$154,$A85)="○",$E85&gt;=BG$3,$E85&lt;=BG$3+6),"▼",IF(AND($E85&gt;=BG$3,$E85&lt;=BG$3+6),$A85,"")))</f>
        <v/>
      </c>
      <c r="BH85" s="47" t="str">
        <f aca="false">IF($A85="","",IF(AND(INDEX(工程マスタ!$I$5:$I$154,$A85)="○",$E85&gt;=BH$3,$E85&lt;=BH$3+6),"▼",IF(AND($E85&gt;=BH$3,$E85&lt;=BH$3+6),$A85,"")))</f>
        <v/>
      </c>
      <c r="BI85" s="47" t="str">
        <f aca="false">IF($A85="","",IF(AND(INDEX(工程マスタ!$I$5:$I$154,$A85)="○",$E85&gt;=BI$3,$E85&lt;=BI$3+6),"▼",IF(AND($E85&gt;=BI$3,$E85&lt;=BI$3+6),$A85,"")))</f>
        <v/>
      </c>
      <c r="BJ85" s="47" t="str">
        <f aca="false">IF($A85="","",IF(AND(INDEX(工程マスタ!$I$5:$I$154,$A85)="○",$E85&gt;=BJ$3,$E85&lt;=BJ$3+6),"▼",IF(AND($E85&gt;=BJ$3,$E85&lt;=BJ$3+6),$A85,"")))</f>
        <v/>
      </c>
    </row>
    <row r="86" customFormat="false" ht="15" hidden="false" customHeight="false" outlineLevel="0" collapsed="false">
      <c r="A86" s="28" t="str">
        <f aca="false">IF(工程マスタ!$C84="","",工程マスタ!$A84)</f>
        <v/>
      </c>
      <c r="B86" s="46" t="str">
        <f aca="false">IF($A86="","",工程マスタ!$C84)</f>
        <v/>
      </c>
      <c r="C86" s="28" t="str">
        <f aca="false">IF($A86="","",MAX(1,工程マスタ!$G84))</f>
        <v/>
      </c>
      <c r="D86" s="28" t="str">
        <f aca="false">IF($A86="","",_xlfn.TEXTJOIN(",",TRUE(),工程マスタ!$N84:$P84))</f>
        <v/>
      </c>
      <c r="E86" s="29" t="str">
        <f aca="false">IF($A86="","",IF(COUNT(工程マスタ!$N84:$P84)=0,設定!$B$8,MAX(IF(工程マスタ!$N84="",0,INDEX($F$7:$F$156,工程マスタ!$N84)),IF(工程マスタ!$O84="",0,INDEX($F$7:$F$156,工程マスタ!$O84)),IF(工程マスタ!$P84="",0,INDEX($F$7:$F$156,工程マスタ!$P84)))+1))</f>
        <v/>
      </c>
      <c r="F86" s="29" t="str">
        <f aca="false">IF($A86="","",$E86+$C86-1)</f>
        <v/>
      </c>
      <c r="G86" s="29" t="str">
        <f aca="false">IF($A86="","",$H86-$C86+1)</f>
        <v/>
      </c>
      <c r="H86" s="29" t="str">
        <f aca="false" t="array" ref="H86:H86">IF($A86="","",IF(SUMPRODUCT((工程マスタ!$N$85:$N$154=$A86)*1)+SUMPRODUCT((工程マスタ!$O$85:$O$154=$A86)*1)+SUMPRODUCT((工程マスタ!$P$85:$P$154=$A86)*1)=0,MAX($F$7:$F$156),MIN(IF((工程マスタ!$N$85:$N$154=$A86)+(工程マスタ!$O$85:$O$154=$A86)+(工程マスタ!$P$85:$P$154=$A86),$G87:$G$156))-1))</f>
        <v/>
      </c>
      <c r="I86" s="28" t="str">
        <f aca="false">IF($A86="","",$G86-$E86)</f>
        <v/>
      </c>
      <c r="J86" s="28" t="str">
        <f aca="false">IF($A86="","",IF($I86&lt;=0,"●",""))</f>
        <v/>
      </c>
      <c r="K86" s="47" t="str">
        <f aca="false">IF($A86="","",IF(AND(INDEX(工程マスタ!$I$5:$I$154,$A86)="○",$E86&gt;=K$3,$E86&lt;=K$3+6),"▼",IF(AND($E86&gt;=K$3,$E86&lt;=K$3+6),$A86,"")))</f>
        <v/>
      </c>
      <c r="L86" s="47" t="str">
        <f aca="false">IF($A86="","",IF(AND(INDEX(工程マスタ!$I$5:$I$154,$A86)="○",$E86&gt;=L$3,$E86&lt;=L$3+6),"▼",IF(AND($E86&gt;=L$3,$E86&lt;=L$3+6),$A86,"")))</f>
        <v/>
      </c>
      <c r="M86" s="47" t="str">
        <f aca="false">IF($A86="","",IF(AND(INDEX(工程マスタ!$I$5:$I$154,$A86)="○",$E86&gt;=M$3,$E86&lt;=M$3+6),"▼",IF(AND($E86&gt;=M$3,$E86&lt;=M$3+6),$A86,"")))</f>
        <v/>
      </c>
      <c r="N86" s="47" t="str">
        <f aca="false">IF($A86="","",IF(AND(INDEX(工程マスタ!$I$5:$I$154,$A86)="○",$E86&gt;=N$3,$E86&lt;=N$3+6),"▼",IF(AND($E86&gt;=N$3,$E86&lt;=N$3+6),$A86,"")))</f>
        <v/>
      </c>
      <c r="O86" s="47" t="str">
        <f aca="false">IF($A86="","",IF(AND(INDEX(工程マスタ!$I$5:$I$154,$A86)="○",$E86&gt;=O$3,$E86&lt;=O$3+6),"▼",IF(AND($E86&gt;=O$3,$E86&lt;=O$3+6),$A86,"")))</f>
        <v/>
      </c>
      <c r="P86" s="47" t="str">
        <f aca="false">IF($A86="","",IF(AND(INDEX(工程マスタ!$I$5:$I$154,$A86)="○",$E86&gt;=P$3,$E86&lt;=P$3+6),"▼",IF(AND($E86&gt;=P$3,$E86&lt;=P$3+6),$A86,"")))</f>
        <v/>
      </c>
      <c r="Q86" s="47" t="str">
        <f aca="false">IF($A86="","",IF(AND(INDEX(工程マスタ!$I$5:$I$154,$A86)="○",$E86&gt;=Q$3,$E86&lt;=Q$3+6),"▼",IF(AND($E86&gt;=Q$3,$E86&lt;=Q$3+6),$A86,"")))</f>
        <v/>
      </c>
      <c r="R86" s="47" t="str">
        <f aca="false">IF($A86="","",IF(AND(INDEX(工程マスタ!$I$5:$I$154,$A86)="○",$E86&gt;=R$3,$E86&lt;=R$3+6),"▼",IF(AND($E86&gt;=R$3,$E86&lt;=R$3+6),$A86,"")))</f>
        <v/>
      </c>
      <c r="S86" s="47" t="str">
        <f aca="false">IF($A86="","",IF(AND(INDEX(工程マスタ!$I$5:$I$154,$A86)="○",$E86&gt;=S$3,$E86&lt;=S$3+6),"▼",IF(AND($E86&gt;=S$3,$E86&lt;=S$3+6),$A86,"")))</f>
        <v/>
      </c>
      <c r="T86" s="47" t="str">
        <f aca="false">IF($A86="","",IF(AND(INDEX(工程マスタ!$I$5:$I$154,$A86)="○",$E86&gt;=T$3,$E86&lt;=T$3+6),"▼",IF(AND($E86&gt;=T$3,$E86&lt;=T$3+6),$A86,"")))</f>
        <v/>
      </c>
      <c r="U86" s="47" t="str">
        <f aca="false">IF($A86="","",IF(AND(INDEX(工程マスタ!$I$5:$I$154,$A86)="○",$E86&gt;=U$3,$E86&lt;=U$3+6),"▼",IF(AND($E86&gt;=U$3,$E86&lt;=U$3+6),$A86,"")))</f>
        <v/>
      </c>
      <c r="V86" s="47" t="str">
        <f aca="false">IF($A86="","",IF(AND(INDEX(工程マスタ!$I$5:$I$154,$A86)="○",$E86&gt;=V$3,$E86&lt;=V$3+6),"▼",IF(AND($E86&gt;=V$3,$E86&lt;=V$3+6),$A86,"")))</f>
        <v/>
      </c>
      <c r="W86" s="47" t="str">
        <f aca="false">IF($A86="","",IF(AND(INDEX(工程マスタ!$I$5:$I$154,$A86)="○",$E86&gt;=W$3,$E86&lt;=W$3+6),"▼",IF(AND($E86&gt;=W$3,$E86&lt;=W$3+6),$A86,"")))</f>
        <v/>
      </c>
      <c r="X86" s="47" t="str">
        <f aca="false">IF($A86="","",IF(AND(INDEX(工程マスタ!$I$5:$I$154,$A86)="○",$E86&gt;=X$3,$E86&lt;=X$3+6),"▼",IF(AND($E86&gt;=X$3,$E86&lt;=X$3+6),$A86,"")))</f>
        <v/>
      </c>
      <c r="Y86" s="47" t="str">
        <f aca="false">IF($A86="","",IF(AND(INDEX(工程マスタ!$I$5:$I$154,$A86)="○",$E86&gt;=Y$3,$E86&lt;=Y$3+6),"▼",IF(AND($E86&gt;=Y$3,$E86&lt;=Y$3+6),$A86,"")))</f>
        <v/>
      </c>
      <c r="Z86" s="47" t="str">
        <f aca="false">IF($A86="","",IF(AND(INDEX(工程マスタ!$I$5:$I$154,$A86)="○",$E86&gt;=Z$3,$E86&lt;=Z$3+6),"▼",IF(AND($E86&gt;=Z$3,$E86&lt;=Z$3+6),$A86,"")))</f>
        <v/>
      </c>
      <c r="AA86" s="47" t="str">
        <f aca="false">IF($A86="","",IF(AND(INDEX(工程マスタ!$I$5:$I$154,$A86)="○",$E86&gt;=AA$3,$E86&lt;=AA$3+6),"▼",IF(AND($E86&gt;=AA$3,$E86&lt;=AA$3+6),$A86,"")))</f>
        <v/>
      </c>
      <c r="AB86" s="47" t="str">
        <f aca="false">IF($A86="","",IF(AND(INDEX(工程マスタ!$I$5:$I$154,$A86)="○",$E86&gt;=AB$3,$E86&lt;=AB$3+6),"▼",IF(AND($E86&gt;=AB$3,$E86&lt;=AB$3+6),$A86,"")))</f>
        <v/>
      </c>
      <c r="AC86" s="47" t="str">
        <f aca="false">IF($A86="","",IF(AND(INDEX(工程マスタ!$I$5:$I$154,$A86)="○",$E86&gt;=AC$3,$E86&lt;=AC$3+6),"▼",IF(AND($E86&gt;=AC$3,$E86&lt;=AC$3+6),$A86,"")))</f>
        <v/>
      </c>
      <c r="AD86" s="47" t="str">
        <f aca="false">IF($A86="","",IF(AND(INDEX(工程マスタ!$I$5:$I$154,$A86)="○",$E86&gt;=AD$3,$E86&lt;=AD$3+6),"▼",IF(AND($E86&gt;=AD$3,$E86&lt;=AD$3+6),$A86,"")))</f>
        <v/>
      </c>
      <c r="AE86" s="47" t="str">
        <f aca="false">IF($A86="","",IF(AND(INDEX(工程マスタ!$I$5:$I$154,$A86)="○",$E86&gt;=AE$3,$E86&lt;=AE$3+6),"▼",IF(AND($E86&gt;=AE$3,$E86&lt;=AE$3+6),$A86,"")))</f>
        <v/>
      </c>
      <c r="AF86" s="47" t="str">
        <f aca="false">IF($A86="","",IF(AND(INDEX(工程マスタ!$I$5:$I$154,$A86)="○",$E86&gt;=AF$3,$E86&lt;=AF$3+6),"▼",IF(AND($E86&gt;=AF$3,$E86&lt;=AF$3+6),$A86,"")))</f>
        <v/>
      </c>
      <c r="AG86" s="47" t="str">
        <f aca="false">IF($A86="","",IF(AND(INDEX(工程マスタ!$I$5:$I$154,$A86)="○",$E86&gt;=AG$3,$E86&lt;=AG$3+6),"▼",IF(AND($E86&gt;=AG$3,$E86&lt;=AG$3+6),$A86,"")))</f>
        <v/>
      </c>
      <c r="AH86" s="47" t="str">
        <f aca="false">IF($A86="","",IF(AND(INDEX(工程マスタ!$I$5:$I$154,$A86)="○",$E86&gt;=AH$3,$E86&lt;=AH$3+6),"▼",IF(AND($E86&gt;=AH$3,$E86&lt;=AH$3+6),$A86,"")))</f>
        <v/>
      </c>
      <c r="AI86" s="47" t="str">
        <f aca="false">IF($A86="","",IF(AND(INDEX(工程マスタ!$I$5:$I$154,$A86)="○",$E86&gt;=AI$3,$E86&lt;=AI$3+6),"▼",IF(AND($E86&gt;=AI$3,$E86&lt;=AI$3+6),$A86,"")))</f>
        <v/>
      </c>
      <c r="AJ86" s="47" t="str">
        <f aca="false">IF($A86="","",IF(AND(INDEX(工程マスタ!$I$5:$I$154,$A86)="○",$E86&gt;=AJ$3,$E86&lt;=AJ$3+6),"▼",IF(AND($E86&gt;=AJ$3,$E86&lt;=AJ$3+6),$A86,"")))</f>
        <v/>
      </c>
      <c r="AK86" s="47" t="str">
        <f aca="false">IF($A86="","",IF(AND(INDEX(工程マスタ!$I$5:$I$154,$A86)="○",$E86&gt;=AK$3,$E86&lt;=AK$3+6),"▼",IF(AND($E86&gt;=AK$3,$E86&lt;=AK$3+6),$A86,"")))</f>
        <v/>
      </c>
      <c r="AL86" s="47" t="str">
        <f aca="false">IF($A86="","",IF(AND(INDEX(工程マスタ!$I$5:$I$154,$A86)="○",$E86&gt;=AL$3,$E86&lt;=AL$3+6),"▼",IF(AND($E86&gt;=AL$3,$E86&lt;=AL$3+6),$A86,"")))</f>
        <v/>
      </c>
      <c r="AM86" s="47" t="str">
        <f aca="false">IF($A86="","",IF(AND(INDEX(工程マスタ!$I$5:$I$154,$A86)="○",$E86&gt;=AM$3,$E86&lt;=AM$3+6),"▼",IF(AND($E86&gt;=AM$3,$E86&lt;=AM$3+6),$A86,"")))</f>
        <v/>
      </c>
      <c r="AN86" s="47" t="str">
        <f aca="false">IF($A86="","",IF(AND(INDEX(工程マスタ!$I$5:$I$154,$A86)="○",$E86&gt;=AN$3,$E86&lt;=AN$3+6),"▼",IF(AND($E86&gt;=AN$3,$E86&lt;=AN$3+6),$A86,"")))</f>
        <v/>
      </c>
      <c r="AO86" s="47" t="str">
        <f aca="false">IF($A86="","",IF(AND(INDEX(工程マスタ!$I$5:$I$154,$A86)="○",$E86&gt;=AO$3,$E86&lt;=AO$3+6),"▼",IF(AND($E86&gt;=AO$3,$E86&lt;=AO$3+6),$A86,"")))</f>
        <v/>
      </c>
      <c r="AP86" s="47" t="str">
        <f aca="false">IF($A86="","",IF(AND(INDEX(工程マスタ!$I$5:$I$154,$A86)="○",$E86&gt;=AP$3,$E86&lt;=AP$3+6),"▼",IF(AND($E86&gt;=AP$3,$E86&lt;=AP$3+6),$A86,"")))</f>
        <v/>
      </c>
      <c r="AQ86" s="47" t="str">
        <f aca="false">IF($A86="","",IF(AND(INDEX(工程マスタ!$I$5:$I$154,$A86)="○",$E86&gt;=AQ$3,$E86&lt;=AQ$3+6),"▼",IF(AND($E86&gt;=AQ$3,$E86&lt;=AQ$3+6),$A86,"")))</f>
        <v/>
      </c>
      <c r="AR86" s="47" t="str">
        <f aca="false">IF($A86="","",IF(AND(INDEX(工程マスタ!$I$5:$I$154,$A86)="○",$E86&gt;=AR$3,$E86&lt;=AR$3+6),"▼",IF(AND($E86&gt;=AR$3,$E86&lt;=AR$3+6),$A86,"")))</f>
        <v/>
      </c>
      <c r="AS86" s="47" t="str">
        <f aca="false">IF($A86="","",IF(AND(INDEX(工程マスタ!$I$5:$I$154,$A86)="○",$E86&gt;=AS$3,$E86&lt;=AS$3+6),"▼",IF(AND($E86&gt;=AS$3,$E86&lt;=AS$3+6),$A86,"")))</f>
        <v/>
      </c>
      <c r="AT86" s="47" t="str">
        <f aca="false">IF($A86="","",IF(AND(INDEX(工程マスタ!$I$5:$I$154,$A86)="○",$E86&gt;=AT$3,$E86&lt;=AT$3+6),"▼",IF(AND($E86&gt;=AT$3,$E86&lt;=AT$3+6),$A86,"")))</f>
        <v/>
      </c>
      <c r="AU86" s="47" t="str">
        <f aca="false">IF($A86="","",IF(AND(INDEX(工程マスタ!$I$5:$I$154,$A86)="○",$E86&gt;=AU$3,$E86&lt;=AU$3+6),"▼",IF(AND($E86&gt;=AU$3,$E86&lt;=AU$3+6),$A86,"")))</f>
        <v/>
      </c>
      <c r="AV86" s="47" t="str">
        <f aca="false">IF($A86="","",IF(AND(INDEX(工程マスタ!$I$5:$I$154,$A86)="○",$E86&gt;=AV$3,$E86&lt;=AV$3+6),"▼",IF(AND($E86&gt;=AV$3,$E86&lt;=AV$3+6),$A86,"")))</f>
        <v/>
      </c>
      <c r="AW86" s="47" t="str">
        <f aca="false">IF($A86="","",IF(AND(INDEX(工程マスタ!$I$5:$I$154,$A86)="○",$E86&gt;=AW$3,$E86&lt;=AW$3+6),"▼",IF(AND($E86&gt;=AW$3,$E86&lt;=AW$3+6),$A86,"")))</f>
        <v/>
      </c>
      <c r="AX86" s="47" t="str">
        <f aca="false">IF($A86="","",IF(AND(INDEX(工程マスタ!$I$5:$I$154,$A86)="○",$E86&gt;=AX$3,$E86&lt;=AX$3+6),"▼",IF(AND($E86&gt;=AX$3,$E86&lt;=AX$3+6),$A86,"")))</f>
        <v/>
      </c>
      <c r="AY86" s="47" t="str">
        <f aca="false">IF($A86="","",IF(AND(INDEX(工程マスタ!$I$5:$I$154,$A86)="○",$E86&gt;=AY$3,$E86&lt;=AY$3+6),"▼",IF(AND($E86&gt;=AY$3,$E86&lt;=AY$3+6),$A86,"")))</f>
        <v/>
      </c>
      <c r="AZ86" s="47" t="str">
        <f aca="false">IF($A86="","",IF(AND(INDEX(工程マスタ!$I$5:$I$154,$A86)="○",$E86&gt;=AZ$3,$E86&lt;=AZ$3+6),"▼",IF(AND($E86&gt;=AZ$3,$E86&lt;=AZ$3+6),$A86,"")))</f>
        <v/>
      </c>
      <c r="BA86" s="47" t="str">
        <f aca="false">IF($A86="","",IF(AND(INDEX(工程マスタ!$I$5:$I$154,$A86)="○",$E86&gt;=BA$3,$E86&lt;=BA$3+6),"▼",IF(AND($E86&gt;=BA$3,$E86&lt;=BA$3+6),$A86,"")))</f>
        <v/>
      </c>
      <c r="BB86" s="47" t="str">
        <f aca="false">IF($A86="","",IF(AND(INDEX(工程マスタ!$I$5:$I$154,$A86)="○",$E86&gt;=BB$3,$E86&lt;=BB$3+6),"▼",IF(AND($E86&gt;=BB$3,$E86&lt;=BB$3+6),$A86,"")))</f>
        <v/>
      </c>
      <c r="BC86" s="47" t="str">
        <f aca="false">IF($A86="","",IF(AND(INDEX(工程マスタ!$I$5:$I$154,$A86)="○",$E86&gt;=BC$3,$E86&lt;=BC$3+6),"▼",IF(AND($E86&gt;=BC$3,$E86&lt;=BC$3+6),$A86,"")))</f>
        <v/>
      </c>
      <c r="BD86" s="47" t="str">
        <f aca="false">IF($A86="","",IF(AND(INDEX(工程マスタ!$I$5:$I$154,$A86)="○",$E86&gt;=BD$3,$E86&lt;=BD$3+6),"▼",IF(AND($E86&gt;=BD$3,$E86&lt;=BD$3+6),$A86,"")))</f>
        <v/>
      </c>
      <c r="BE86" s="47" t="str">
        <f aca="false">IF($A86="","",IF(AND(INDEX(工程マスタ!$I$5:$I$154,$A86)="○",$E86&gt;=BE$3,$E86&lt;=BE$3+6),"▼",IF(AND($E86&gt;=BE$3,$E86&lt;=BE$3+6),$A86,"")))</f>
        <v/>
      </c>
      <c r="BF86" s="47" t="str">
        <f aca="false">IF($A86="","",IF(AND(INDEX(工程マスタ!$I$5:$I$154,$A86)="○",$E86&gt;=BF$3,$E86&lt;=BF$3+6),"▼",IF(AND($E86&gt;=BF$3,$E86&lt;=BF$3+6),$A86,"")))</f>
        <v/>
      </c>
      <c r="BG86" s="47" t="str">
        <f aca="false">IF($A86="","",IF(AND(INDEX(工程マスタ!$I$5:$I$154,$A86)="○",$E86&gt;=BG$3,$E86&lt;=BG$3+6),"▼",IF(AND($E86&gt;=BG$3,$E86&lt;=BG$3+6),$A86,"")))</f>
        <v/>
      </c>
      <c r="BH86" s="47" t="str">
        <f aca="false">IF($A86="","",IF(AND(INDEX(工程マスタ!$I$5:$I$154,$A86)="○",$E86&gt;=BH$3,$E86&lt;=BH$3+6),"▼",IF(AND($E86&gt;=BH$3,$E86&lt;=BH$3+6),$A86,"")))</f>
        <v/>
      </c>
      <c r="BI86" s="47" t="str">
        <f aca="false">IF($A86="","",IF(AND(INDEX(工程マスタ!$I$5:$I$154,$A86)="○",$E86&gt;=BI$3,$E86&lt;=BI$3+6),"▼",IF(AND($E86&gt;=BI$3,$E86&lt;=BI$3+6),$A86,"")))</f>
        <v/>
      </c>
      <c r="BJ86" s="47" t="str">
        <f aca="false">IF($A86="","",IF(AND(INDEX(工程マスタ!$I$5:$I$154,$A86)="○",$E86&gt;=BJ$3,$E86&lt;=BJ$3+6),"▼",IF(AND($E86&gt;=BJ$3,$E86&lt;=BJ$3+6),$A86,"")))</f>
        <v/>
      </c>
    </row>
    <row r="87" customFormat="false" ht="15" hidden="false" customHeight="false" outlineLevel="0" collapsed="false">
      <c r="A87" s="28" t="str">
        <f aca="false">IF(工程マスタ!$C85="","",工程マスタ!$A85)</f>
        <v/>
      </c>
      <c r="B87" s="46" t="str">
        <f aca="false">IF($A87="","",工程マスタ!$C85)</f>
        <v/>
      </c>
      <c r="C87" s="28" t="str">
        <f aca="false">IF($A87="","",MAX(1,工程マスタ!$G85))</f>
        <v/>
      </c>
      <c r="D87" s="28" t="str">
        <f aca="false">IF($A87="","",_xlfn.TEXTJOIN(",",TRUE(),工程マスタ!$N85:$P85))</f>
        <v/>
      </c>
      <c r="E87" s="29" t="str">
        <f aca="false">IF($A87="","",IF(COUNT(工程マスタ!$N85:$P85)=0,設定!$B$8,MAX(IF(工程マスタ!$N85="",0,INDEX($F$7:$F$156,工程マスタ!$N85)),IF(工程マスタ!$O85="",0,INDEX($F$7:$F$156,工程マスタ!$O85)),IF(工程マスタ!$P85="",0,INDEX($F$7:$F$156,工程マスタ!$P85)))+1))</f>
        <v/>
      </c>
      <c r="F87" s="29" t="str">
        <f aca="false">IF($A87="","",$E87+$C87-1)</f>
        <v/>
      </c>
      <c r="G87" s="29" t="str">
        <f aca="false">IF($A87="","",$H87-$C87+1)</f>
        <v/>
      </c>
      <c r="H87" s="29" t="str">
        <f aca="false" t="array" ref="H87:H87">IF($A87="","",IF(SUMPRODUCT((工程マスタ!$N$86:$N$154=$A87)*1)+SUMPRODUCT((工程マスタ!$O$86:$O$154=$A87)*1)+SUMPRODUCT((工程マスタ!$P$86:$P$154=$A87)*1)=0,MAX($F$7:$F$156),MIN(IF((工程マスタ!$N$86:$N$154=$A87)+(工程マスタ!$O$86:$O$154=$A87)+(工程マスタ!$P$86:$P$154=$A87),$G88:$G$156))-1))</f>
        <v/>
      </c>
      <c r="I87" s="28" t="str">
        <f aca="false">IF($A87="","",$G87-$E87)</f>
        <v/>
      </c>
      <c r="J87" s="28" t="str">
        <f aca="false">IF($A87="","",IF($I87&lt;=0,"●",""))</f>
        <v/>
      </c>
      <c r="K87" s="47" t="str">
        <f aca="false">IF($A87="","",IF(AND(INDEX(工程マスタ!$I$5:$I$154,$A87)="○",$E87&gt;=K$3,$E87&lt;=K$3+6),"▼",IF(AND($E87&gt;=K$3,$E87&lt;=K$3+6),$A87,"")))</f>
        <v/>
      </c>
      <c r="L87" s="47" t="str">
        <f aca="false">IF($A87="","",IF(AND(INDEX(工程マスタ!$I$5:$I$154,$A87)="○",$E87&gt;=L$3,$E87&lt;=L$3+6),"▼",IF(AND($E87&gt;=L$3,$E87&lt;=L$3+6),$A87,"")))</f>
        <v/>
      </c>
      <c r="M87" s="47" t="str">
        <f aca="false">IF($A87="","",IF(AND(INDEX(工程マスタ!$I$5:$I$154,$A87)="○",$E87&gt;=M$3,$E87&lt;=M$3+6),"▼",IF(AND($E87&gt;=M$3,$E87&lt;=M$3+6),$A87,"")))</f>
        <v/>
      </c>
      <c r="N87" s="47" t="str">
        <f aca="false">IF($A87="","",IF(AND(INDEX(工程マスタ!$I$5:$I$154,$A87)="○",$E87&gt;=N$3,$E87&lt;=N$3+6),"▼",IF(AND($E87&gt;=N$3,$E87&lt;=N$3+6),$A87,"")))</f>
        <v/>
      </c>
      <c r="O87" s="47" t="str">
        <f aca="false">IF($A87="","",IF(AND(INDEX(工程マスタ!$I$5:$I$154,$A87)="○",$E87&gt;=O$3,$E87&lt;=O$3+6),"▼",IF(AND($E87&gt;=O$3,$E87&lt;=O$3+6),$A87,"")))</f>
        <v/>
      </c>
      <c r="P87" s="47" t="str">
        <f aca="false">IF($A87="","",IF(AND(INDEX(工程マスタ!$I$5:$I$154,$A87)="○",$E87&gt;=P$3,$E87&lt;=P$3+6),"▼",IF(AND($E87&gt;=P$3,$E87&lt;=P$3+6),$A87,"")))</f>
        <v/>
      </c>
      <c r="Q87" s="47" t="str">
        <f aca="false">IF($A87="","",IF(AND(INDEX(工程マスタ!$I$5:$I$154,$A87)="○",$E87&gt;=Q$3,$E87&lt;=Q$3+6),"▼",IF(AND($E87&gt;=Q$3,$E87&lt;=Q$3+6),$A87,"")))</f>
        <v/>
      </c>
      <c r="R87" s="47" t="str">
        <f aca="false">IF($A87="","",IF(AND(INDEX(工程マスタ!$I$5:$I$154,$A87)="○",$E87&gt;=R$3,$E87&lt;=R$3+6),"▼",IF(AND($E87&gt;=R$3,$E87&lt;=R$3+6),$A87,"")))</f>
        <v/>
      </c>
      <c r="S87" s="47" t="str">
        <f aca="false">IF($A87="","",IF(AND(INDEX(工程マスタ!$I$5:$I$154,$A87)="○",$E87&gt;=S$3,$E87&lt;=S$3+6),"▼",IF(AND($E87&gt;=S$3,$E87&lt;=S$3+6),$A87,"")))</f>
        <v/>
      </c>
      <c r="T87" s="47" t="str">
        <f aca="false">IF($A87="","",IF(AND(INDEX(工程マスタ!$I$5:$I$154,$A87)="○",$E87&gt;=T$3,$E87&lt;=T$3+6),"▼",IF(AND($E87&gt;=T$3,$E87&lt;=T$3+6),$A87,"")))</f>
        <v/>
      </c>
      <c r="U87" s="47" t="str">
        <f aca="false">IF($A87="","",IF(AND(INDEX(工程マスタ!$I$5:$I$154,$A87)="○",$E87&gt;=U$3,$E87&lt;=U$3+6),"▼",IF(AND($E87&gt;=U$3,$E87&lt;=U$3+6),$A87,"")))</f>
        <v/>
      </c>
      <c r="V87" s="47" t="str">
        <f aca="false">IF($A87="","",IF(AND(INDEX(工程マスタ!$I$5:$I$154,$A87)="○",$E87&gt;=V$3,$E87&lt;=V$3+6),"▼",IF(AND($E87&gt;=V$3,$E87&lt;=V$3+6),$A87,"")))</f>
        <v/>
      </c>
      <c r="W87" s="47" t="str">
        <f aca="false">IF($A87="","",IF(AND(INDEX(工程マスタ!$I$5:$I$154,$A87)="○",$E87&gt;=W$3,$E87&lt;=W$3+6),"▼",IF(AND($E87&gt;=W$3,$E87&lt;=W$3+6),$A87,"")))</f>
        <v/>
      </c>
      <c r="X87" s="47" t="str">
        <f aca="false">IF($A87="","",IF(AND(INDEX(工程マスタ!$I$5:$I$154,$A87)="○",$E87&gt;=X$3,$E87&lt;=X$3+6),"▼",IF(AND($E87&gt;=X$3,$E87&lt;=X$3+6),$A87,"")))</f>
        <v/>
      </c>
      <c r="Y87" s="47" t="str">
        <f aca="false">IF($A87="","",IF(AND(INDEX(工程マスタ!$I$5:$I$154,$A87)="○",$E87&gt;=Y$3,$E87&lt;=Y$3+6),"▼",IF(AND($E87&gt;=Y$3,$E87&lt;=Y$3+6),$A87,"")))</f>
        <v/>
      </c>
      <c r="Z87" s="47" t="str">
        <f aca="false">IF($A87="","",IF(AND(INDEX(工程マスタ!$I$5:$I$154,$A87)="○",$E87&gt;=Z$3,$E87&lt;=Z$3+6),"▼",IF(AND($E87&gt;=Z$3,$E87&lt;=Z$3+6),$A87,"")))</f>
        <v/>
      </c>
      <c r="AA87" s="47" t="str">
        <f aca="false">IF($A87="","",IF(AND(INDEX(工程マスタ!$I$5:$I$154,$A87)="○",$E87&gt;=AA$3,$E87&lt;=AA$3+6),"▼",IF(AND($E87&gt;=AA$3,$E87&lt;=AA$3+6),$A87,"")))</f>
        <v/>
      </c>
      <c r="AB87" s="47" t="str">
        <f aca="false">IF($A87="","",IF(AND(INDEX(工程マスタ!$I$5:$I$154,$A87)="○",$E87&gt;=AB$3,$E87&lt;=AB$3+6),"▼",IF(AND($E87&gt;=AB$3,$E87&lt;=AB$3+6),$A87,"")))</f>
        <v/>
      </c>
      <c r="AC87" s="47" t="str">
        <f aca="false">IF($A87="","",IF(AND(INDEX(工程マスタ!$I$5:$I$154,$A87)="○",$E87&gt;=AC$3,$E87&lt;=AC$3+6),"▼",IF(AND($E87&gt;=AC$3,$E87&lt;=AC$3+6),$A87,"")))</f>
        <v/>
      </c>
      <c r="AD87" s="47" t="str">
        <f aca="false">IF($A87="","",IF(AND(INDEX(工程マスタ!$I$5:$I$154,$A87)="○",$E87&gt;=AD$3,$E87&lt;=AD$3+6),"▼",IF(AND($E87&gt;=AD$3,$E87&lt;=AD$3+6),$A87,"")))</f>
        <v/>
      </c>
      <c r="AE87" s="47" t="str">
        <f aca="false">IF($A87="","",IF(AND(INDEX(工程マスタ!$I$5:$I$154,$A87)="○",$E87&gt;=AE$3,$E87&lt;=AE$3+6),"▼",IF(AND($E87&gt;=AE$3,$E87&lt;=AE$3+6),$A87,"")))</f>
        <v/>
      </c>
      <c r="AF87" s="47" t="str">
        <f aca="false">IF($A87="","",IF(AND(INDEX(工程マスタ!$I$5:$I$154,$A87)="○",$E87&gt;=AF$3,$E87&lt;=AF$3+6),"▼",IF(AND($E87&gt;=AF$3,$E87&lt;=AF$3+6),$A87,"")))</f>
        <v/>
      </c>
      <c r="AG87" s="47" t="str">
        <f aca="false">IF($A87="","",IF(AND(INDEX(工程マスタ!$I$5:$I$154,$A87)="○",$E87&gt;=AG$3,$E87&lt;=AG$3+6),"▼",IF(AND($E87&gt;=AG$3,$E87&lt;=AG$3+6),$A87,"")))</f>
        <v/>
      </c>
      <c r="AH87" s="47" t="str">
        <f aca="false">IF($A87="","",IF(AND(INDEX(工程マスタ!$I$5:$I$154,$A87)="○",$E87&gt;=AH$3,$E87&lt;=AH$3+6),"▼",IF(AND($E87&gt;=AH$3,$E87&lt;=AH$3+6),$A87,"")))</f>
        <v/>
      </c>
      <c r="AI87" s="47" t="str">
        <f aca="false">IF($A87="","",IF(AND(INDEX(工程マスタ!$I$5:$I$154,$A87)="○",$E87&gt;=AI$3,$E87&lt;=AI$3+6),"▼",IF(AND($E87&gt;=AI$3,$E87&lt;=AI$3+6),$A87,"")))</f>
        <v/>
      </c>
      <c r="AJ87" s="47" t="str">
        <f aca="false">IF($A87="","",IF(AND(INDEX(工程マスタ!$I$5:$I$154,$A87)="○",$E87&gt;=AJ$3,$E87&lt;=AJ$3+6),"▼",IF(AND($E87&gt;=AJ$3,$E87&lt;=AJ$3+6),$A87,"")))</f>
        <v/>
      </c>
      <c r="AK87" s="47" t="str">
        <f aca="false">IF($A87="","",IF(AND(INDEX(工程マスタ!$I$5:$I$154,$A87)="○",$E87&gt;=AK$3,$E87&lt;=AK$3+6),"▼",IF(AND($E87&gt;=AK$3,$E87&lt;=AK$3+6),$A87,"")))</f>
        <v/>
      </c>
      <c r="AL87" s="47" t="str">
        <f aca="false">IF($A87="","",IF(AND(INDEX(工程マスタ!$I$5:$I$154,$A87)="○",$E87&gt;=AL$3,$E87&lt;=AL$3+6),"▼",IF(AND($E87&gt;=AL$3,$E87&lt;=AL$3+6),$A87,"")))</f>
        <v/>
      </c>
      <c r="AM87" s="47" t="str">
        <f aca="false">IF($A87="","",IF(AND(INDEX(工程マスタ!$I$5:$I$154,$A87)="○",$E87&gt;=AM$3,$E87&lt;=AM$3+6),"▼",IF(AND($E87&gt;=AM$3,$E87&lt;=AM$3+6),$A87,"")))</f>
        <v/>
      </c>
      <c r="AN87" s="47" t="str">
        <f aca="false">IF($A87="","",IF(AND(INDEX(工程マスタ!$I$5:$I$154,$A87)="○",$E87&gt;=AN$3,$E87&lt;=AN$3+6),"▼",IF(AND($E87&gt;=AN$3,$E87&lt;=AN$3+6),$A87,"")))</f>
        <v/>
      </c>
      <c r="AO87" s="47" t="str">
        <f aca="false">IF($A87="","",IF(AND(INDEX(工程マスタ!$I$5:$I$154,$A87)="○",$E87&gt;=AO$3,$E87&lt;=AO$3+6),"▼",IF(AND($E87&gt;=AO$3,$E87&lt;=AO$3+6),$A87,"")))</f>
        <v/>
      </c>
      <c r="AP87" s="47" t="str">
        <f aca="false">IF($A87="","",IF(AND(INDEX(工程マスタ!$I$5:$I$154,$A87)="○",$E87&gt;=AP$3,$E87&lt;=AP$3+6),"▼",IF(AND($E87&gt;=AP$3,$E87&lt;=AP$3+6),$A87,"")))</f>
        <v/>
      </c>
      <c r="AQ87" s="47" t="str">
        <f aca="false">IF($A87="","",IF(AND(INDEX(工程マスタ!$I$5:$I$154,$A87)="○",$E87&gt;=AQ$3,$E87&lt;=AQ$3+6),"▼",IF(AND($E87&gt;=AQ$3,$E87&lt;=AQ$3+6),$A87,"")))</f>
        <v/>
      </c>
      <c r="AR87" s="47" t="str">
        <f aca="false">IF($A87="","",IF(AND(INDEX(工程マスタ!$I$5:$I$154,$A87)="○",$E87&gt;=AR$3,$E87&lt;=AR$3+6),"▼",IF(AND($E87&gt;=AR$3,$E87&lt;=AR$3+6),$A87,"")))</f>
        <v/>
      </c>
      <c r="AS87" s="47" t="str">
        <f aca="false">IF($A87="","",IF(AND(INDEX(工程マスタ!$I$5:$I$154,$A87)="○",$E87&gt;=AS$3,$E87&lt;=AS$3+6),"▼",IF(AND($E87&gt;=AS$3,$E87&lt;=AS$3+6),$A87,"")))</f>
        <v/>
      </c>
      <c r="AT87" s="47" t="str">
        <f aca="false">IF($A87="","",IF(AND(INDEX(工程マスタ!$I$5:$I$154,$A87)="○",$E87&gt;=AT$3,$E87&lt;=AT$3+6),"▼",IF(AND($E87&gt;=AT$3,$E87&lt;=AT$3+6),$A87,"")))</f>
        <v/>
      </c>
      <c r="AU87" s="47" t="str">
        <f aca="false">IF($A87="","",IF(AND(INDEX(工程マスタ!$I$5:$I$154,$A87)="○",$E87&gt;=AU$3,$E87&lt;=AU$3+6),"▼",IF(AND($E87&gt;=AU$3,$E87&lt;=AU$3+6),$A87,"")))</f>
        <v/>
      </c>
      <c r="AV87" s="47" t="str">
        <f aca="false">IF($A87="","",IF(AND(INDEX(工程マスタ!$I$5:$I$154,$A87)="○",$E87&gt;=AV$3,$E87&lt;=AV$3+6),"▼",IF(AND($E87&gt;=AV$3,$E87&lt;=AV$3+6),$A87,"")))</f>
        <v/>
      </c>
      <c r="AW87" s="47" t="str">
        <f aca="false">IF($A87="","",IF(AND(INDEX(工程マスタ!$I$5:$I$154,$A87)="○",$E87&gt;=AW$3,$E87&lt;=AW$3+6),"▼",IF(AND($E87&gt;=AW$3,$E87&lt;=AW$3+6),$A87,"")))</f>
        <v/>
      </c>
      <c r="AX87" s="47" t="str">
        <f aca="false">IF($A87="","",IF(AND(INDEX(工程マスタ!$I$5:$I$154,$A87)="○",$E87&gt;=AX$3,$E87&lt;=AX$3+6),"▼",IF(AND($E87&gt;=AX$3,$E87&lt;=AX$3+6),$A87,"")))</f>
        <v/>
      </c>
      <c r="AY87" s="47" t="str">
        <f aca="false">IF($A87="","",IF(AND(INDEX(工程マスタ!$I$5:$I$154,$A87)="○",$E87&gt;=AY$3,$E87&lt;=AY$3+6),"▼",IF(AND($E87&gt;=AY$3,$E87&lt;=AY$3+6),$A87,"")))</f>
        <v/>
      </c>
      <c r="AZ87" s="47" t="str">
        <f aca="false">IF($A87="","",IF(AND(INDEX(工程マスタ!$I$5:$I$154,$A87)="○",$E87&gt;=AZ$3,$E87&lt;=AZ$3+6),"▼",IF(AND($E87&gt;=AZ$3,$E87&lt;=AZ$3+6),$A87,"")))</f>
        <v/>
      </c>
      <c r="BA87" s="47" t="str">
        <f aca="false">IF($A87="","",IF(AND(INDEX(工程マスタ!$I$5:$I$154,$A87)="○",$E87&gt;=BA$3,$E87&lt;=BA$3+6),"▼",IF(AND($E87&gt;=BA$3,$E87&lt;=BA$3+6),$A87,"")))</f>
        <v/>
      </c>
      <c r="BB87" s="47" t="str">
        <f aca="false">IF($A87="","",IF(AND(INDEX(工程マスタ!$I$5:$I$154,$A87)="○",$E87&gt;=BB$3,$E87&lt;=BB$3+6),"▼",IF(AND($E87&gt;=BB$3,$E87&lt;=BB$3+6),$A87,"")))</f>
        <v/>
      </c>
      <c r="BC87" s="47" t="str">
        <f aca="false">IF($A87="","",IF(AND(INDEX(工程マスタ!$I$5:$I$154,$A87)="○",$E87&gt;=BC$3,$E87&lt;=BC$3+6),"▼",IF(AND($E87&gt;=BC$3,$E87&lt;=BC$3+6),$A87,"")))</f>
        <v/>
      </c>
      <c r="BD87" s="47" t="str">
        <f aca="false">IF($A87="","",IF(AND(INDEX(工程マスタ!$I$5:$I$154,$A87)="○",$E87&gt;=BD$3,$E87&lt;=BD$3+6),"▼",IF(AND($E87&gt;=BD$3,$E87&lt;=BD$3+6),$A87,"")))</f>
        <v/>
      </c>
      <c r="BE87" s="47" t="str">
        <f aca="false">IF($A87="","",IF(AND(INDEX(工程マスタ!$I$5:$I$154,$A87)="○",$E87&gt;=BE$3,$E87&lt;=BE$3+6),"▼",IF(AND($E87&gt;=BE$3,$E87&lt;=BE$3+6),$A87,"")))</f>
        <v/>
      </c>
      <c r="BF87" s="47" t="str">
        <f aca="false">IF($A87="","",IF(AND(INDEX(工程マスタ!$I$5:$I$154,$A87)="○",$E87&gt;=BF$3,$E87&lt;=BF$3+6),"▼",IF(AND($E87&gt;=BF$3,$E87&lt;=BF$3+6),$A87,"")))</f>
        <v/>
      </c>
      <c r="BG87" s="47" t="str">
        <f aca="false">IF($A87="","",IF(AND(INDEX(工程マスタ!$I$5:$I$154,$A87)="○",$E87&gt;=BG$3,$E87&lt;=BG$3+6),"▼",IF(AND($E87&gt;=BG$3,$E87&lt;=BG$3+6),$A87,"")))</f>
        <v/>
      </c>
      <c r="BH87" s="47" t="str">
        <f aca="false">IF($A87="","",IF(AND(INDEX(工程マスタ!$I$5:$I$154,$A87)="○",$E87&gt;=BH$3,$E87&lt;=BH$3+6),"▼",IF(AND($E87&gt;=BH$3,$E87&lt;=BH$3+6),$A87,"")))</f>
        <v/>
      </c>
      <c r="BI87" s="47" t="str">
        <f aca="false">IF($A87="","",IF(AND(INDEX(工程マスタ!$I$5:$I$154,$A87)="○",$E87&gt;=BI$3,$E87&lt;=BI$3+6),"▼",IF(AND($E87&gt;=BI$3,$E87&lt;=BI$3+6),$A87,"")))</f>
        <v/>
      </c>
      <c r="BJ87" s="47" t="str">
        <f aca="false">IF($A87="","",IF(AND(INDEX(工程マスタ!$I$5:$I$154,$A87)="○",$E87&gt;=BJ$3,$E87&lt;=BJ$3+6),"▼",IF(AND($E87&gt;=BJ$3,$E87&lt;=BJ$3+6),$A87,"")))</f>
        <v/>
      </c>
    </row>
    <row r="88" customFormat="false" ht="15" hidden="false" customHeight="false" outlineLevel="0" collapsed="false">
      <c r="A88" s="28" t="str">
        <f aca="false">IF(工程マスタ!$C86="","",工程マスタ!$A86)</f>
        <v/>
      </c>
      <c r="B88" s="46" t="str">
        <f aca="false">IF($A88="","",工程マスタ!$C86)</f>
        <v/>
      </c>
      <c r="C88" s="28" t="str">
        <f aca="false">IF($A88="","",MAX(1,工程マスタ!$G86))</f>
        <v/>
      </c>
      <c r="D88" s="28" t="str">
        <f aca="false">IF($A88="","",_xlfn.TEXTJOIN(",",TRUE(),工程マスタ!$N86:$P86))</f>
        <v/>
      </c>
      <c r="E88" s="29" t="str">
        <f aca="false">IF($A88="","",IF(COUNT(工程マスタ!$N86:$P86)=0,設定!$B$8,MAX(IF(工程マスタ!$N86="",0,INDEX($F$7:$F$156,工程マスタ!$N86)),IF(工程マスタ!$O86="",0,INDEX($F$7:$F$156,工程マスタ!$O86)),IF(工程マスタ!$P86="",0,INDEX($F$7:$F$156,工程マスタ!$P86)))+1))</f>
        <v/>
      </c>
      <c r="F88" s="29" t="str">
        <f aca="false">IF($A88="","",$E88+$C88-1)</f>
        <v/>
      </c>
      <c r="G88" s="29" t="str">
        <f aca="false">IF($A88="","",$H88-$C88+1)</f>
        <v/>
      </c>
      <c r="H88" s="29" t="str">
        <f aca="false" t="array" ref="H88:H88">IF($A88="","",IF(SUMPRODUCT((工程マスタ!$N$87:$N$154=$A88)*1)+SUMPRODUCT((工程マスタ!$O$87:$O$154=$A88)*1)+SUMPRODUCT((工程マスタ!$P$87:$P$154=$A88)*1)=0,MAX($F$7:$F$156),MIN(IF((工程マスタ!$N$87:$N$154=$A88)+(工程マスタ!$O$87:$O$154=$A88)+(工程マスタ!$P$87:$P$154=$A88),$G89:$G$156))-1))</f>
        <v/>
      </c>
      <c r="I88" s="28" t="str">
        <f aca="false">IF($A88="","",$G88-$E88)</f>
        <v/>
      </c>
      <c r="J88" s="28" t="str">
        <f aca="false">IF($A88="","",IF($I88&lt;=0,"●",""))</f>
        <v/>
      </c>
      <c r="K88" s="47" t="str">
        <f aca="false">IF($A88="","",IF(AND(INDEX(工程マスタ!$I$5:$I$154,$A88)="○",$E88&gt;=K$3,$E88&lt;=K$3+6),"▼",IF(AND($E88&gt;=K$3,$E88&lt;=K$3+6),$A88,"")))</f>
        <v/>
      </c>
      <c r="L88" s="47" t="str">
        <f aca="false">IF($A88="","",IF(AND(INDEX(工程マスタ!$I$5:$I$154,$A88)="○",$E88&gt;=L$3,$E88&lt;=L$3+6),"▼",IF(AND($E88&gt;=L$3,$E88&lt;=L$3+6),$A88,"")))</f>
        <v/>
      </c>
      <c r="M88" s="47" t="str">
        <f aca="false">IF($A88="","",IF(AND(INDEX(工程マスタ!$I$5:$I$154,$A88)="○",$E88&gt;=M$3,$E88&lt;=M$3+6),"▼",IF(AND($E88&gt;=M$3,$E88&lt;=M$3+6),$A88,"")))</f>
        <v/>
      </c>
      <c r="N88" s="47" t="str">
        <f aca="false">IF($A88="","",IF(AND(INDEX(工程マスタ!$I$5:$I$154,$A88)="○",$E88&gt;=N$3,$E88&lt;=N$3+6),"▼",IF(AND($E88&gt;=N$3,$E88&lt;=N$3+6),$A88,"")))</f>
        <v/>
      </c>
      <c r="O88" s="47" t="str">
        <f aca="false">IF($A88="","",IF(AND(INDEX(工程マスタ!$I$5:$I$154,$A88)="○",$E88&gt;=O$3,$E88&lt;=O$3+6),"▼",IF(AND($E88&gt;=O$3,$E88&lt;=O$3+6),$A88,"")))</f>
        <v/>
      </c>
      <c r="P88" s="47" t="str">
        <f aca="false">IF($A88="","",IF(AND(INDEX(工程マスタ!$I$5:$I$154,$A88)="○",$E88&gt;=P$3,$E88&lt;=P$3+6),"▼",IF(AND($E88&gt;=P$3,$E88&lt;=P$3+6),$A88,"")))</f>
        <v/>
      </c>
      <c r="Q88" s="47" t="str">
        <f aca="false">IF($A88="","",IF(AND(INDEX(工程マスタ!$I$5:$I$154,$A88)="○",$E88&gt;=Q$3,$E88&lt;=Q$3+6),"▼",IF(AND($E88&gt;=Q$3,$E88&lt;=Q$3+6),$A88,"")))</f>
        <v/>
      </c>
      <c r="R88" s="47" t="str">
        <f aca="false">IF($A88="","",IF(AND(INDEX(工程マスタ!$I$5:$I$154,$A88)="○",$E88&gt;=R$3,$E88&lt;=R$3+6),"▼",IF(AND($E88&gt;=R$3,$E88&lt;=R$3+6),$A88,"")))</f>
        <v/>
      </c>
      <c r="S88" s="47" t="str">
        <f aca="false">IF($A88="","",IF(AND(INDEX(工程マスタ!$I$5:$I$154,$A88)="○",$E88&gt;=S$3,$E88&lt;=S$3+6),"▼",IF(AND($E88&gt;=S$3,$E88&lt;=S$3+6),$A88,"")))</f>
        <v/>
      </c>
      <c r="T88" s="47" t="str">
        <f aca="false">IF($A88="","",IF(AND(INDEX(工程マスタ!$I$5:$I$154,$A88)="○",$E88&gt;=T$3,$E88&lt;=T$3+6),"▼",IF(AND($E88&gt;=T$3,$E88&lt;=T$3+6),$A88,"")))</f>
        <v/>
      </c>
      <c r="U88" s="47" t="str">
        <f aca="false">IF($A88="","",IF(AND(INDEX(工程マスタ!$I$5:$I$154,$A88)="○",$E88&gt;=U$3,$E88&lt;=U$3+6),"▼",IF(AND($E88&gt;=U$3,$E88&lt;=U$3+6),$A88,"")))</f>
        <v/>
      </c>
      <c r="V88" s="47" t="str">
        <f aca="false">IF($A88="","",IF(AND(INDEX(工程マスタ!$I$5:$I$154,$A88)="○",$E88&gt;=V$3,$E88&lt;=V$3+6),"▼",IF(AND($E88&gt;=V$3,$E88&lt;=V$3+6),$A88,"")))</f>
        <v/>
      </c>
      <c r="W88" s="47" t="str">
        <f aca="false">IF($A88="","",IF(AND(INDEX(工程マスタ!$I$5:$I$154,$A88)="○",$E88&gt;=W$3,$E88&lt;=W$3+6),"▼",IF(AND($E88&gt;=W$3,$E88&lt;=W$3+6),$A88,"")))</f>
        <v/>
      </c>
      <c r="X88" s="47" t="str">
        <f aca="false">IF($A88="","",IF(AND(INDEX(工程マスタ!$I$5:$I$154,$A88)="○",$E88&gt;=X$3,$E88&lt;=X$3+6),"▼",IF(AND($E88&gt;=X$3,$E88&lt;=X$3+6),$A88,"")))</f>
        <v/>
      </c>
      <c r="Y88" s="47" t="str">
        <f aca="false">IF($A88="","",IF(AND(INDEX(工程マスタ!$I$5:$I$154,$A88)="○",$E88&gt;=Y$3,$E88&lt;=Y$3+6),"▼",IF(AND($E88&gt;=Y$3,$E88&lt;=Y$3+6),$A88,"")))</f>
        <v/>
      </c>
      <c r="Z88" s="47" t="str">
        <f aca="false">IF($A88="","",IF(AND(INDEX(工程マスタ!$I$5:$I$154,$A88)="○",$E88&gt;=Z$3,$E88&lt;=Z$3+6),"▼",IF(AND($E88&gt;=Z$3,$E88&lt;=Z$3+6),$A88,"")))</f>
        <v/>
      </c>
      <c r="AA88" s="47" t="str">
        <f aca="false">IF($A88="","",IF(AND(INDEX(工程マスタ!$I$5:$I$154,$A88)="○",$E88&gt;=AA$3,$E88&lt;=AA$3+6),"▼",IF(AND($E88&gt;=AA$3,$E88&lt;=AA$3+6),$A88,"")))</f>
        <v/>
      </c>
      <c r="AB88" s="47" t="str">
        <f aca="false">IF($A88="","",IF(AND(INDEX(工程マスタ!$I$5:$I$154,$A88)="○",$E88&gt;=AB$3,$E88&lt;=AB$3+6),"▼",IF(AND($E88&gt;=AB$3,$E88&lt;=AB$3+6),$A88,"")))</f>
        <v/>
      </c>
      <c r="AC88" s="47" t="str">
        <f aca="false">IF($A88="","",IF(AND(INDEX(工程マスタ!$I$5:$I$154,$A88)="○",$E88&gt;=AC$3,$E88&lt;=AC$3+6),"▼",IF(AND($E88&gt;=AC$3,$E88&lt;=AC$3+6),$A88,"")))</f>
        <v/>
      </c>
      <c r="AD88" s="47" t="str">
        <f aca="false">IF($A88="","",IF(AND(INDEX(工程マスタ!$I$5:$I$154,$A88)="○",$E88&gt;=AD$3,$E88&lt;=AD$3+6),"▼",IF(AND($E88&gt;=AD$3,$E88&lt;=AD$3+6),$A88,"")))</f>
        <v/>
      </c>
      <c r="AE88" s="47" t="str">
        <f aca="false">IF($A88="","",IF(AND(INDEX(工程マスタ!$I$5:$I$154,$A88)="○",$E88&gt;=AE$3,$E88&lt;=AE$3+6),"▼",IF(AND($E88&gt;=AE$3,$E88&lt;=AE$3+6),$A88,"")))</f>
        <v/>
      </c>
      <c r="AF88" s="47" t="str">
        <f aca="false">IF($A88="","",IF(AND(INDEX(工程マスタ!$I$5:$I$154,$A88)="○",$E88&gt;=AF$3,$E88&lt;=AF$3+6),"▼",IF(AND($E88&gt;=AF$3,$E88&lt;=AF$3+6),$A88,"")))</f>
        <v/>
      </c>
      <c r="AG88" s="47" t="str">
        <f aca="false">IF($A88="","",IF(AND(INDEX(工程マスタ!$I$5:$I$154,$A88)="○",$E88&gt;=AG$3,$E88&lt;=AG$3+6),"▼",IF(AND($E88&gt;=AG$3,$E88&lt;=AG$3+6),$A88,"")))</f>
        <v/>
      </c>
      <c r="AH88" s="47" t="str">
        <f aca="false">IF($A88="","",IF(AND(INDEX(工程マスタ!$I$5:$I$154,$A88)="○",$E88&gt;=AH$3,$E88&lt;=AH$3+6),"▼",IF(AND($E88&gt;=AH$3,$E88&lt;=AH$3+6),$A88,"")))</f>
        <v/>
      </c>
      <c r="AI88" s="47" t="str">
        <f aca="false">IF($A88="","",IF(AND(INDEX(工程マスタ!$I$5:$I$154,$A88)="○",$E88&gt;=AI$3,$E88&lt;=AI$3+6),"▼",IF(AND($E88&gt;=AI$3,$E88&lt;=AI$3+6),$A88,"")))</f>
        <v/>
      </c>
      <c r="AJ88" s="47" t="str">
        <f aca="false">IF($A88="","",IF(AND(INDEX(工程マスタ!$I$5:$I$154,$A88)="○",$E88&gt;=AJ$3,$E88&lt;=AJ$3+6),"▼",IF(AND($E88&gt;=AJ$3,$E88&lt;=AJ$3+6),$A88,"")))</f>
        <v/>
      </c>
      <c r="AK88" s="47" t="str">
        <f aca="false">IF($A88="","",IF(AND(INDEX(工程マスタ!$I$5:$I$154,$A88)="○",$E88&gt;=AK$3,$E88&lt;=AK$3+6),"▼",IF(AND($E88&gt;=AK$3,$E88&lt;=AK$3+6),$A88,"")))</f>
        <v/>
      </c>
      <c r="AL88" s="47" t="str">
        <f aca="false">IF($A88="","",IF(AND(INDEX(工程マスタ!$I$5:$I$154,$A88)="○",$E88&gt;=AL$3,$E88&lt;=AL$3+6),"▼",IF(AND($E88&gt;=AL$3,$E88&lt;=AL$3+6),$A88,"")))</f>
        <v/>
      </c>
      <c r="AM88" s="47" t="str">
        <f aca="false">IF($A88="","",IF(AND(INDEX(工程マスタ!$I$5:$I$154,$A88)="○",$E88&gt;=AM$3,$E88&lt;=AM$3+6),"▼",IF(AND($E88&gt;=AM$3,$E88&lt;=AM$3+6),$A88,"")))</f>
        <v/>
      </c>
      <c r="AN88" s="47" t="str">
        <f aca="false">IF($A88="","",IF(AND(INDEX(工程マスタ!$I$5:$I$154,$A88)="○",$E88&gt;=AN$3,$E88&lt;=AN$3+6),"▼",IF(AND($E88&gt;=AN$3,$E88&lt;=AN$3+6),$A88,"")))</f>
        <v/>
      </c>
      <c r="AO88" s="47" t="str">
        <f aca="false">IF($A88="","",IF(AND(INDEX(工程マスタ!$I$5:$I$154,$A88)="○",$E88&gt;=AO$3,$E88&lt;=AO$3+6),"▼",IF(AND($E88&gt;=AO$3,$E88&lt;=AO$3+6),$A88,"")))</f>
        <v/>
      </c>
      <c r="AP88" s="47" t="str">
        <f aca="false">IF($A88="","",IF(AND(INDEX(工程マスタ!$I$5:$I$154,$A88)="○",$E88&gt;=AP$3,$E88&lt;=AP$3+6),"▼",IF(AND($E88&gt;=AP$3,$E88&lt;=AP$3+6),$A88,"")))</f>
        <v/>
      </c>
      <c r="AQ88" s="47" t="str">
        <f aca="false">IF($A88="","",IF(AND(INDEX(工程マスタ!$I$5:$I$154,$A88)="○",$E88&gt;=AQ$3,$E88&lt;=AQ$3+6),"▼",IF(AND($E88&gt;=AQ$3,$E88&lt;=AQ$3+6),$A88,"")))</f>
        <v/>
      </c>
      <c r="AR88" s="47" t="str">
        <f aca="false">IF($A88="","",IF(AND(INDEX(工程マスタ!$I$5:$I$154,$A88)="○",$E88&gt;=AR$3,$E88&lt;=AR$3+6),"▼",IF(AND($E88&gt;=AR$3,$E88&lt;=AR$3+6),$A88,"")))</f>
        <v/>
      </c>
      <c r="AS88" s="47" t="str">
        <f aca="false">IF($A88="","",IF(AND(INDEX(工程マスタ!$I$5:$I$154,$A88)="○",$E88&gt;=AS$3,$E88&lt;=AS$3+6),"▼",IF(AND($E88&gt;=AS$3,$E88&lt;=AS$3+6),$A88,"")))</f>
        <v/>
      </c>
      <c r="AT88" s="47" t="str">
        <f aca="false">IF($A88="","",IF(AND(INDEX(工程マスタ!$I$5:$I$154,$A88)="○",$E88&gt;=AT$3,$E88&lt;=AT$3+6),"▼",IF(AND($E88&gt;=AT$3,$E88&lt;=AT$3+6),$A88,"")))</f>
        <v/>
      </c>
      <c r="AU88" s="47" t="str">
        <f aca="false">IF($A88="","",IF(AND(INDEX(工程マスタ!$I$5:$I$154,$A88)="○",$E88&gt;=AU$3,$E88&lt;=AU$3+6),"▼",IF(AND($E88&gt;=AU$3,$E88&lt;=AU$3+6),$A88,"")))</f>
        <v/>
      </c>
      <c r="AV88" s="47" t="str">
        <f aca="false">IF($A88="","",IF(AND(INDEX(工程マスタ!$I$5:$I$154,$A88)="○",$E88&gt;=AV$3,$E88&lt;=AV$3+6),"▼",IF(AND($E88&gt;=AV$3,$E88&lt;=AV$3+6),$A88,"")))</f>
        <v/>
      </c>
      <c r="AW88" s="47" t="str">
        <f aca="false">IF($A88="","",IF(AND(INDEX(工程マスタ!$I$5:$I$154,$A88)="○",$E88&gt;=AW$3,$E88&lt;=AW$3+6),"▼",IF(AND($E88&gt;=AW$3,$E88&lt;=AW$3+6),$A88,"")))</f>
        <v/>
      </c>
      <c r="AX88" s="47" t="str">
        <f aca="false">IF($A88="","",IF(AND(INDEX(工程マスタ!$I$5:$I$154,$A88)="○",$E88&gt;=AX$3,$E88&lt;=AX$3+6),"▼",IF(AND($E88&gt;=AX$3,$E88&lt;=AX$3+6),$A88,"")))</f>
        <v/>
      </c>
      <c r="AY88" s="47" t="str">
        <f aca="false">IF($A88="","",IF(AND(INDEX(工程マスタ!$I$5:$I$154,$A88)="○",$E88&gt;=AY$3,$E88&lt;=AY$3+6),"▼",IF(AND($E88&gt;=AY$3,$E88&lt;=AY$3+6),$A88,"")))</f>
        <v/>
      </c>
      <c r="AZ88" s="47" t="str">
        <f aca="false">IF($A88="","",IF(AND(INDEX(工程マスタ!$I$5:$I$154,$A88)="○",$E88&gt;=AZ$3,$E88&lt;=AZ$3+6),"▼",IF(AND($E88&gt;=AZ$3,$E88&lt;=AZ$3+6),$A88,"")))</f>
        <v/>
      </c>
      <c r="BA88" s="47" t="str">
        <f aca="false">IF($A88="","",IF(AND(INDEX(工程マスタ!$I$5:$I$154,$A88)="○",$E88&gt;=BA$3,$E88&lt;=BA$3+6),"▼",IF(AND($E88&gt;=BA$3,$E88&lt;=BA$3+6),$A88,"")))</f>
        <v/>
      </c>
      <c r="BB88" s="47" t="str">
        <f aca="false">IF($A88="","",IF(AND(INDEX(工程マスタ!$I$5:$I$154,$A88)="○",$E88&gt;=BB$3,$E88&lt;=BB$3+6),"▼",IF(AND($E88&gt;=BB$3,$E88&lt;=BB$3+6),$A88,"")))</f>
        <v/>
      </c>
      <c r="BC88" s="47" t="str">
        <f aca="false">IF($A88="","",IF(AND(INDEX(工程マスタ!$I$5:$I$154,$A88)="○",$E88&gt;=BC$3,$E88&lt;=BC$3+6),"▼",IF(AND($E88&gt;=BC$3,$E88&lt;=BC$3+6),$A88,"")))</f>
        <v/>
      </c>
      <c r="BD88" s="47" t="str">
        <f aca="false">IF($A88="","",IF(AND(INDEX(工程マスタ!$I$5:$I$154,$A88)="○",$E88&gt;=BD$3,$E88&lt;=BD$3+6),"▼",IF(AND($E88&gt;=BD$3,$E88&lt;=BD$3+6),$A88,"")))</f>
        <v/>
      </c>
      <c r="BE88" s="47" t="str">
        <f aca="false">IF($A88="","",IF(AND(INDEX(工程マスタ!$I$5:$I$154,$A88)="○",$E88&gt;=BE$3,$E88&lt;=BE$3+6),"▼",IF(AND($E88&gt;=BE$3,$E88&lt;=BE$3+6),$A88,"")))</f>
        <v/>
      </c>
      <c r="BF88" s="47" t="str">
        <f aca="false">IF($A88="","",IF(AND(INDEX(工程マスタ!$I$5:$I$154,$A88)="○",$E88&gt;=BF$3,$E88&lt;=BF$3+6),"▼",IF(AND($E88&gt;=BF$3,$E88&lt;=BF$3+6),$A88,"")))</f>
        <v/>
      </c>
      <c r="BG88" s="47" t="str">
        <f aca="false">IF($A88="","",IF(AND(INDEX(工程マスタ!$I$5:$I$154,$A88)="○",$E88&gt;=BG$3,$E88&lt;=BG$3+6),"▼",IF(AND($E88&gt;=BG$3,$E88&lt;=BG$3+6),$A88,"")))</f>
        <v/>
      </c>
      <c r="BH88" s="47" t="str">
        <f aca="false">IF($A88="","",IF(AND(INDEX(工程マスタ!$I$5:$I$154,$A88)="○",$E88&gt;=BH$3,$E88&lt;=BH$3+6),"▼",IF(AND($E88&gt;=BH$3,$E88&lt;=BH$3+6),$A88,"")))</f>
        <v/>
      </c>
      <c r="BI88" s="47" t="str">
        <f aca="false">IF($A88="","",IF(AND(INDEX(工程マスタ!$I$5:$I$154,$A88)="○",$E88&gt;=BI$3,$E88&lt;=BI$3+6),"▼",IF(AND($E88&gt;=BI$3,$E88&lt;=BI$3+6),$A88,"")))</f>
        <v/>
      </c>
      <c r="BJ88" s="47" t="str">
        <f aca="false">IF($A88="","",IF(AND(INDEX(工程マスタ!$I$5:$I$154,$A88)="○",$E88&gt;=BJ$3,$E88&lt;=BJ$3+6),"▼",IF(AND($E88&gt;=BJ$3,$E88&lt;=BJ$3+6),$A88,"")))</f>
        <v/>
      </c>
    </row>
    <row r="89" customFormat="false" ht="15" hidden="false" customHeight="false" outlineLevel="0" collapsed="false">
      <c r="A89" s="28" t="str">
        <f aca="false">IF(工程マスタ!$C87="","",工程マスタ!$A87)</f>
        <v/>
      </c>
      <c r="B89" s="46" t="str">
        <f aca="false">IF($A89="","",工程マスタ!$C87)</f>
        <v/>
      </c>
      <c r="C89" s="28" t="str">
        <f aca="false">IF($A89="","",MAX(1,工程マスタ!$G87))</f>
        <v/>
      </c>
      <c r="D89" s="28" t="str">
        <f aca="false">IF($A89="","",_xlfn.TEXTJOIN(",",TRUE(),工程マスタ!$N87:$P87))</f>
        <v/>
      </c>
      <c r="E89" s="29" t="str">
        <f aca="false">IF($A89="","",IF(COUNT(工程マスタ!$N87:$P87)=0,設定!$B$8,MAX(IF(工程マスタ!$N87="",0,INDEX($F$7:$F$156,工程マスタ!$N87)),IF(工程マスタ!$O87="",0,INDEX($F$7:$F$156,工程マスタ!$O87)),IF(工程マスタ!$P87="",0,INDEX($F$7:$F$156,工程マスタ!$P87)))+1))</f>
        <v/>
      </c>
      <c r="F89" s="29" t="str">
        <f aca="false">IF($A89="","",$E89+$C89-1)</f>
        <v/>
      </c>
      <c r="G89" s="29" t="str">
        <f aca="false">IF($A89="","",$H89-$C89+1)</f>
        <v/>
      </c>
      <c r="H89" s="29" t="str">
        <f aca="false" t="array" ref="H89:H89">IF($A89="","",IF(SUMPRODUCT((工程マスタ!$N$88:$N$154=$A89)*1)+SUMPRODUCT((工程マスタ!$O$88:$O$154=$A89)*1)+SUMPRODUCT((工程マスタ!$P$88:$P$154=$A89)*1)=0,MAX($F$7:$F$156),MIN(IF((工程マスタ!$N$88:$N$154=$A89)+(工程マスタ!$O$88:$O$154=$A89)+(工程マスタ!$P$88:$P$154=$A89),$G90:$G$156))-1))</f>
        <v/>
      </c>
      <c r="I89" s="28" t="str">
        <f aca="false">IF($A89="","",$G89-$E89)</f>
        <v/>
      </c>
      <c r="J89" s="28" t="str">
        <f aca="false">IF($A89="","",IF($I89&lt;=0,"●",""))</f>
        <v/>
      </c>
      <c r="K89" s="47" t="str">
        <f aca="false">IF($A89="","",IF(AND(INDEX(工程マスタ!$I$5:$I$154,$A89)="○",$E89&gt;=K$3,$E89&lt;=K$3+6),"▼",IF(AND($E89&gt;=K$3,$E89&lt;=K$3+6),$A89,"")))</f>
        <v/>
      </c>
      <c r="L89" s="47" t="str">
        <f aca="false">IF($A89="","",IF(AND(INDEX(工程マスタ!$I$5:$I$154,$A89)="○",$E89&gt;=L$3,$E89&lt;=L$3+6),"▼",IF(AND($E89&gt;=L$3,$E89&lt;=L$3+6),$A89,"")))</f>
        <v/>
      </c>
      <c r="M89" s="47" t="str">
        <f aca="false">IF($A89="","",IF(AND(INDEX(工程マスタ!$I$5:$I$154,$A89)="○",$E89&gt;=M$3,$E89&lt;=M$3+6),"▼",IF(AND($E89&gt;=M$3,$E89&lt;=M$3+6),$A89,"")))</f>
        <v/>
      </c>
      <c r="N89" s="47" t="str">
        <f aca="false">IF($A89="","",IF(AND(INDEX(工程マスタ!$I$5:$I$154,$A89)="○",$E89&gt;=N$3,$E89&lt;=N$3+6),"▼",IF(AND($E89&gt;=N$3,$E89&lt;=N$3+6),$A89,"")))</f>
        <v/>
      </c>
      <c r="O89" s="47" t="str">
        <f aca="false">IF($A89="","",IF(AND(INDEX(工程マスタ!$I$5:$I$154,$A89)="○",$E89&gt;=O$3,$E89&lt;=O$3+6),"▼",IF(AND($E89&gt;=O$3,$E89&lt;=O$3+6),$A89,"")))</f>
        <v/>
      </c>
      <c r="P89" s="47" t="str">
        <f aca="false">IF($A89="","",IF(AND(INDEX(工程マスタ!$I$5:$I$154,$A89)="○",$E89&gt;=P$3,$E89&lt;=P$3+6),"▼",IF(AND($E89&gt;=P$3,$E89&lt;=P$3+6),$A89,"")))</f>
        <v/>
      </c>
      <c r="Q89" s="47" t="str">
        <f aca="false">IF($A89="","",IF(AND(INDEX(工程マスタ!$I$5:$I$154,$A89)="○",$E89&gt;=Q$3,$E89&lt;=Q$3+6),"▼",IF(AND($E89&gt;=Q$3,$E89&lt;=Q$3+6),$A89,"")))</f>
        <v/>
      </c>
      <c r="R89" s="47" t="str">
        <f aca="false">IF($A89="","",IF(AND(INDEX(工程マスタ!$I$5:$I$154,$A89)="○",$E89&gt;=R$3,$E89&lt;=R$3+6),"▼",IF(AND($E89&gt;=R$3,$E89&lt;=R$3+6),$A89,"")))</f>
        <v/>
      </c>
      <c r="S89" s="47" t="str">
        <f aca="false">IF($A89="","",IF(AND(INDEX(工程マスタ!$I$5:$I$154,$A89)="○",$E89&gt;=S$3,$E89&lt;=S$3+6),"▼",IF(AND($E89&gt;=S$3,$E89&lt;=S$3+6),$A89,"")))</f>
        <v/>
      </c>
      <c r="T89" s="47" t="str">
        <f aca="false">IF($A89="","",IF(AND(INDEX(工程マスタ!$I$5:$I$154,$A89)="○",$E89&gt;=T$3,$E89&lt;=T$3+6),"▼",IF(AND($E89&gt;=T$3,$E89&lt;=T$3+6),$A89,"")))</f>
        <v/>
      </c>
      <c r="U89" s="47" t="str">
        <f aca="false">IF($A89="","",IF(AND(INDEX(工程マスタ!$I$5:$I$154,$A89)="○",$E89&gt;=U$3,$E89&lt;=U$3+6),"▼",IF(AND($E89&gt;=U$3,$E89&lt;=U$3+6),$A89,"")))</f>
        <v/>
      </c>
      <c r="V89" s="47" t="str">
        <f aca="false">IF($A89="","",IF(AND(INDEX(工程マスタ!$I$5:$I$154,$A89)="○",$E89&gt;=V$3,$E89&lt;=V$3+6),"▼",IF(AND($E89&gt;=V$3,$E89&lt;=V$3+6),$A89,"")))</f>
        <v/>
      </c>
      <c r="W89" s="47" t="str">
        <f aca="false">IF($A89="","",IF(AND(INDEX(工程マスタ!$I$5:$I$154,$A89)="○",$E89&gt;=W$3,$E89&lt;=W$3+6),"▼",IF(AND($E89&gt;=W$3,$E89&lt;=W$3+6),$A89,"")))</f>
        <v/>
      </c>
      <c r="X89" s="47" t="str">
        <f aca="false">IF($A89="","",IF(AND(INDEX(工程マスタ!$I$5:$I$154,$A89)="○",$E89&gt;=X$3,$E89&lt;=X$3+6),"▼",IF(AND($E89&gt;=X$3,$E89&lt;=X$3+6),$A89,"")))</f>
        <v/>
      </c>
      <c r="Y89" s="47" t="str">
        <f aca="false">IF($A89="","",IF(AND(INDEX(工程マスタ!$I$5:$I$154,$A89)="○",$E89&gt;=Y$3,$E89&lt;=Y$3+6),"▼",IF(AND($E89&gt;=Y$3,$E89&lt;=Y$3+6),$A89,"")))</f>
        <v/>
      </c>
      <c r="Z89" s="47" t="str">
        <f aca="false">IF($A89="","",IF(AND(INDEX(工程マスタ!$I$5:$I$154,$A89)="○",$E89&gt;=Z$3,$E89&lt;=Z$3+6),"▼",IF(AND($E89&gt;=Z$3,$E89&lt;=Z$3+6),$A89,"")))</f>
        <v/>
      </c>
      <c r="AA89" s="47" t="str">
        <f aca="false">IF($A89="","",IF(AND(INDEX(工程マスタ!$I$5:$I$154,$A89)="○",$E89&gt;=AA$3,$E89&lt;=AA$3+6),"▼",IF(AND($E89&gt;=AA$3,$E89&lt;=AA$3+6),$A89,"")))</f>
        <v/>
      </c>
      <c r="AB89" s="47" t="str">
        <f aca="false">IF($A89="","",IF(AND(INDEX(工程マスタ!$I$5:$I$154,$A89)="○",$E89&gt;=AB$3,$E89&lt;=AB$3+6),"▼",IF(AND($E89&gt;=AB$3,$E89&lt;=AB$3+6),$A89,"")))</f>
        <v/>
      </c>
      <c r="AC89" s="47" t="str">
        <f aca="false">IF($A89="","",IF(AND(INDEX(工程マスタ!$I$5:$I$154,$A89)="○",$E89&gt;=AC$3,$E89&lt;=AC$3+6),"▼",IF(AND($E89&gt;=AC$3,$E89&lt;=AC$3+6),$A89,"")))</f>
        <v/>
      </c>
      <c r="AD89" s="47" t="str">
        <f aca="false">IF($A89="","",IF(AND(INDEX(工程マスタ!$I$5:$I$154,$A89)="○",$E89&gt;=AD$3,$E89&lt;=AD$3+6),"▼",IF(AND($E89&gt;=AD$3,$E89&lt;=AD$3+6),$A89,"")))</f>
        <v/>
      </c>
      <c r="AE89" s="47" t="str">
        <f aca="false">IF($A89="","",IF(AND(INDEX(工程マスタ!$I$5:$I$154,$A89)="○",$E89&gt;=AE$3,$E89&lt;=AE$3+6),"▼",IF(AND($E89&gt;=AE$3,$E89&lt;=AE$3+6),$A89,"")))</f>
        <v/>
      </c>
      <c r="AF89" s="47" t="str">
        <f aca="false">IF($A89="","",IF(AND(INDEX(工程マスタ!$I$5:$I$154,$A89)="○",$E89&gt;=AF$3,$E89&lt;=AF$3+6),"▼",IF(AND($E89&gt;=AF$3,$E89&lt;=AF$3+6),$A89,"")))</f>
        <v/>
      </c>
      <c r="AG89" s="47" t="str">
        <f aca="false">IF($A89="","",IF(AND(INDEX(工程マスタ!$I$5:$I$154,$A89)="○",$E89&gt;=AG$3,$E89&lt;=AG$3+6),"▼",IF(AND($E89&gt;=AG$3,$E89&lt;=AG$3+6),$A89,"")))</f>
        <v/>
      </c>
      <c r="AH89" s="47" t="str">
        <f aca="false">IF($A89="","",IF(AND(INDEX(工程マスタ!$I$5:$I$154,$A89)="○",$E89&gt;=AH$3,$E89&lt;=AH$3+6),"▼",IF(AND($E89&gt;=AH$3,$E89&lt;=AH$3+6),$A89,"")))</f>
        <v/>
      </c>
      <c r="AI89" s="47" t="str">
        <f aca="false">IF($A89="","",IF(AND(INDEX(工程マスタ!$I$5:$I$154,$A89)="○",$E89&gt;=AI$3,$E89&lt;=AI$3+6),"▼",IF(AND($E89&gt;=AI$3,$E89&lt;=AI$3+6),$A89,"")))</f>
        <v/>
      </c>
      <c r="AJ89" s="47" t="str">
        <f aca="false">IF($A89="","",IF(AND(INDEX(工程マスタ!$I$5:$I$154,$A89)="○",$E89&gt;=AJ$3,$E89&lt;=AJ$3+6),"▼",IF(AND($E89&gt;=AJ$3,$E89&lt;=AJ$3+6),$A89,"")))</f>
        <v/>
      </c>
      <c r="AK89" s="47" t="str">
        <f aca="false">IF($A89="","",IF(AND(INDEX(工程マスタ!$I$5:$I$154,$A89)="○",$E89&gt;=AK$3,$E89&lt;=AK$3+6),"▼",IF(AND($E89&gt;=AK$3,$E89&lt;=AK$3+6),$A89,"")))</f>
        <v/>
      </c>
      <c r="AL89" s="47" t="str">
        <f aca="false">IF($A89="","",IF(AND(INDEX(工程マスタ!$I$5:$I$154,$A89)="○",$E89&gt;=AL$3,$E89&lt;=AL$3+6),"▼",IF(AND($E89&gt;=AL$3,$E89&lt;=AL$3+6),$A89,"")))</f>
        <v/>
      </c>
      <c r="AM89" s="47" t="str">
        <f aca="false">IF($A89="","",IF(AND(INDEX(工程マスタ!$I$5:$I$154,$A89)="○",$E89&gt;=AM$3,$E89&lt;=AM$3+6),"▼",IF(AND($E89&gt;=AM$3,$E89&lt;=AM$3+6),$A89,"")))</f>
        <v/>
      </c>
      <c r="AN89" s="47" t="str">
        <f aca="false">IF($A89="","",IF(AND(INDEX(工程マスタ!$I$5:$I$154,$A89)="○",$E89&gt;=AN$3,$E89&lt;=AN$3+6),"▼",IF(AND($E89&gt;=AN$3,$E89&lt;=AN$3+6),$A89,"")))</f>
        <v/>
      </c>
      <c r="AO89" s="47" t="str">
        <f aca="false">IF($A89="","",IF(AND(INDEX(工程マスタ!$I$5:$I$154,$A89)="○",$E89&gt;=AO$3,$E89&lt;=AO$3+6),"▼",IF(AND($E89&gt;=AO$3,$E89&lt;=AO$3+6),$A89,"")))</f>
        <v/>
      </c>
      <c r="AP89" s="47" t="str">
        <f aca="false">IF($A89="","",IF(AND(INDEX(工程マスタ!$I$5:$I$154,$A89)="○",$E89&gt;=AP$3,$E89&lt;=AP$3+6),"▼",IF(AND($E89&gt;=AP$3,$E89&lt;=AP$3+6),$A89,"")))</f>
        <v/>
      </c>
      <c r="AQ89" s="47" t="str">
        <f aca="false">IF($A89="","",IF(AND(INDEX(工程マスタ!$I$5:$I$154,$A89)="○",$E89&gt;=AQ$3,$E89&lt;=AQ$3+6),"▼",IF(AND($E89&gt;=AQ$3,$E89&lt;=AQ$3+6),$A89,"")))</f>
        <v/>
      </c>
      <c r="AR89" s="47" t="str">
        <f aca="false">IF($A89="","",IF(AND(INDEX(工程マスタ!$I$5:$I$154,$A89)="○",$E89&gt;=AR$3,$E89&lt;=AR$3+6),"▼",IF(AND($E89&gt;=AR$3,$E89&lt;=AR$3+6),$A89,"")))</f>
        <v/>
      </c>
      <c r="AS89" s="47" t="str">
        <f aca="false">IF($A89="","",IF(AND(INDEX(工程マスタ!$I$5:$I$154,$A89)="○",$E89&gt;=AS$3,$E89&lt;=AS$3+6),"▼",IF(AND($E89&gt;=AS$3,$E89&lt;=AS$3+6),$A89,"")))</f>
        <v/>
      </c>
      <c r="AT89" s="47" t="str">
        <f aca="false">IF($A89="","",IF(AND(INDEX(工程マスタ!$I$5:$I$154,$A89)="○",$E89&gt;=AT$3,$E89&lt;=AT$3+6),"▼",IF(AND($E89&gt;=AT$3,$E89&lt;=AT$3+6),$A89,"")))</f>
        <v/>
      </c>
      <c r="AU89" s="47" t="str">
        <f aca="false">IF($A89="","",IF(AND(INDEX(工程マスタ!$I$5:$I$154,$A89)="○",$E89&gt;=AU$3,$E89&lt;=AU$3+6),"▼",IF(AND($E89&gt;=AU$3,$E89&lt;=AU$3+6),$A89,"")))</f>
        <v/>
      </c>
      <c r="AV89" s="47" t="str">
        <f aca="false">IF($A89="","",IF(AND(INDEX(工程マスタ!$I$5:$I$154,$A89)="○",$E89&gt;=AV$3,$E89&lt;=AV$3+6),"▼",IF(AND($E89&gt;=AV$3,$E89&lt;=AV$3+6),$A89,"")))</f>
        <v/>
      </c>
      <c r="AW89" s="47" t="str">
        <f aca="false">IF($A89="","",IF(AND(INDEX(工程マスタ!$I$5:$I$154,$A89)="○",$E89&gt;=AW$3,$E89&lt;=AW$3+6),"▼",IF(AND($E89&gt;=AW$3,$E89&lt;=AW$3+6),$A89,"")))</f>
        <v/>
      </c>
      <c r="AX89" s="47" t="str">
        <f aca="false">IF($A89="","",IF(AND(INDEX(工程マスタ!$I$5:$I$154,$A89)="○",$E89&gt;=AX$3,$E89&lt;=AX$3+6),"▼",IF(AND($E89&gt;=AX$3,$E89&lt;=AX$3+6),$A89,"")))</f>
        <v/>
      </c>
      <c r="AY89" s="47" t="str">
        <f aca="false">IF($A89="","",IF(AND(INDEX(工程マスタ!$I$5:$I$154,$A89)="○",$E89&gt;=AY$3,$E89&lt;=AY$3+6),"▼",IF(AND($E89&gt;=AY$3,$E89&lt;=AY$3+6),$A89,"")))</f>
        <v/>
      </c>
      <c r="AZ89" s="47" t="str">
        <f aca="false">IF($A89="","",IF(AND(INDEX(工程マスタ!$I$5:$I$154,$A89)="○",$E89&gt;=AZ$3,$E89&lt;=AZ$3+6),"▼",IF(AND($E89&gt;=AZ$3,$E89&lt;=AZ$3+6),$A89,"")))</f>
        <v/>
      </c>
      <c r="BA89" s="47" t="str">
        <f aca="false">IF($A89="","",IF(AND(INDEX(工程マスタ!$I$5:$I$154,$A89)="○",$E89&gt;=BA$3,$E89&lt;=BA$3+6),"▼",IF(AND($E89&gt;=BA$3,$E89&lt;=BA$3+6),$A89,"")))</f>
        <v/>
      </c>
      <c r="BB89" s="47" t="str">
        <f aca="false">IF($A89="","",IF(AND(INDEX(工程マスタ!$I$5:$I$154,$A89)="○",$E89&gt;=BB$3,$E89&lt;=BB$3+6),"▼",IF(AND($E89&gt;=BB$3,$E89&lt;=BB$3+6),$A89,"")))</f>
        <v/>
      </c>
      <c r="BC89" s="47" t="str">
        <f aca="false">IF($A89="","",IF(AND(INDEX(工程マスタ!$I$5:$I$154,$A89)="○",$E89&gt;=BC$3,$E89&lt;=BC$3+6),"▼",IF(AND($E89&gt;=BC$3,$E89&lt;=BC$3+6),$A89,"")))</f>
        <v/>
      </c>
      <c r="BD89" s="47" t="str">
        <f aca="false">IF($A89="","",IF(AND(INDEX(工程マスタ!$I$5:$I$154,$A89)="○",$E89&gt;=BD$3,$E89&lt;=BD$3+6),"▼",IF(AND($E89&gt;=BD$3,$E89&lt;=BD$3+6),$A89,"")))</f>
        <v/>
      </c>
      <c r="BE89" s="47" t="str">
        <f aca="false">IF($A89="","",IF(AND(INDEX(工程マスタ!$I$5:$I$154,$A89)="○",$E89&gt;=BE$3,$E89&lt;=BE$3+6),"▼",IF(AND($E89&gt;=BE$3,$E89&lt;=BE$3+6),$A89,"")))</f>
        <v/>
      </c>
      <c r="BF89" s="47" t="str">
        <f aca="false">IF($A89="","",IF(AND(INDEX(工程マスタ!$I$5:$I$154,$A89)="○",$E89&gt;=BF$3,$E89&lt;=BF$3+6),"▼",IF(AND($E89&gt;=BF$3,$E89&lt;=BF$3+6),$A89,"")))</f>
        <v/>
      </c>
      <c r="BG89" s="47" t="str">
        <f aca="false">IF($A89="","",IF(AND(INDEX(工程マスタ!$I$5:$I$154,$A89)="○",$E89&gt;=BG$3,$E89&lt;=BG$3+6),"▼",IF(AND($E89&gt;=BG$3,$E89&lt;=BG$3+6),$A89,"")))</f>
        <v/>
      </c>
      <c r="BH89" s="47" t="str">
        <f aca="false">IF($A89="","",IF(AND(INDEX(工程マスタ!$I$5:$I$154,$A89)="○",$E89&gt;=BH$3,$E89&lt;=BH$3+6),"▼",IF(AND($E89&gt;=BH$3,$E89&lt;=BH$3+6),$A89,"")))</f>
        <v/>
      </c>
      <c r="BI89" s="47" t="str">
        <f aca="false">IF($A89="","",IF(AND(INDEX(工程マスタ!$I$5:$I$154,$A89)="○",$E89&gt;=BI$3,$E89&lt;=BI$3+6),"▼",IF(AND($E89&gt;=BI$3,$E89&lt;=BI$3+6),$A89,"")))</f>
        <v/>
      </c>
      <c r="BJ89" s="47" t="str">
        <f aca="false">IF($A89="","",IF(AND(INDEX(工程マスタ!$I$5:$I$154,$A89)="○",$E89&gt;=BJ$3,$E89&lt;=BJ$3+6),"▼",IF(AND($E89&gt;=BJ$3,$E89&lt;=BJ$3+6),$A89,"")))</f>
        <v/>
      </c>
    </row>
    <row r="90" customFormat="false" ht="15" hidden="false" customHeight="false" outlineLevel="0" collapsed="false">
      <c r="A90" s="28" t="str">
        <f aca="false">IF(工程マスタ!$C88="","",工程マスタ!$A88)</f>
        <v/>
      </c>
      <c r="B90" s="46" t="str">
        <f aca="false">IF($A90="","",工程マスタ!$C88)</f>
        <v/>
      </c>
      <c r="C90" s="28" t="str">
        <f aca="false">IF($A90="","",MAX(1,工程マスタ!$G88))</f>
        <v/>
      </c>
      <c r="D90" s="28" t="str">
        <f aca="false">IF($A90="","",_xlfn.TEXTJOIN(",",TRUE(),工程マスタ!$N88:$P88))</f>
        <v/>
      </c>
      <c r="E90" s="29" t="str">
        <f aca="false">IF($A90="","",IF(COUNT(工程マスタ!$N88:$P88)=0,設定!$B$8,MAX(IF(工程マスタ!$N88="",0,INDEX($F$7:$F$156,工程マスタ!$N88)),IF(工程マスタ!$O88="",0,INDEX($F$7:$F$156,工程マスタ!$O88)),IF(工程マスタ!$P88="",0,INDEX($F$7:$F$156,工程マスタ!$P88)))+1))</f>
        <v/>
      </c>
      <c r="F90" s="29" t="str">
        <f aca="false">IF($A90="","",$E90+$C90-1)</f>
        <v/>
      </c>
      <c r="G90" s="29" t="str">
        <f aca="false">IF($A90="","",$H90-$C90+1)</f>
        <v/>
      </c>
      <c r="H90" s="29" t="str">
        <f aca="false" t="array" ref="H90:H90">IF($A90="","",IF(SUMPRODUCT((工程マスタ!$N$89:$N$154=$A90)*1)+SUMPRODUCT((工程マスタ!$O$89:$O$154=$A90)*1)+SUMPRODUCT((工程マスタ!$P$89:$P$154=$A90)*1)=0,MAX($F$7:$F$156),MIN(IF((工程マスタ!$N$89:$N$154=$A90)+(工程マスタ!$O$89:$O$154=$A90)+(工程マスタ!$P$89:$P$154=$A90),$G91:$G$156))-1))</f>
        <v/>
      </c>
      <c r="I90" s="28" t="str">
        <f aca="false">IF($A90="","",$G90-$E90)</f>
        <v/>
      </c>
      <c r="J90" s="28" t="str">
        <f aca="false">IF($A90="","",IF($I90&lt;=0,"●",""))</f>
        <v/>
      </c>
      <c r="K90" s="47" t="str">
        <f aca="false">IF($A90="","",IF(AND(INDEX(工程マスタ!$I$5:$I$154,$A90)="○",$E90&gt;=K$3,$E90&lt;=K$3+6),"▼",IF(AND($E90&gt;=K$3,$E90&lt;=K$3+6),$A90,"")))</f>
        <v/>
      </c>
      <c r="L90" s="47" t="str">
        <f aca="false">IF($A90="","",IF(AND(INDEX(工程マスタ!$I$5:$I$154,$A90)="○",$E90&gt;=L$3,$E90&lt;=L$3+6),"▼",IF(AND($E90&gt;=L$3,$E90&lt;=L$3+6),$A90,"")))</f>
        <v/>
      </c>
      <c r="M90" s="47" t="str">
        <f aca="false">IF($A90="","",IF(AND(INDEX(工程マスタ!$I$5:$I$154,$A90)="○",$E90&gt;=M$3,$E90&lt;=M$3+6),"▼",IF(AND($E90&gt;=M$3,$E90&lt;=M$3+6),$A90,"")))</f>
        <v/>
      </c>
      <c r="N90" s="47" t="str">
        <f aca="false">IF($A90="","",IF(AND(INDEX(工程マスタ!$I$5:$I$154,$A90)="○",$E90&gt;=N$3,$E90&lt;=N$3+6),"▼",IF(AND($E90&gt;=N$3,$E90&lt;=N$3+6),$A90,"")))</f>
        <v/>
      </c>
      <c r="O90" s="47" t="str">
        <f aca="false">IF($A90="","",IF(AND(INDEX(工程マスタ!$I$5:$I$154,$A90)="○",$E90&gt;=O$3,$E90&lt;=O$3+6),"▼",IF(AND($E90&gt;=O$3,$E90&lt;=O$3+6),$A90,"")))</f>
        <v/>
      </c>
      <c r="P90" s="47" t="str">
        <f aca="false">IF($A90="","",IF(AND(INDEX(工程マスタ!$I$5:$I$154,$A90)="○",$E90&gt;=P$3,$E90&lt;=P$3+6),"▼",IF(AND($E90&gt;=P$3,$E90&lt;=P$3+6),$A90,"")))</f>
        <v/>
      </c>
      <c r="Q90" s="47" t="str">
        <f aca="false">IF($A90="","",IF(AND(INDEX(工程マスタ!$I$5:$I$154,$A90)="○",$E90&gt;=Q$3,$E90&lt;=Q$3+6),"▼",IF(AND($E90&gt;=Q$3,$E90&lt;=Q$3+6),$A90,"")))</f>
        <v/>
      </c>
      <c r="R90" s="47" t="str">
        <f aca="false">IF($A90="","",IF(AND(INDEX(工程マスタ!$I$5:$I$154,$A90)="○",$E90&gt;=R$3,$E90&lt;=R$3+6),"▼",IF(AND($E90&gt;=R$3,$E90&lt;=R$3+6),$A90,"")))</f>
        <v/>
      </c>
      <c r="S90" s="47" t="str">
        <f aca="false">IF($A90="","",IF(AND(INDEX(工程マスタ!$I$5:$I$154,$A90)="○",$E90&gt;=S$3,$E90&lt;=S$3+6),"▼",IF(AND($E90&gt;=S$3,$E90&lt;=S$3+6),$A90,"")))</f>
        <v/>
      </c>
      <c r="T90" s="47" t="str">
        <f aca="false">IF($A90="","",IF(AND(INDEX(工程マスタ!$I$5:$I$154,$A90)="○",$E90&gt;=T$3,$E90&lt;=T$3+6),"▼",IF(AND($E90&gt;=T$3,$E90&lt;=T$3+6),$A90,"")))</f>
        <v/>
      </c>
      <c r="U90" s="47" t="str">
        <f aca="false">IF($A90="","",IF(AND(INDEX(工程マスタ!$I$5:$I$154,$A90)="○",$E90&gt;=U$3,$E90&lt;=U$3+6),"▼",IF(AND($E90&gt;=U$3,$E90&lt;=U$3+6),$A90,"")))</f>
        <v/>
      </c>
      <c r="V90" s="47" t="str">
        <f aca="false">IF($A90="","",IF(AND(INDEX(工程マスタ!$I$5:$I$154,$A90)="○",$E90&gt;=V$3,$E90&lt;=V$3+6),"▼",IF(AND($E90&gt;=V$3,$E90&lt;=V$3+6),$A90,"")))</f>
        <v/>
      </c>
      <c r="W90" s="47" t="str">
        <f aca="false">IF($A90="","",IF(AND(INDEX(工程マスタ!$I$5:$I$154,$A90)="○",$E90&gt;=W$3,$E90&lt;=W$3+6),"▼",IF(AND($E90&gt;=W$3,$E90&lt;=W$3+6),$A90,"")))</f>
        <v/>
      </c>
      <c r="X90" s="47" t="str">
        <f aca="false">IF($A90="","",IF(AND(INDEX(工程マスタ!$I$5:$I$154,$A90)="○",$E90&gt;=X$3,$E90&lt;=X$3+6),"▼",IF(AND($E90&gt;=X$3,$E90&lt;=X$3+6),$A90,"")))</f>
        <v/>
      </c>
      <c r="Y90" s="47" t="str">
        <f aca="false">IF($A90="","",IF(AND(INDEX(工程マスタ!$I$5:$I$154,$A90)="○",$E90&gt;=Y$3,$E90&lt;=Y$3+6),"▼",IF(AND($E90&gt;=Y$3,$E90&lt;=Y$3+6),$A90,"")))</f>
        <v/>
      </c>
      <c r="Z90" s="47" t="str">
        <f aca="false">IF($A90="","",IF(AND(INDEX(工程マスタ!$I$5:$I$154,$A90)="○",$E90&gt;=Z$3,$E90&lt;=Z$3+6),"▼",IF(AND($E90&gt;=Z$3,$E90&lt;=Z$3+6),$A90,"")))</f>
        <v/>
      </c>
      <c r="AA90" s="47" t="str">
        <f aca="false">IF($A90="","",IF(AND(INDEX(工程マスタ!$I$5:$I$154,$A90)="○",$E90&gt;=AA$3,$E90&lt;=AA$3+6),"▼",IF(AND($E90&gt;=AA$3,$E90&lt;=AA$3+6),$A90,"")))</f>
        <v/>
      </c>
      <c r="AB90" s="47" t="str">
        <f aca="false">IF($A90="","",IF(AND(INDEX(工程マスタ!$I$5:$I$154,$A90)="○",$E90&gt;=AB$3,$E90&lt;=AB$3+6),"▼",IF(AND($E90&gt;=AB$3,$E90&lt;=AB$3+6),$A90,"")))</f>
        <v/>
      </c>
      <c r="AC90" s="47" t="str">
        <f aca="false">IF($A90="","",IF(AND(INDEX(工程マスタ!$I$5:$I$154,$A90)="○",$E90&gt;=AC$3,$E90&lt;=AC$3+6),"▼",IF(AND($E90&gt;=AC$3,$E90&lt;=AC$3+6),$A90,"")))</f>
        <v/>
      </c>
      <c r="AD90" s="47" t="str">
        <f aca="false">IF($A90="","",IF(AND(INDEX(工程マスタ!$I$5:$I$154,$A90)="○",$E90&gt;=AD$3,$E90&lt;=AD$3+6),"▼",IF(AND($E90&gt;=AD$3,$E90&lt;=AD$3+6),$A90,"")))</f>
        <v/>
      </c>
      <c r="AE90" s="47" t="str">
        <f aca="false">IF($A90="","",IF(AND(INDEX(工程マスタ!$I$5:$I$154,$A90)="○",$E90&gt;=AE$3,$E90&lt;=AE$3+6),"▼",IF(AND($E90&gt;=AE$3,$E90&lt;=AE$3+6),$A90,"")))</f>
        <v/>
      </c>
      <c r="AF90" s="47" t="str">
        <f aca="false">IF($A90="","",IF(AND(INDEX(工程マスタ!$I$5:$I$154,$A90)="○",$E90&gt;=AF$3,$E90&lt;=AF$3+6),"▼",IF(AND($E90&gt;=AF$3,$E90&lt;=AF$3+6),$A90,"")))</f>
        <v/>
      </c>
      <c r="AG90" s="47" t="str">
        <f aca="false">IF($A90="","",IF(AND(INDEX(工程マスタ!$I$5:$I$154,$A90)="○",$E90&gt;=AG$3,$E90&lt;=AG$3+6),"▼",IF(AND($E90&gt;=AG$3,$E90&lt;=AG$3+6),$A90,"")))</f>
        <v/>
      </c>
      <c r="AH90" s="47" t="str">
        <f aca="false">IF($A90="","",IF(AND(INDEX(工程マスタ!$I$5:$I$154,$A90)="○",$E90&gt;=AH$3,$E90&lt;=AH$3+6),"▼",IF(AND($E90&gt;=AH$3,$E90&lt;=AH$3+6),$A90,"")))</f>
        <v/>
      </c>
      <c r="AI90" s="47" t="str">
        <f aca="false">IF($A90="","",IF(AND(INDEX(工程マスタ!$I$5:$I$154,$A90)="○",$E90&gt;=AI$3,$E90&lt;=AI$3+6),"▼",IF(AND($E90&gt;=AI$3,$E90&lt;=AI$3+6),$A90,"")))</f>
        <v/>
      </c>
      <c r="AJ90" s="47" t="str">
        <f aca="false">IF($A90="","",IF(AND(INDEX(工程マスタ!$I$5:$I$154,$A90)="○",$E90&gt;=AJ$3,$E90&lt;=AJ$3+6),"▼",IF(AND($E90&gt;=AJ$3,$E90&lt;=AJ$3+6),$A90,"")))</f>
        <v/>
      </c>
      <c r="AK90" s="47" t="str">
        <f aca="false">IF($A90="","",IF(AND(INDEX(工程マスタ!$I$5:$I$154,$A90)="○",$E90&gt;=AK$3,$E90&lt;=AK$3+6),"▼",IF(AND($E90&gt;=AK$3,$E90&lt;=AK$3+6),$A90,"")))</f>
        <v/>
      </c>
      <c r="AL90" s="47" t="str">
        <f aca="false">IF($A90="","",IF(AND(INDEX(工程マスタ!$I$5:$I$154,$A90)="○",$E90&gt;=AL$3,$E90&lt;=AL$3+6),"▼",IF(AND($E90&gt;=AL$3,$E90&lt;=AL$3+6),$A90,"")))</f>
        <v/>
      </c>
      <c r="AM90" s="47" t="str">
        <f aca="false">IF($A90="","",IF(AND(INDEX(工程マスタ!$I$5:$I$154,$A90)="○",$E90&gt;=AM$3,$E90&lt;=AM$3+6),"▼",IF(AND($E90&gt;=AM$3,$E90&lt;=AM$3+6),$A90,"")))</f>
        <v/>
      </c>
      <c r="AN90" s="47" t="str">
        <f aca="false">IF($A90="","",IF(AND(INDEX(工程マスタ!$I$5:$I$154,$A90)="○",$E90&gt;=AN$3,$E90&lt;=AN$3+6),"▼",IF(AND($E90&gt;=AN$3,$E90&lt;=AN$3+6),$A90,"")))</f>
        <v/>
      </c>
      <c r="AO90" s="47" t="str">
        <f aca="false">IF($A90="","",IF(AND(INDEX(工程マスタ!$I$5:$I$154,$A90)="○",$E90&gt;=AO$3,$E90&lt;=AO$3+6),"▼",IF(AND($E90&gt;=AO$3,$E90&lt;=AO$3+6),$A90,"")))</f>
        <v/>
      </c>
      <c r="AP90" s="47" t="str">
        <f aca="false">IF($A90="","",IF(AND(INDEX(工程マスタ!$I$5:$I$154,$A90)="○",$E90&gt;=AP$3,$E90&lt;=AP$3+6),"▼",IF(AND($E90&gt;=AP$3,$E90&lt;=AP$3+6),$A90,"")))</f>
        <v/>
      </c>
      <c r="AQ90" s="47" t="str">
        <f aca="false">IF($A90="","",IF(AND(INDEX(工程マスタ!$I$5:$I$154,$A90)="○",$E90&gt;=AQ$3,$E90&lt;=AQ$3+6),"▼",IF(AND($E90&gt;=AQ$3,$E90&lt;=AQ$3+6),$A90,"")))</f>
        <v/>
      </c>
      <c r="AR90" s="47" t="str">
        <f aca="false">IF($A90="","",IF(AND(INDEX(工程マスタ!$I$5:$I$154,$A90)="○",$E90&gt;=AR$3,$E90&lt;=AR$3+6),"▼",IF(AND($E90&gt;=AR$3,$E90&lt;=AR$3+6),$A90,"")))</f>
        <v/>
      </c>
      <c r="AS90" s="47" t="str">
        <f aca="false">IF($A90="","",IF(AND(INDEX(工程マスタ!$I$5:$I$154,$A90)="○",$E90&gt;=AS$3,$E90&lt;=AS$3+6),"▼",IF(AND($E90&gt;=AS$3,$E90&lt;=AS$3+6),$A90,"")))</f>
        <v/>
      </c>
      <c r="AT90" s="47" t="str">
        <f aca="false">IF($A90="","",IF(AND(INDEX(工程マスタ!$I$5:$I$154,$A90)="○",$E90&gt;=AT$3,$E90&lt;=AT$3+6),"▼",IF(AND($E90&gt;=AT$3,$E90&lt;=AT$3+6),$A90,"")))</f>
        <v/>
      </c>
      <c r="AU90" s="47" t="str">
        <f aca="false">IF($A90="","",IF(AND(INDEX(工程マスタ!$I$5:$I$154,$A90)="○",$E90&gt;=AU$3,$E90&lt;=AU$3+6),"▼",IF(AND($E90&gt;=AU$3,$E90&lt;=AU$3+6),$A90,"")))</f>
        <v/>
      </c>
      <c r="AV90" s="47" t="str">
        <f aca="false">IF($A90="","",IF(AND(INDEX(工程マスタ!$I$5:$I$154,$A90)="○",$E90&gt;=AV$3,$E90&lt;=AV$3+6),"▼",IF(AND($E90&gt;=AV$3,$E90&lt;=AV$3+6),$A90,"")))</f>
        <v/>
      </c>
      <c r="AW90" s="47" t="str">
        <f aca="false">IF($A90="","",IF(AND(INDEX(工程マスタ!$I$5:$I$154,$A90)="○",$E90&gt;=AW$3,$E90&lt;=AW$3+6),"▼",IF(AND($E90&gt;=AW$3,$E90&lt;=AW$3+6),$A90,"")))</f>
        <v/>
      </c>
      <c r="AX90" s="47" t="str">
        <f aca="false">IF($A90="","",IF(AND(INDEX(工程マスタ!$I$5:$I$154,$A90)="○",$E90&gt;=AX$3,$E90&lt;=AX$3+6),"▼",IF(AND($E90&gt;=AX$3,$E90&lt;=AX$3+6),$A90,"")))</f>
        <v/>
      </c>
      <c r="AY90" s="47" t="str">
        <f aca="false">IF($A90="","",IF(AND(INDEX(工程マスタ!$I$5:$I$154,$A90)="○",$E90&gt;=AY$3,$E90&lt;=AY$3+6),"▼",IF(AND($E90&gt;=AY$3,$E90&lt;=AY$3+6),$A90,"")))</f>
        <v/>
      </c>
      <c r="AZ90" s="47" t="str">
        <f aca="false">IF($A90="","",IF(AND(INDEX(工程マスタ!$I$5:$I$154,$A90)="○",$E90&gt;=AZ$3,$E90&lt;=AZ$3+6),"▼",IF(AND($E90&gt;=AZ$3,$E90&lt;=AZ$3+6),$A90,"")))</f>
        <v/>
      </c>
      <c r="BA90" s="47" t="str">
        <f aca="false">IF($A90="","",IF(AND(INDEX(工程マスタ!$I$5:$I$154,$A90)="○",$E90&gt;=BA$3,$E90&lt;=BA$3+6),"▼",IF(AND($E90&gt;=BA$3,$E90&lt;=BA$3+6),$A90,"")))</f>
        <v/>
      </c>
      <c r="BB90" s="47" t="str">
        <f aca="false">IF($A90="","",IF(AND(INDEX(工程マスタ!$I$5:$I$154,$A90)="○",$E90&gt;=BB$3,$E90&lt;=BB$3+6),"▼",IF(AND($E90&gt;=BB$3,$E90&lt;=BB$3+6),$A90,"")))</f>
        <v/>
      </c>
      <c r="BC90" s="47" t="str">
        <f aca="false">IF($A90="","",IF(AND(INDEX(工程マスタ!$I$5:$I$154,$A90)="○",$E90&gt;=BC$3,$E90&lt;=BC$3+6),"▼",IF(AND($E90&gt;=BC$3,$E90&lt;=BC$3+6),$A90,"")))</f>
        <v/>
      </c>
      <c r="BD90" s="47" t="str">
        <f aca="false">IF($A90="","",IF(AND(INDEX(工程マスタ!$I$5:$I$154,$A90)="○",$E90&gt;=BD$3,$E90&lt;=BD$3+6),"▼",IF(AND($E90&gt;=BD$3,$E90&lt;=BD$3+6),$A90,"")))</f>
        <v/>
      </c>
      <c r="BE90" s="47" t="str">
        <f aca="false">IF($A90="","",IF(AND(INDEX(工程マスタ!$I$5:$I$154,$A90)="○",$E90&gt;=BE$3,$E90&lt;=BE$3+6),"▼",IF(AND($E90&gt;=BE$3,$E90&lt;=BE$3+6),$A90,"")))</f>
        <v/>
      </c>
      <c r="BF90" s="47" t="str">
        <f aca="false">IF($A90="","",IF(AND(INDEX(工程マスタ!$I$5:$I$154,$A90)="○",$E90&gt;=BF$3,$E90&lt;=BF$3+6),"▼",IF(AND($E90&gt;=BF$3,$E90&lt;=BF$3+6),$A90,"")))</f>
        <v/>
      </c>
      <c r="BG90" s="47" t="str">
        <f aca="false">IF($A90="","",IF(AND(INDEX(工程マスタ!$I$5:$I$154,$A90)="○",$E90&gt;=BG$3,$E90&lt;=BG$3+6),"▼",IF(AND($E90&gt;=BG$3,$E90&lt;=BG$3+6),$A90,"")))</f>
        <v/>
      </c>
      <c r="BH90" s="47" t="str">
        <f aca="false">IF($A90="","",IF(AND(INDEX(工程マスタ!$I$5:$I$154,$A90)="○",$E90&gt;=BH$3,$E90&lt;=BH$3+6),"▼",IF(AND($E90&gt;=BH$3,$E90&lt;=BH$3+6),$A90,"")))</f>
        <v/>
      </c>
      <c r="BI90" s="47" t="str">
        <f aca="false">IF($A90="","",IF(AND(INDEX(工程マスタ!$I$5:$I$154,$A90)="○",$E90&gt;=BI$3,$E90&lt;=BI$3+6),"▼",IF(AND($E90&gt;=BI$3,$E90&lt;=BI$3+6),$A90,"")))</f>
        <v/>
      </c>
      <c r="BJ90" s="47" t="str">
        <f aca="false">IF($A90="","",IF(AND(INDEX(工程マスタ!$I$5:$I$154,$A90)="○",$E90&gt;=BJ$3,$E90&lt;=BJ$3+6),"▼",IF(AND($E90&gt;=BJ$3,$E90&lt;=BJ$3+6),$A90,"")))</f>
        <v/>
      </c>
    </row>
    <row r="91" customFormat="false" ht="15" hidden="false" customHeight="false" outlineLevel="0" collapsed="false">
      <c r="A91" s="28" t="str">
        <f aca="false">IF(工程マスタ!$C89="","",工程マスタ!$A89)</f>
        <v/>
      </c>
      <c r="B91" s="46" t="str">
        <f aca="false">IF($A91="","",工程マスタ!$C89)</f>
        <v/>
      </c>
      <c r="C91" s="28" t="str">
        <f aca="false">IF($A91="","",MAX(1,工程マスタ!$G89))</f>
        <v/>
      </c>
      <c r="D91" s="28" t="str">
        <f aca="false">IF($A91="","",_xlfn.TEXTJOIN(",",TRUE(),工程マスタ!$N89:$P89))</f>
        <v/>
      </c>
      <c r="E91" s="29" t="str">
        <f aca="false">IF($A91="","",IF(COUNT(工程マスタ!$N89:$P89)=0,設定!$B$8,MAX(IF(工程マスタ!$N89="",0,INDEX($F$7:$F$156,工程マスタ!$N89)),IF(工程マスタ!$O89="",0,INDEX($F$7:$F$156,工程マスタ!$O89)),IF(工程マスタ!$P89="",0,INDEX($F$7:$F$156,工程マスタ!$P89)))+1))</f>
        <v/>
      </c>
      <c r="F91" s="29" t="str">
        <f aca="false">IF($A91="","",$E91+$C91-1)</f>
        <v/>
      </c>
      <c r="G91" s="29" t="str">
        <f aca="false">IF($A91="","",$H91-$C91+1)</f>
        <v/>
      </c>
      <c r="H91" s="29" t="str">
        <f aca="false" t="array" ref="H91:H91">IF($A91="","",IF(SUMPRODUCT((工程マスタ!$N$90:$N$154=$A91)*1)+SUMPRODUCT((工程マスタ!$O$90:$O$154=$A91)*1)+SUMPRODUCT((工程マスタ!$P$90:$P$154=$A91)*1)=0,MAX($F$7:$F$156),MIN(IF((工程マスタ!$N$90:$N$154=$A91)+(工程マスタ!$O$90:$O$154=$A91)+(工程マスタ!$P$90:$P$154=$A91),$G92:$G$156))-1))</f>
        <v/>
      </c>
      <c r="I91" s="28" t="str">
        <f aca="false">IF($A91="","",$G91-$E91)</f>
        <v/>
      </c>
      <c r="J91" s="28" t="str">
        <f aca="false">IF($A91="","",IF($I91&lt;=0,"●",""))</f>
        <v/>
      </c>
      <c r="K91" s="47" t="str">
        <f aca="false">IF($A91="","",IF(AND(INDEX(工程マスタ!$I$5:$I$154,$A91)="○",$E91&gt;=K$3,$E91&lt;=K$3+6),"▼",IF(AND($E91&gt;=K$3,$E91&lt;=K$3+6),$A91,"")))</f>
        <v/>
      </c>
      <c r="L91" s="47" t="str">
        <f aca="false">IF($A91="","",IF(AND(INDEX(工程マスタ!$I$5:$I$154,$A91)="○",$E91&gt;=L$3,$E91&lt;=L$3+6),"▼",IF(AND($E91&gt;=L$3,$E91&lt;=L$3+6),$A91,"")))</f>
        <v/>
      </c>
      <c r="M91" s="47" t="str">
        <f aca="false">IF($A91="","",IF(AND(INDEX(工程マスタ!$I$5:$I$154,$A91)="○",$E91&gt;=M$3,$E91&lt;=M$3+6),"▼",IF(AND($E91&gt;=M$3,$E91&lt;=M$3+6),$A91,"")))</f>
        <v/>
      </c>
      <c r="N91" s="47" t="str">
        <f aca="false">IF($A91="","",IF(AND(INDEX(工程マスタ!$I$5:$I$154,$A91)="○",$E91&gt;=N$3,$E91&lt;=N$3+6),"▼",IF(AND($E91&gt;=N$3,$E91&lt;=N$3+6),$A91,"")))</f>
        <v/>
      </c>
      <c r="O91" s="47" t="str">
        <f aca="false">IF($A91="","",IF(AND(INDEX(工程マスタ!$I$5:$I$154,$A91)="○",$E91&gt;=O$3,$E91&lt;=O$3+6),"▼",IF(AND($E91&gt;=O$3,$E91&lt;=O$3+6),$A91,"")))</f>
        <v/>
      </c>
      <c r="P91" s="47" t="str">
        <f aca="false">IF($A91="","",IF(AND(INDEX(工程マスタ!$I$5:$I$154,$A91)="○",$E91&gt;=P$3,$E91&lt;=P$3+6),"▼",IF(AND($E91&gt;=P$3,$E91&lt;=P$3+6),$A91,"")))</f>
        <v/>
      </c>
      <c r="Q91" s="47" t="str">
        <f aca="false">IF($A91="","",IF(AND(INDEX(工程マスタ!$I$5:$I$154,$A91)="○",$E91&gt;=Q$3,$E91&lt;=Q$3+6),"▼",IF(AND($E91&gt;=Q$3,$E91&lt;=Q$3+6),$A91,"")))</f>
        <v/>
      </c>
      <c r="R91" s="47" t="str">
        <f aca="false">IF($A91="","",IF(AND(INDEX(工程マスタ!$I$5:$I$154,$A91)="○",$E91&gt;=R$3,$E91&lt;=R$3+6),"▼",IF(AND($E91&gt;=R$3,$E91&lt;=R$3+6),$A91,"")))</f>
        <v/>
      </c>
      <c r="S91" s="47" t="str">
        <f aca="false">IF($A91="","",IF(AND(INDEX(工程マスタ!$I$5:$I$154,$A91)="○",$E91&gt;=S$3,$E91&lt;=S$3+6),"▼",IF(AND($E91&gt;=S$3,$E91&lt;=S$3+6),$A91,"")))</f>
        <v/>
      </c>
      <c r="T91" s="47" t="str">
        <f aca="false">IF($A91="","",IF(AND(INDEX(工程マスタ!$I$5:$I$154,$A91)="○",$E91&gt;=T$3,$E91&lt;=T$3+6),"▼",IF(AND($E91&gt;=T$3,$E91&lt;=T$3+6),$A91,"")))</f>
        <v/>
      </c>
      <c r="U91" s="47" t="str">
        <f aca="false">IF($A91="","",IF(AND(INDEX(工程マスタ!$I$5:$I$154,$A91)="○",$E91&gt;=U$3,$E91&lt;=U$3+6),"▼",IF(AND($E91&gt;=U$3,$E91&lt;=U$3+6),$A91,"")))</f>
        <v/>
      </c>
      <c r="V91" s="47" t="str">
        <f aca="false">IF($A91="","",IF(AND(INDEX(工程マスタ!$I$5:$I$154,$A91)="○",$E91&gt;=V$3,$E91&lt;=V$3+6),"▼",IF(AND($E91&gt;=V$3,$E91&lt;=V$3+6),$A91,"")))</f>
        <v/>
      </c>
      <c r="W91" s="47" t="str">
        <f aca="false">IF($A91="","",IF(AND(INDEX(工程マスタ!$I$5:$I$154,$A91)="○",$E91&gt;=W$3,$E91&lt;=W$3+6),"▼",IF(AND($E91&gt;=W$3,$E91&lt;=W$3+6),$A91,"")))</f>
        <v/>
      </c>
      <c r="X91" s="47" t="str">
        <f aca="false">IF($A91="","",IF(AND(INDEX(工程マスタ!$I$5:$I$154,$A91)="○",$E91&gt;=X$3,$E91&lt;=X$3+6),"▼",IF(AND($E91&gt;=X$3,$E91&lt;=X$3+6),$A91,"")))</f>
        <v/>
      </c>
      <c r="Y91" s="47" t="str">
        <f aca="false">IF($A91="","",IF(AND(INDEX(工程マスタ!$I$5:$I$154,$A91)="○",$E91&gt;=Y$3,$E91&lt;=Y$3+6),"▼",IF(AND($E91&gt;=Y$3,$E91&lt;=Y$3+6),$A91,"")))</f>
        <v/>
      </c>
      <c r="Z91" s="47" t="str">
        <f aca="false">IF($A91="","",IF(AND(INDEX(工程マスタ!$I$5:$I$154,$A91)="○",$E91&gt;=Z$3,$E91&lt;=Z$3+6),"▼",IF(AND($E91&gt;=Z$3,$E91&lt;=Z$3+6),$A91,"")))</f>
        <v/>
      </c>
      <c r="AA91" s="47" t="str">
        <f aca="false">IF($A91="","",IF(AND(INDEX(工程マスタ!$I$5:$I$154,$A91)="○",$E91&gt;=AA$3,$E91&lt;=AA$3+6),"▼",IF(AND($E91&gt;=AA$3,$E91&lt;=AA$3+6),$A91,"")))</f>
        <v/>
      </c>
      <c r="AB91" s="47" t="str">
        <f aca="false">IF($A91="","",IF(AND(INDEX(工程マスタ!$I$5:$I$154,$A91)="○",$E91&gt;=AB$3,$E91&lt;=AB$3+6),"▼",IF(AND($E91&gt;=AB$3,$E91&lt;=AB$3+6),$A91,"")))</f>
        <v/>
      </c>
      <c r="AC91" s="47" t="str">
        <f aca="false">IF($A91="","",IF(AND(INDEX(工程マスタ!$I$5:$I$154,$A91)="○",$E91&gt;=AC$3,$E91&lt;=AC$3+6),"▼",IF(AND($E91&gt;=AC$3,$E91&lt;=AC$3+6),$A91,"")))</f>
        <v/>
      </c>
      <c r="AD91" s="47" t="str">
        <f aca="false">IF($A91="","",IF(AND(INDEX(工程マスタ!$I$5:$I$154,$A91)="○",$E91&gt;=AD$3,$E91&lt;=AD$3+6),"▼",IF(AND($E91&gt;=AD$3,$E91&lt;=AD$3+6),$A91,"")))</f>
        <v/>
      </c>
      <c r="AE91" s="47" t="str">
        <f aca="false">IF($A91="","",IF(AND(INDEX(工程マスタ!$I$5:$I$154,$A91)="○",$E91&gt;=AE$3,$E91&lt;=AE$3+6),"▼",IF(AND($E91&gt;=AE$3,$E91&lt;=AE$3+6),$A91,"")))</f>
        <v/>
      </c>
      <c r="AF91" s="47" t="str">
        <f aca="false">IF($A91="","",IF(AND(INDEX(工程マスタ!$I$5:$I$154,$A91)="○",$E91&gt;=AF$3,$E91&lt;=AF$3+6),"▼",IF(AND($E91&gt;=AF$3,$E91&lt;=AF$3+6),$A91,"")))</f>
        <v/>
      </c>
      <c r="AG91" s="47" t="str">
        <f aca="false">IF($A91="","",IF(AND(INDEX(工程マスタ!$I$5:$I$154,$A91)="○",$E91&gt;=AG$3,$E91&lt;=AG$3+6),"▼",IF(AND($E91&gt;=AG$3,$E91&lt;=AG$3+6),$A91,"")))</f>
        <v/>
      </c>
      <c r="AH91" s="47" t="str">
        <f aca="false">IF($A91="","",IF(AND(INDEX(工程マスタ!$I$5:$I$154,$A91)="○",$E91&gt;=AH$3,$E91&lt;=AH$3+6),"▼",IF(AND($E91&gt;=AH$3,$E91&lt;=AH$3+6),$A91,"")))</f>
        <v/>
      </c>
      <c r="AI91" s="47" t="str">
        <f aca="false">IF($A91="","",IF(AND(INDEX(工程マスタ!$I$5:$I$154,$A91)="○",$E91&gt;=AI$3,$E91&lt;=AI$3+6),"▼",IF(AND($E91&gt;=AI$3,$E91&lt;=AI$3+6),$A91,"")))</f>
        <v/>
      </c>
      <c r="AJ91" s="47" t="str">
        <f aca="false">IF($A91="","",IF(AND(INDEX(工程マスタ!$I$5:$I$154,$A91)="○",$E91&gt;=AJ$3,$E91&lt;=AJ$3+6),"▼",IF(AND($E91&gt;=AJ$3,$E91&lt;=AJ$3+6),$A91,"")))</f>
        <v/>
      </c>
      <c r="AK91" s="47" t="str">
        <f aca="false">IF($A91="","",IF(AND(INDEX(工程マスタ!$I$5:$I$154,$A91)="○",$E91&gt;=AK$3,$E91&lt;=AK$3+6),"▼",IF(AND($E91&gt;=AK$3,$E91&lt;=AK$3+6),$A91,"")))</f>
        <v/>
      </c>
      <c r="AL91" s="47" t="str">
        <f aca="false">IF($A91="","",IF(AND(INDEX(工程マスタ!$I$5:$I$154,$A91)="○",$E91&gt;=AL$3,$E91&lt;=AL$3+6),"▼",IF(AND($E91&gt;=AL$3,$E91&lt;=AL$3+6),$A91,"")))</f>
        <v/>
      </c>
      <c r="AM91" s="47" t="str">
        <f aca="false">IF($A91="","",IF(AND(INDEX(工程マスタ!$I$5:$I$154,$A91)="○",$E91&gt;=AM$3,$E91&lt;=AM$3+6),"▼",IF(AND($E91&gt;=AM$3,$E91&lt;=AM$3+6),$A91,"")))</f>
        <v/>
      </c>
      <c r="AN91" s="47" t="str">
        <f aca="false">IF($A91="","",IF(AND(INDEX(工程マスタ!$I$5:$I$154,$A91)="○",$E91&gt;=AN$3,$E91&lt;=AN$3+6),"▼",IF(AND($E91&gt;=AN$3,$E91&lt;=AN$3+6),$A91,"")))</f>
        <v/>
      </c>
      <c r="AO91" s="47" t="str">
        <f aca="false">IF($A91="","",IF(AND(INDEX(工程マスタ!$I$5:$I$154,$A91)="○",$E91&gt;=AO$3,$E91&lt;=AO$3+6),"▼",IF(AND($E91&gt;=AO$3,$E91&lt;=AO$3+6),$A91,"")))</f>
        <v/>
      </c>
      <c r="AP91" s="47" t="str">
        <f aca="false">IF($A91="","",IF(AND(INDEX(工程マスタ!$I$5:$I$154,$A91)="○",$E91&gt;=AP$3,$E91&lt;=AP$3+6),"▼",IF(AND($E91&gt;=AP$3,$E91&lt;=AP$3+6),$A91,"")))</f>
        <v/>
      </c>
      <c r="AQ91" s="47" t="str">
        <f aca="false">IF($A91="","",IF(AND(INDEX(工程マスタ!$I$5:$I$154,$A91)="○",$E91&gt;=AQ$3,$E91&lt;=AQ$3+6),"▼",IF(AND($E91&gt;=AQ$3,$E91&lt;=AQ$3+6),$A91,"")))</f>
        <v/>
      </c>
      <c r="AR91" s="47" t="str">
        <f aca="false">IF($A91="","",IF(AND(INDEX(工程マスタ!$I$5:$I$154,$A91)="○",$E91&gt;=AR$3,$E91&lt;=AR$3+6),"▼",IF(AND($E91&gt;=AR$3,$E91&lt;=AR$3+6),$A91,"")))</f>
        <v/>
      </c>
      <c r="AS91" s="47" t="str">
        <f aca="false">IF($A91="","",IF(AND(INDEX(工程マスタ!$I$5:$I$154,$A91)="○",$E91&gt;=AS$3,$E91&lt;=AS$3+6),"▼",IF(AND($E91&gt;=AS$3,$E91&lt;=AS$3+6),$A91,"")))</f>
        <v/>
      </c>
      <c r="AT91" s="47" t="str">
        <f aca="false">IF($A91="","",IF(AND(INDEX(工程マスタ!$I$5:$I$154,$A91)="○",$E91&gt;=AT$3,$E91&lt;=AT$3+6),"▼",IF(AND($E91&gt;=AT$3,$E91&lt;=AT$3+6),$A91,"")))</f>
        <v/>
      </c>
      <c r="AU91" s="47" t="str">
        <f aca="false">IF($A91="","",IF(AND(INDEX(工程マスタ!$I$5:$I$154,$A91)="○",$E91&gt;=AU$3,$E91&lt;=AU$3+6),"▼",IF(AND($E91&gt;=AU$3,$E91&lt;=AU$3+6),$A91,"")))</f>
        <v/>
      </c>
      <c r="AV91" s="47" t="str">
        <f aca="false">IF($A91="","",IF(AND(INDEX(工程マスタ!$I$5:$I$154,$A91)="○",$E91&gt;=AV$3,$E91&lt;=AV$3+6),"▼",IF(AND($E91&gt;=AV$3,$E91&lt;=AV$3+6),$A91,"")))</f>
        <v/>
      </c>
      <c r="AW91" s="47" t="str">
        <f aca="false">IF($A91="","",IF(AND(INDEX(工程マスタ!$I$5:$I$154,$A91)="○",$E91&gt;=AW$3,$E91&lt;=AW$3+6),"▼",IF(AND($E91&gt;=AW$3,$E91&lt;=AW$3+6),$A91,"")))</f>
        <v/>
      </c>
      <c r="AX91" s="47" t="str">
        <f aca="false">IF($A91="","",IF(AND(INDEX(工程マスタ!$I$5:$I$154,$A91)="○",$E91&gt;=AX$3,$E91&lt;=AX$3+6),"▼",IF(AND($E91&gt;=AX$3,$E91&lt;=AX$3+6),$A91,"")))</f>
        <v/>
      </c>
      <c r="AY91" s="47" t="str">
        <f aca="false">IF($A91="","",IF(AND(INDEX(工程マスタ!$I$5:$I$154,$A91)="○",$E91&gt;=AY$3,$E91&lt;=AY$3+6),"▼",IF(AND($E91&gt;=AY$3,$E91&lt;=AY$3+6),$A91,"")))</f>
        <v/>
      </c>
      <c r="AZ91" s="47" t="str">
        <f aca="false">IF($A91="","",IF(AND(INDEX(工程マスタ!$I$5:$I$154,$A91)="○",$E91&gt;=AZ$3,$E91&lt;=AZ$3+6),"▼",IF(AND($E91&gt;=AZ$3,$E91&lt;=AZ$3+6),$A91,"")))</f>
        <v/>
      </c>
      <c r="BA91" s="47" t="str">
        <f aca="false">IF($A91="","",IF(AND(INDEX(工程マスタ!$I$5:$I$154,$A91)="○",$E91&gt;=BA$3,$E91&lt;=BA$3+6),"▼",IF(AND($E91&gt;=BA$3,$E91&lt;=BA$3+6),$A91,"")))</f>
        <v/>
      </c>
      <c r="BB91" s="47" t="str">
        <f aca="false">IF($A91="","",IF(AND(INDEX(工程マスタ!$I$5:$I$154,$A91)="○",$E91&gt;=BB$3,$E91&lt;=BB$3+6),"▼",IF(AND($E91&gt;=BB$3,$E91&lt;=BB$3+6),$A91,"")))</f>
        <v/>
      </c>
      <c r="BC91" s="47" t="str">
        <f aca="false">IF($A91="","",IF(AND(INDEX(工程マスタ!$I$5:$I$154,$A91)="○",$E91&gt;=BC$3,$E91&lt;=BC$3+6),"▼",IF(AND($E91&gt;=BC$3,$E91&lt;=BC$3+6),$A91,"")))</f>
        <v/>
      </c>
      <c r="BD91" s="47" t="str">
        <f aca="false">IF($A91="","",IF(AND(INDEX(工程マスタ!$I$5:$I$154,$A91)="○",$E91&gt;=BD$3,$E91&lt;=BD$3+6),"▼",IF(AND($E91&gt;=BD$3,$E91&lt;=BD$3+6),$A91,"")))</f>
        <v/>
      </c>
      <c r="BE91" s="47" t="str">
        <f aca="false">IF($A91="","",IF(AND(INDEX(工程マスタ!$I$5:$I$154,$A91)="○",$E91&gt;=BE$3,$E91&lt;=BE$3+6),"▼",IF(AND($E91&gt;=BE$3,$E91&lt;=BE$3+6),$A91,"")))</f>
        <v/>
      </c>
      <c r="BF91" s="47" t="str">
        <f aca="false">IF($A91="","",IF(AND(INDEX(工程マスタ!$I$5:$I$154,$A91)="○",$E91&gt;=BF$3,$E91&lt;=BF$3+6),"▼",IF(AND($E91&gt;=BF$3,$E91&lt;=BF$3+6),$A91,"")))</f>
        <v/>
      </c>
      <c r="BG91" s="47" t="str">
        <f aca="false">IF($A91="","",IF(AND(INDEX(工程マスタ!$I$5:$I$154,$A91)="○",$E91&gt;=BG$3,$E91&lt;=BG$3+6),"▼",IF(AND($E91&gt;=BG$3,$E91&lt;=BG$3+6),$A91,"")))</f>
        <v/>
      </c>
      <c r="BH91" s="47" t="str">
        <f aca="false">IF($A91="","",IF(AND(INDEX(工程マスタ!$I$5:$I$154,$A91)="○",$E91&gt;=BH$3,$E91&lt;=BH$3+6),"▼",IF(AND($E91&gt;=BH$3,$E91&lt;=BH$3+6),$A91,"")))</f>
        <v/>
      </c>
      <c r="BI91" s="47" t="str">
        <f aca="false">IF($A91="","",IF(AND(INDEX(工程マスタ!$I$5:$I$154,$A91)="○",$E91&gt;=BI$3,$E91&lt;=BI$3+6),"▼",IF(AND($E91&gt;=BI$3,$E91&lt;=BI$3+6),$A91,"")))</f>
        <v/>
      </c>
      <c r="BJ91" s="47" t="str">
        <f aca="false">IF($A91="","",IF(AND(INDEX(工程マスタ!$I$5:$I$154,$A91)="○",$E91&gt;=BJ$3,$E91&lt;=BJ$3+6),"▼",IF(AND($E91&gt;=BJ$3,$E91&lt;=BJ$3+6),$A91,"")))</f>
        <v/>
      </c>
    </row>
    <row r="92" customFormat="false" ht="15" hidden="false" customHeight="false" outlineLevel="0" collapsed="false">
      <c r="A92" s="28" t="str">
        <f aca="false">IF(工程マスタ!$C90="","",工程マスタ!$A90)</f>
        <v/>
      </c>
      <c r="B92" s="46" t="str">
        <f aca="false">IF($A92="","",工程マスタ!$C90)</f>
        <v/>
      </c>
      <c r="C92" s="28" t="str">
        <f aca="false">IF($A92="","",MAX(1,工程マスタ!$G90))</f>
        <v/>
      </c>
      <c r="D92" s="28" t="str">
        <f aca="false">IF($A92="","",_xlfn.TEXTJOIN(",",TRUE(),工程マスタ!$N90:$P90))</f>
        <v/>
      </c>
      <c r="E92" s="29" t="str">
        <f aca="false">IF($A92="","",IF(COUNT(工程マスタ!$N90:$P90)=0,設定!$B$8,MAX(IF(工程マスタ!$N90="",0,INDEX($F$7:$F$156,工程マスタ!$N90)),IF(工程マスタ!$O90="",0,INDEX($F$7:$F$156,工程マスタ!$O90)),IF(工程マスタ!$P90="",0,INDEX($F$7:$F$156,工程マスタ!$P90)))+1))</f>
        <v/>
      </c>
      <c r="F92" s="29" t="str">
        <f aca="false">IF($A92="","",$E92+$C92-1)</f>
        <v/>
      </c>
      <c r="G92" s="29" t="str">
        <f aca="false">IF($A92="","",$H92-$C92+1)</f>
        <v/>
      </c>
      <c r="H92" s="29" t="str">
        <f aca="false" t="array" ref="H92:H92">IF($A92="","",IF(SUMPRODUCT((工程マスタ!$N$91:$N$154=$A92)*1)+SUMPRODUCT((工程マスタ!$O$91:$O$154=$A92)*1)+SUMPRODUCT((工程マスタ!$P$91:$P$154=$A92)*1)=0,MAX($F$7:$F$156),MIN(IF((工程マスタ!$N$91:$N$154=$A92)+(工程マスタ!$O$91:$O$154=$A92)+(工程マスタ!$P$91:$P$154=$A92),$G93:$G$156))-1))</f>
        <v/>
      </c>
      <c r="I92" s="28" t="str">
        <f aca="false">IF($A92="","",$G92-$E92)</f>
        <v/>
      </c>
      <c r="J92" s="28" t="str">
        <f aca="false">IF($A92="","",IF($I92&lt;=0,"●",""))</f>
        <v/>
      </c>
      <c r="K92" s="47" t="str">
        <f aca="false">IF($A92="","",IF(AND(INDEX(工程マスタ!$I$5:$I$154,$A92)="○",$E92&gt;=K$3,$E92&lt;=K$3+6),"▼",IF(AND($E92&gt;=K$3,$E92&lt;=K$3+6),$A92,"")))</f>
        <v/>
      </c>
      <c r="L92" s="47" t="str">
        <f aca="false">IF($A92="","",IF(AND(INDEX(工程マスタ!$I$5:$I$154,$A92)="○",$E92&gt;=L$3,$E92&lt;=L$3+6),"▼",IF(AND($E92&gt;=L$3,$E92&lt;=L$3+6),$A92,"")))</f>
        <v/>
      </c>
      <c r="M92" s="47" t="str">
        <f aca="false">IF($A92="","",IF(AND(INDEX(工程マスタ!$I$5:$I$154,$A92)="○",$E92&gt;=M$3,$E92&lt;=M$3+6),"▼",IF(AND($E92&gt;=M$3,$E92&lt;=M$3+6),$A92,"")))</f>
        <v/>
      </c>
      <c r="N92" s="47" t="str">
        <f aca="false">IF($A92="","",IF(AND(INDEX(工程マスタ!$I$5:$I$154,$A92)="○",$E92&gt;=N$3,$E92&lt;=N$3+6),"▼",IF(AND($E92&gt;=N$3,$E92&lt;=N$3+6),$A92,"")))</f>
        <v/>
      </c>
      <c r="O92" s="47" t="str">
        <f aca="false">IF($A92="","",IF(AND(INDEX(工程マスタ!$I$5:$I$154,$A92)="○",$E92&gt;=O$3,$E92&lt;=O$3+6),"▼",IF(AND($E92&gt;=O$3,$E92&lt;=O$3+6),$A92,"")))</f>
        <v/>
      </c>
      <c r="P92" s="47" t="str">
        <f aca="false">IF($A92="","",IF(AND(INDEX(工程マスタ!$I$5:$I$154,$A92)="○",$E92&gt;=P$3,$E92&lt;=P$3+6),"▼",IF(AND($E92&gt;=P$3,$E92&lt;=P$3+6),$A92,"")))</f>
        <v/>
      </c>
      <c r="Q92" s="47" t="str">
        <f aca="false">IF($A92="","",IF(AND(INDEX(工程マスタ!$I$5:$I$154,$A92)="○",$E92&gt;=Q$3,$E92&lt;=Q$3+6),"▼",IF(AND($E92&gt;=Q$3,$E92&lt;=Q$3+6),$A92,"")))</f>
        <v/>
      </c>
      <c r="R92" s="47" t="str">
        <f aca="false">IF($A92="","",IF(AND(INDEX(工程マスタ!$I$5:$I$154,$A92)="○",$E92&gt;=R$3,$E92&lt;=R$3+6),"▼",IF(AND($E92&gt;=R$3,$E92&lt;=R$3+6),$A92,"")))</f>
        <v/>
      </c>
      <c r="S92" s="47" t="str">
        <f aca="false">IF($A92="","",IF(AND(INDEX(工程マスタ!$I$5:$I$154,$A92)="○",$E92&gt;=S$3,$E92&lt;=S$3+6),"▼",IF(AND($E92&gt;=S$3,$E92&lt;=S$3+6),$A92,"")))</f>
        <v/>
      </c>
      <c r="T92" s="47" t="str">
        <f aca="false">IF($A92="","",IF(AND(INDEX(工程マスタ!$I$5:$I$154,$A92)="○",$E92&gt;=T$3,$E92&lt;=T$3+6),"▼",IF(AND($E92&gt;=T$3,$E92&lt;=T$3+6),$A92,"")))</f>
        <v/>
      </c>
      <c r="U92" s="47" t="str">
        <f aca="false">IF($A92="","",IF(AND(INDEX(工程マスタ!$I$5:$I$154,$A92)="○",$E92&gt;=U$3,$E92&lt;=U$3+6),"▼",IF(AND($E92&gt;=U$3,$E92&lt;=U$3+6),$A92,"")))</f>
        <v/>
      </c>
      <c r="V92" s="47" t="str">
        <f aca="false">IF($A92="","",IF(AND(INDEX(工程マスタ!$I$5:$I$154,$A92)="○",$E92&gt;=V$3,$E92&lt;=V$3+6),"▼",IF(AND($E92&gt;=V$3,$E92&lt;=V$3+6),$A92,"")))</f>
        <v/>
      </c>
      <c r="W92" s="47" t="str">
        <f aca="false">IF($A92="","",IF(AND(INDEX(工程マスタ!$I$5:$I$154,$A92)="○",$E92&gt;=W$3,$E92&lt;=W$3+6),"▼",IF(AND($E92&gt;=W$3,$E92&lt;=W$3+6),$A92,"")))</f>
        <v/>
      </c>
      <c r="X92" s="47" t="str">
        <f aca="false">IF($A92="","",IF(AND(INDEX(工程マスタ!$I$5:$I$154,$A92)="○",$E92&gt;=X$3,$E92&lt;=X$3+6),"▼",IF(AND($E92&gt;=X$3,$E92&lt;=X$3+6),$A92,"")))</f>
        <v/>
      </c>
      <c r="Y92" s="47" t="str">
        <f aca="false">IF($A92="","",IF(AND(INDEX(工程マスタ!$I$5:$I$154,$A92)="○",$E92&gt;=Y$3,$E92&lt;=Y$3+6),"▼",IF(AND($E92&gt;=Y$3,$E92&lt;=Y$3+6),$A92,"")))</f>
        <v/>
      </c>
      <c r="Z92" s="47" t="str">
        <f aca="false">IF($A92="","",IF(AND(INDEX(工程マスタ!$I$5:$I$154,$A92)="○",$E92&gt;=Z$3,$E92&lt;=Z$3+6),"▼",IF(AND($E92&gt;=Z$3,$E92&lt;=Z$3+6),$A92,"")))</f>
        <v/>
      </c>
      <c r="AA92" s="47" t="str">
        <f aca="false">IF($A92="","",IF(AND(INDEX(工程マスタ!$I$5:$I$154,$A92)="○",$E92&gt;=AA$3,$E92&lt;=AA$3+6),"▼",IF(AND($E92&gt;=AA$3,$E92&lt;=AA$3+6),$A92,"")))</f>
        <v/>
      </c>
      <c r="AB92" s="47" t="str">
        <f aca="false">IF($A92="","",IF(AND(INDEX(工程マスタ!$I$5:$I$154,$A92)="○",$E92&gt;=AB$3,$E92&lt;=AB$3+6),"▼",IF(AND($E92&gt;=AB$3,$E92&lt;=AB$3+6),$A92,"")))</f>
        <v/>
      </c>
      <c r="AC92" s="47" t="str">
        <f aca="false">IF($A92="","",IF(AND(INDEX(工程マスタ!$I$5:$I$154,$A92)="○",$E92&gt;=AC$3,$E92&lt;=AC$3+6),"▼",IF(AND($E92&gt;=AC$3,$E92&lt;=AC$3+6),$A92,"")))</f>
        <v/>
      </c>
      <c r="AD92" s="47" t="str">
        <f aca="false">IF($A92="","",IF(AND(INDEX(工程マスタ!$I$5:$I$154,$A92)="○",$E92&gt;=AD$3,$E92&lt;=AD$3+6),"▼",IF(AND($E92&gt;=AD$3,$E92&lt;=AD$3+6),$A92,"")))</f>
        <v/>
      </c>
      <c r="AE92" s="47" t="str">
        <f aca="false">IF($A92="","",IF(AND(INDEX(工程マスタ!$I$5:$I$154,$A92)="○",$E92&gt;=AE$3,$E92&lt;=AE$3+6),"▼",IF(AND($E92&gt;=AE$3,$E92&lt;=AE$3+6),$A92,"")))</f>
        <v/>
      </c>
      <c r="AF92" s="47" t="str">
        <f aca="false">IF($A92="","",IF(AND(INDEX(工程マスタ!$I$5:$I$154,$A92)="○",$E92&gt;=AF$3,$E92&lt;=AF$3+6),"▼",IF(AND($E92&gt;=AF$3,$E92&lt;=AF$3+6),$A92,"")))</f>
        <v/>
      </c>
      <c r="AG92" s="47" t="str">
        <f aca="false">IF($A92="","",IF(AND(INDEX(工程マスタ!$I$5:$I$154,$A92)="○",$E92&gt;=AG$3,$E92&lt;=AG$3+6),"▼",IF(AND($E92&gt;=AG$3,$E92&lt;=AG$3+6),$A92,"")))</f>
        <v/>
      </c>
      <c r="AH92" s="47" t="str">
        <f aca="false">IF($A92="","",IF(AND(INDEX(工程マスタ!$I$5:$I$154,$A92)="○",$E92&gt;=AH$3,$E92&lt;=AH$3+6),"▼",IF(AND($E92&gt;=AH$3,$E92&lt;=AH$3+6),$A92,"")))</f>
        <v/>
      </c>
      <c r="AI92" s="47" t="str">
        <f aca="false">IF($A92="","",IF(AND(INDEX(工程マスタ!$I$5:$I$154,$A92)="○",$E92&gt;=AI$3,$E92&lt;=AI$3+6),"▼",IF(AND($E92&gt;=AI$3,$E92&lt;=AI$3+6),$A92,"")))</f>
        <v/>
      </c>
      <c r="AJ92" s="47" t="str">
        <f aca="false">IF($A92="","",IF(AND(INDEX(工程マスタ!$I$5:$I$154,$A92)="○",$E92&gt;=AJ$3,$E92&lt;=AJ$3+6),"▼",IF(AND($E92&gt;=AJ$3,$E92&lt;=AJ$3+6),$A92,"")))</f>
        <v/>
      </c>
      <c r="AK92" s="47" t="str">
        <f aca="false">IF($A92="","",IF(AND(INDEX(工程マスタ!$I$5:$I$154,$A92)="○",$E92&gt;=AK$3,$E92&lt;=AK$3+6),"▼",IF(AND($E92&gt;=AK$3,$E92&lt;=AK$3+6),$A92,"")))</f>
        <v/>
      </c>
      <c r="AL92" s="47" t="str">
        <f aca="false">IF($A92="","",IF(AND(INDEX(工程マスタ!$I$5:$I$154,$A92)="○",$E92&gt;=AL$3,$E92&lt;=AL$3+6),"▼",IF(AND($E92&gt;=AL$3,$E92&lt;=AL$3+6),$A92,"")))</f>
        <v/>
      </c>
      <c r="AM92" s="47" t="str">
        <f aca="false">IF($A92="","",IF(AND(INDEX(工程マスタ!$I$5:$I$154,$A92)="○",$E92&gt;=AM$3,$E92&lt;=AM$3+6),"▼",IF(AND($E92&gt;=AM$3,$E92&lt;=AM$3+6),$A92,"")))</f>
        <v/>
      </c>
      <c r="AN92" s="47" t="str">
        <f aca="false">IF($A92="","",IF(AND(INDEX(工程マスタ!$I$5:$I$154,$A92)="○",$E92&gt;=AN$3,$E92&lt;=AN$3+6),"▼",IF(AND($E92&gt;=AN$3,$E92&lt;=AN$3+6),$A92,"")))</f>
        <v/>
      </c>
      <c r="AO92" s="47" t="str">
        <f aca="false">IF($A92="","",IF(AND(INDEX(工程マスタ!$I$5:$I$154,$A92)="○",$E92&gt;=AO$3,$E92&lt;=AO$3+6),"▼",IF(AND($E92&gt;=AO$3,$E92&lt;=AO$3+6),$A92,"")))</f>
        <v/>
      </c>
      <c r="AP92" s="47" t="str">
        <f aca="false">IF($A92="","",IF(AND(INDEX(工程マスタ!$I$5:$I$154,$A92)="○",$E92&gt;=AP$3,$E92&lt;=AP$3+6),"▼",IF(AND($E92&gt;=AP$3,$E92&lt;=AP$3+6),$A92,"")))</f>
        <v/>
      </c>
      <c r="AQ92" s="47" t="str">
        <f aca="false">IF($A92="","",IF(AND(INDEX(工程マスタ!$I$5:$I$154,$A92)="○",$E92&gt;=AQ$3,$E92&lt;=AQ$3+6),"▼",IF(AND($E92&gt;=AQ$3,$E92&lt;=AQ$3+6),$A92,"")))</f>
        <v/>
      </c>
      <c r="AR92" s="47" t="str">
        <f aca="false">IF($A92="","",IF(AND(INDEX(工程マスタ!$I$5:$I$154,$A92)="○",$E92&gt;=AR$3,$E92&lt;=AR$3+6),"▼",IF(AND($E92&gt;=AR$3,$E92&lt;=AR$3+6),$A92,"")))</f>
        <v/>
      </c>
      <c r="AS92" s="47" t="str">
        <f aca="false">IF($A92="","",IF(AND(INDEX(工程マスタ!$I$5:$I$154,$A92)="○",$E92&gt;=AS$3,$E92&lt;=AS$3+6),"▼",IF(AND($E92&gt;=AS$3,$E92&lt;=AS$3+6),$A92,"")))</f>
        <v/>
      </c>
      <c r="AT92" s="47" t="str">
        <f aca="false">IF($A92="","",IF(AND(INDEX(工程マスタ!$I$5:$I$154,$A92)="○",$E92&gt;=AT$3,$E92&lt;=AT$3+6),"▼",IF(AND($E92&gt;=AT$3,$E92&lt;=AT$3+6),$A92,"")))</f>
        <v/>
      </c>
      <c r="AU92" s="47" t="str">
        <f aca="false">IF($A92="","",IF(AND(INDEX(工程マスタ!$I$5:$I$154,$A92)="○",$E92&gt;=AU$3,$E92&lt;=AU$3+6),"▼",IF(AND($E92&gt;=AU$3,$E92&lt;=AU$3+6),$A92,"")))</f>
        <v/>
      </c>
      <c r="AV92" s="47" t="str">
        <f aca="false">IF($A92="","",IF(AND(INDEX(工程マスタ!$I$5:$I$154,$A92)="○",$E92&gt;=AV$3,$E92&lt;=AV$3+6),"▼",IF(AND($E92&gt;=AV$3,$E92&lt;=AV$3+6),$A92,"")))</f>
        <v/>
      </c>
      <c r="AW92" s="47" t="str">
        <f aca="false">IF($A92="","",IF(AND(INDEX(工程マスタ!$I$5:$I$154,$A92)="○",$E92&gt;=AW$3,$E92&lt;=AW$3+6),"▼",IF(AND($E92&gt;=AW$3,$E92&lt;=AW$3+6),$A92,"")))</f>
        <v/>
      </c>
      <c r="AX92" s="47" t="str">
        <f aca="false">IF($A92="","",IF(AND(INDEX(工程マスタ!$I$5:$I$154,$A92)="○",$E92&gt;=AX$3,$E92&lt;=AX$3+6),"▼",IF(AND($E92&gt;=AX$3,$E92&lt;=AX$3+6),$A92,"")))</f>
        <v/>
      </c>
      <c r="AY92" s="47" t="str">
        <f aca="false">IF($A92="","",IF(AND(INDEX(工程マスタ!$I$5:$I$154,$A92)="○",$E92&gt;=AY$3,$E92&lt;=AY$3+6),"▼",IF(AND($E92&gt;=AY$3,$E92&lt;=AY$3+6),$A92,"")))</f>
        <v/>
      </c>
      <c r="AZ92" s="47" t="str">
        <f aca="false">IF($A92="","",IF(AND(INDEX(工程マスタ!$I$5:$I$154,$A92)="○",$E92&gt;=AZ$3,$E92&lt;=AZ$3+6),"▼",IF(AND($E92&gt;=AZ$3,$E92&lt;=AZ$3+6),$A92,"")))</f>
        <v/>
      </c>
      <c r="BA92" s="47" t="str">
        <f aca="false">IF($A92="","",IF(AND(INDEX(工程マスタ!$I$5:$I$154,$A92)="○",$E92&gt;=BA$3,$E92&lt;=BA$3+6),"▼",IF(AND($E92&gt;=BA$3,$E92&lt;=BA$3+6),$A92,"")))</f>
        <v/>
      </c>
      <c r="BB92" s="47" t="str">
        <f aca="false">IF($A92="","",IF(AND(INDEX(工程マスタ!$I$5:$I$154,$A92)="○",$E92&gt;=BB$3,$E92&lt;=BB$3+6),"▼",IF(AND($E92&gt;=BB$3,$E92&lt;=BB$3+6),$A92,"")))</f>
        <v/>
      </c>
      <c r="BC92" s="47" t="str">
        <f aca="false">IF($A92="","",IF(AND(INDEX(工程マスタ!$I$5:$I$154,$A92)="○",$E92&gt;=BC$3,$E92&lt;=BC$3+6),"▼",IF(AND($E92&gt;=BC$3,$E92&lt;=BC$3+6),$A92,"")))</f>
        <v/>
      </c>
      <c r="BD92" s="47" t="str">
        <f aca="false">IF($A92="","",IF(AND(INDEX(工程マスタ!$I$5:$I$154,$A92)="○",$E92&gt;=BD$3,$E92&lt;=BD$3+6),"▼",IF(AND($E92&gt;=BD$3,$E92&lt;=BD$3+6),$A92,"")))</f>
        <v/>
      </c>
      <c r="BE92" s="47" t="str">
        <f aca="false">IF($A92="","",IF(AND(INDEX(工程マスタ!$I$5:$I$154,$A92)="○",$E92&gt;=BE$3,$E92&lt;=BE$3+6),"▼",IF(AND($E92&gt;=BE$3,$E92&lt;=BE$3+6),$A92,"")))</f>
        <v/>
      </c>
      <c r="BF92" s="47" t="str">
        <f aca="false">IF($A92="","",IF(AND(INDEX(工程マスタ!$I$5:$I$154,$A92)="○",$E92&gt;=BF$3,$E92&lt;=BF$3+6),"▼",IF(AND($E92&gt;=BF$3,$E92&lt;=BF$3+6),$A92,"")))</f>
        <v/>
      </c>
      <c r="BG92" s="47" t="str">
        <f aca="false">IF($A92="","",IF(AND(INDEX(工程マスタ!$I$5:$I$154,$A92)="○",$E92&gt;=BG$3,$E92&lt;=BG$3+6),"▼",IF(AND($E92&gt;=BG$3,$E92&lt;=BG$3+6),$A92,"")))</f>
        <v/>
      </c>
      <c r="BH92" s="47" t="str">
        <f aca="false">IF($A92="","",IF(AND(INDEX(工程マスタ!$I$5:$I$154,$A92)="○",$E92&gt;=BH$3,$E92&lt;=BH$3+6),"▼",IF(AND($E92&gt;=BH$3,$E92&lt;=BH$3+6),$A92,"")))</f>
        <v/>
      </c>
      <c r="BI92" s="47" t="str">
        <f aca="false">IF($A92="","",IF(AND(INDEX(工程マスタ!$I$5:$I$154,$A92)="○",$E92&gt;=BI$3,$E92&lt;=BI$3+6),"▼",IF(AND($E92&gt;=BI$3,$E92&lt;=BI$3+6),$A92,"")))</f>
        <v/>
      </c>
      <c r="BJ92" s="47" t="str">
        <f aca="false">IF($A92="","",IF(AND(INDEX(工程マスタ!$I$5:$I$154,$A92)="○",$E92&gt;=BJ$3,$E92&lt;=BJ$3+6),"▼",IF(AND($E92&gt;=BJ$3,$E92&lt;=BJ$3+6),$A92,"")))</f>
        <v/>
      </c>
    </row>
    <row r="93" customFormat="false" ht="15" hidden="false" customHeight="false" outlineLevel="0" collapsed="false">
      <c r="A93" s="28" t="str">
        <f aca="false">IF(工程マスタ!$C91="","",工程マスタ!$A91)</f>
        <v/>
      </c>
      <c r="B93" s="46" t="str">
        <f aca="false">IF($A93="","",工程マスタ!$C91)</f>
        <v/>
      </c>
      <c r="C93" s="28" t="str">
        <f aca="false">IF($A93="","",MAX(1,工程マスタ!$G91))</f>
        <v/>
      </c>
      <c r="D93" s="28" t="str">
        <f aca="false">IF($A93="","",_xlfn.TEXTJOIN(",",TRUE(),工程マスタ!$N91:$P91))</f>
        <v/>
      </c>
      <c r="E93" s="29" t="str">
        <f aca="false">IF($A93="","",IF(COUNT(工程マスタ!$N91:$P91)=0,設定!$B$8,MAX(IF(工程マスタ!$N91="",0,INDEX($F$7:$F$156,工程マスタ!$N91)),IF(工程マスタ!$O91="",0,INDEX($F$7:$F$156,工程マスタ!$O91)),IF(工程マスタ!$P91="",0,INDEX($F$7:$F$156,工程マスタ!$P91)))+1))</f>
        <v/>
      </c>
      <c r="F93" s="29" t="str">
        <f aca="false">IF($A93="","",$E93+$C93-1)</f>
        <v/>
      </c>
      <c r="G93" s="29" t="str">
        <f aca="false">IF($A93="","",$H93-$C93+1)</f>
        <v/>
      </c>
      <c r="H93" s="29" t="str">
        <f aca="false" t="array" ref="H93:H93">IF($A93="","",IF(SUMPRODUCT((工程マスタ!$N$92:$N$154=$A93)*1)+SUMPRODUCT((工程マスタ!$O$92:$O$154=$A93)*1)+SUMPRODUCT((工程マスタ!$P$92:$P$154=$A93)*1)=0,MAX($F$7:$F$156),MIN(IF((工程マスタ!$N$92:$N$154=$A93)+(工程マスタ!$O$92:$O$154=$A93)+(工程マスタ!$P$92:$P$154=$A93),$G94:$G$156))-1))</f>
        <v/>
      </c>
      <c r="I93" s="28" t="str">
        <f aca="false">IF($A93="","",$G93-$E93)</f>
        <v/>
      </c>
      <c r="J93" s="28" t="str">
        <f aca="false">IF($A93="","",IF($I93&lt;=0,"●",""))</f>
        <v/>
      </c>
      <c r="K93" s="47" t="str">
        <f aca="false">IF($A93="","",IF(AND(INDEX(工程マスタ!$I$5:$I$154,$A93)="○",$E93&gt;=K$3,$E93&lt;=K$3+6),"▼",IF(AND($E93&gt;=K$3,$E93&lt;=K$3+6),$A93,"")))</f>
        <v/>
      </c>
      <c r="L93" s="47" t="str">
        <f aca="false">IF($A93="","",IF(AND(INDEX(工程マスタ!$I$5:$I$154,$A93)="○",$E93&gt;=L$3,$E93&lt;=L$3+6),"▼",IF(AND($E93&gt;=L$3,$E93&lt;=L$3+6),$A93,"")))</f>
        <v/>
      </c>
      <c r="M93" s="47" t="str">
        <f aca="false">IF($A93="","",IF(AND(INDEX(工程マスタ!$I$5:$I$154,$A93)="○",$E93&gt;=M$3,$E93&lt;=M$3+6),"▼",IF(AND($E93&gt;=M$3,$E93&lt;=M$3+6),$A93,"")))</f>
        <v/>
      </c>
      <c r="N93" s="47" t="str">
        <f aca="false">IF($A93="","",IF(AND(INDEX(工程マスタ!$I$5:$I$154,$A93)="○",$E93&gt;=N$3,$E93&lt;=N$3+6),"▼",IF(AND($E93&gt;=N$3,$E93&lt;=N$3+6),$A93,"")))</f>
        <v/>
      </c>
      <c r="O93" s="47" t="str">
        <f aca="false">IF($A93="","",IF(AND(INDEX(工程マスタ!$I$5:$I$154,$A93)="○",$E93&gt;=O$3,$E93&lt;=O$3+6),"▼",IF(AND($E93&gt;=O$3,$E93&lt;=O$3+6),$A93,"")))</f>
        <v/>
      </c>
      <c r="P93" s="47" t="str">
        <f aca="false">IF($A93="","",IF(AND(INDEX(工程マスタ!$I$5:$I$154,$A93)="○",$E93&gt;=P$3,$E93&lt;=P$3+6),"▼",IF(AND($E93&gt;=P$3,$E93&lt;=P$3+6),$A93,"")))</f>
        <v/>
      </c>
      <c r="Q93" s="47" t="str">
        <f aca="false">IF($A93="","",IF(AND(INDEX(工程マスタ!$I$5:$I$154,$A93)="○",$E93&gt;=Q$3,$E93&lt;=Q$3+6),"▼",IF(AND($E93&gt;=Q$3,$E93&lt;=Q$3+6),$A93,"")))</f>
        <v/>
      </c>
      <c r="R93" s="47" t="str">
        <f aca="false">IF($A93="","",IF(AND(INDEX(工程マスタ!$I$5:$I$154,$A93)="○",$E93&gt;=R$3,$E93&lt;=R$3+6),"▼",IF(AND($E93&gt;=R$3,$E93&lt;=R$3+6),$A93,"")))</f>
        <v/>
      </c>
      <c r="S93" s="47" t="str">
        <f aca="false">IF($A93="","",IF(AND(INDEX(工程マスタ!$I$5:$I$154,$A93)="○",$E93&gt;=S$3,$E93&lt;=S$3+6),"▼",IF(AND($E93&gt;=S$3,$E93&lt;=S$3+6),$A93,"")))</f>
        <v/>
      </c>
      <c r="T93" s="47" t="str">
        <f aca="false">IF($A93="","",IF(AND(INDEX(工程マスタ!$I$5:$I$154,$A93)="○",$E93&gt;=T$3,$E93&lt;=T$3+6),"▼",IF(AND($E93&gt;=T$3,$E93&lt;=T$3+6),$A93,"")))</f>
        <v/>
      </c>
      <c r="U93" s="47" t="str">
        <f aca="false">IF($A93="","",IF(AND(INDEX(工程マスタ!$I$5:$I$154,$A93)="○",$E93&gt;=U$3,$E93&lt;=U$3+6),"▼",IF(AND($E93&gt;=U$3,$E93&lt;=U$3+6),$A93,"")))</f>
        <v/>
      </c>
      <c r="V93" s="47" t="str">
        <f aca="false">IF($A93="","",IF(AND(INDEX(工程マスタ!$I$5:$I$154,$A93)="○",$E93&gt;=V$3,$E93&lt;=V$3+6),"▼",IF(AND($E93&gt;=V$3,$E93&lt;=V$3+6),$A93,"")))</f>
        <v/>
      </c>
      <c r="W93" s="47" t="str">
        <f aca="false">IF($A93="","",IF(AND(INDEX(工程マスタ!$I$5:$I$154,$A93)="○",$E93&gt;=W$3,$E93&lt;=W$3+6),"▼",IF(AND($E93&gt;=W$3,$E93&lt;=W$3+6),$A93,"")))</f>
        <v/>
      </c>
      <c r="X93" s="47" t="str">
        <f aca="false">IF($A93="","",IF(AND(INDEX(工程マスタ!$I$5:$I$154,$A93)="○",$E93&gt;=X$3,$E93&lt;=X$3+6),"▼",IF(AND($E93&gt;=X$3,$E93&lt;=X$3+6),$A93,"")))</f>
        <v/>
      </c>
      <c r="Y93" s="47" t="str">
        <f aca="false">IF($A93="","",IF(AND(INDEX(工程マスタ!$I$5:$I$154,$A93)="○",$E93&gt;=Y$3,$E93&lt;=Y$3+6),"▼",IF(AND($E93&gt;=Y$3,$E93&lt;=Y$3+6),$A93,"")))</f>
        <v/>
      </c>
      <c r="Z93" s="47" t="str">
        <f aca="false">IF($A93="","",IF(AND(INDEX(工程マスタ!$I$5:$I$154,$A93)="○",$E93&gt;=Z$3,$E93&lt;=Z$3+6),"▼",IF(AND($E93&gt;=Z$3,$E93&lt;=Z$3+6),$A93,"")))</f>
        <v/>
      </c>
      <c r="AA93" s="47" t="str">
        <f aca="false">IF($A93="","",IF(AND(INDEX(工程マスタ!$I$5:$I$154,$A93)="○",$E93&gt;=AA$3,$E93&lt;=AA$3+6),"▼",IF(AND($E93&gt;=AA$3,$E93&lt;=AA$3+6),$A93,"")))</f>
        <v/>
      </c>
      <c r="AB93" s="47" t="str">
        <f aca="false">IF($A93="","",IF(AND(INDEX(工程マスタ!$I$5:$I$154,$A93)="○",$E93&gt;=AB$3,$E93&lt;=AB$3+6),"▼",IF(AND($E93&gt;=AB$3,$E93&lt;=AB$3+6),$A93,"")))</f>
        <v/>
      </c>
      <c r="AC93" s="47" t="str">
        <f aca="false">IF($A93="","",IF(AND(INDEX(工程マスタ!$I$5:$I$154,$A93)="○",$E93&gt;=AC$3,$E93&lt;=AC$3+6),"▼",IF(AND($E93&gt;=AC$3,$E93&lt;=AC$3+6),$A93,"")))</f>
        <v/>
      </c>
      <c r="AD93" s="47" t="str">
        <f aca="false">IF($A93="","",IF(AND(INDEX(工程マスタ!$I$5:$I$154,$A93)="○",$E93&gt;=AD$3,$E93&lt;=AD$3+6),"▼",IF(AND($E93&gt;=AD$3,$E93&lt;=AD$3+6),$A93,"")))</f>
        <v/>
      </c>
      <c r="AE93" s="47" t="str">
        <f aca="false">IF($A93="","",IF(AND(INDEX(工程マスタ!$I$5:$I$154,$A93)="○",$E93&gt;=AE$3,$E93&lt;=AE$3+6),"▼",IF(AND($E93&gt;=AE$3,$E93&lt;=AE$3+6),$A93,"")))</f>
        <v/>
      </c>
      <c r="AF93" s="47" t="str">
        <f aca="false">IF($A93="","",IF(AND(INDEX(工程マスタ!$I$5:$I$154,$A93)="○",$E93&gt;=AF$3,$E93&lt;=AF$3+6),"▼",IF(AND($E93&gt;=AF$3,$E93&lt;=AF$3+6),$A93,"")))</f>
        <v/>
      </c>
      <c r="AG93" s="47" t="str">
        <f aca="false">IF($A93="","",IF(AND(INDEX(工程マスタ!$I$5:$I$154,$A93)="○",$E93&gt;=AG$3,$E93&lt;=AG$3+6),"▼",IF(AND($E93&gt;=AG$3,$E93&lt;=AG$3+6),$A93,"")))</f>
        <v/>
      </c>
      <c r="AH93" s="47" t="str">
        <f aca="false">IF($A93="","",IF(AND(INDEX(工程マスタ!$I$5:$I$154,$A93)="○",$E93&gt;=AH$3,$E93&lt;=AH$3+6),"▼",IF(AND($E93&gt;=AH$3,$E93&lt;=AH$3+6),$A93,"")))</f>
        <v/>
      </c>
      <c r="AI93" s="47" t="str">
        <f aca="false">IF($A93="","",IF(AND(INDEX(工程マスタ!$I$5:$I$154,$A93)="○",$E93&gt;=AI$3,$E93&lt;=AI$3+6),"▼",IF(AND($E93&gt;=AI$3,$E93&lt;=AI$3+6),$A93,"")))</f>
        <v/>
      </c>
      <c r="AJ93" s="47" t="str">
        <f aca="false">IF($A93="","",IF(AND(INDEX(工程マスタ!$I$5:$I$154,$A93)="○",$E93&gt;=AJ$3,$E93&lt;=AJ$3+6),"▼",IF(AND($E93&gt;=AJ$3,$E93&lt;=AJ$3+6),$A93,"")))</f>
        <v/>
      </c>
      <c r="AK93" s="47" t="str">
        <f aca="false">IF($A93="","",IF(AND(INDEX(工程マスタ!$I$5:$I$154,$A93)="○",$E93&gt;=AK$3,$E93&lt;=AK$3+6),"▼",IF(AND($E93&gt;=AK$3,$E93&lt;=AK$3+6),$A93,"")))</f>
        <v/>
      </c>
      <c r="AL93" s="47" t="str">
        <f aca="false">IF($A93="","",IF(AND(INDEX(工程マスタ!$I$5:$I$154,$A93)="○",$E93&gt;=AL$3,$E93&lt;=AL$3+6),"▼",IF(AND($E93&gt;=AL$3,$E93&lt;=AL$3+6),$A93,"")))</f>
        <v/>
      </c>
      <c r="AM93" s="47" t="str">
        <f aca="false">IF($A93="","",IF(AND(INDEX(工程マスタ!$I$5:$I$154,$A93)="○",$E93&gt;=AM$3,$E93&lt;=AM$3+6),"▼",IF(AND($E93&gt;=AM$3,$E93&lt;=AM$3+6),$A93,"")))</f>
        <v/>
      </c>
      <c r="AN93" s="47" t="str">
        <f aca="false">IF($A93="","",IF(AND(INDEX(工程マスタ!$I$5:$I$154,$A93)="○",$E93&gt;=AN$3,$E93&lt;=AN$3+6),"▼",IF(AND($E93&gt;=AN$3,$E93&lt;=AN$3+6),$A93,"")))</f>
        <v/>
      </c>
      <c r="AO93" s="47" t="str">
        <f aca="false">IF($A93="","",IF(AND(INDEX(工程マスタ!$I$5:$I$154,$A93)="○",$E93&gt;=AO$3,$E93&lt;=AO$3+6),"▼",IF(AND($E93&gt;=AO$3,$E93&lt;=AO$3+6),$A93,"")))</f>
        <v/>
      </c>
      <c r="AP93" s="47" t="str">
        <f aca="false">IF($A93="","",IF(AND(INDEX(工程マスタ!$I$5:$I$154,$A93)="○",$E93&gt;=AP$3,$E93&lt;=AP$3+6),"▼",IF(AND($E93&gt;=AP$3,$E93&lt;=AP$3+6),$A93,"")))</f>
        <v/>
      </c>
      <c r="AQ93" s="47" t="str">
        <f aca="false">IF($A93="","",IF(AND(INDEX(工程マスタ!$I$5:$I$154,$A93)="○",$E93&gt;=AQ$3,$E93&lt;=AQ$3+6),"▼",IF(AND($E93&gt;=AQ$3,$E93&lt;=AQ$3+6),$A93,"")))</f>
        <v/>
      </c>
      <c r="AR93" s="47" t="str">
        <f aca="false">IF($A93="","",IF(AND(INDEX(工程マスタ!$I$5:$I$154,$A93)="○",$E93&gt;=AR$3,$E93&lt;=AR$3+6),"▼",IF(AND($E93&gt;=AR$3,$E93&lt;=AR$3+6),$A93,"")))</f>
        <v/>
      </c>
      <c r="AS93" s="47" t="str">
        <f aca="false">IF($A93="","",IF(AND(INDEX(工程マスタ!$I$5:$I$154,$A93)="○",$E93&gt;=AS$3,$E93&lt;=AS$3+6),"▼",IF(AND($E93&gt;=AS$3,$E93&lt;=AS$3+6),$A93,"")))</f>
        <v/>
      </c>
      <c r="AT93" s="47" t="str">
        <f aca="false">IF($A93="","",IF(AND(INDEX(工程マスタ!$I$5:$I$154,$A93)="○",$E93&gt;=AT$3,$E93&lt;=AT$3+6),"▼",IF(AND($E93&gt;=AT$3,$E93&lt;=AT$3+6),$A93,"")))</f>
        <v/>
      </c>
      <c r="AU93" s="47" t="str">
        <f aca="false">IF($A93="","",IF(AND(INDEX(工程マスタ!$I$5:$I$154,$A93)="○",$E93&gt;=AU$3,$E93&lt;=AU$3+6),"▼",IF(AND($E93&gt;=AU$3,$E93&lt;=AU$3+6),$A93,"")))</f>
        <v/>
      </c>
      <c r="AV93" s="47" t="str">
        <f aca="false">IF($A93="","",IF(AND(INDEX(工程マスタ!$I$5:$I$154,$A93)="○",$E93&gt;=AV$3,$E93&lt;=AV$3+6),"▼",IF(AND($E93&gt;=AV$3,$E93&lt;=AV$3+6),$A93,"")))</f>
        <v/>
      </c>
      <c r="AW93" s="47" t="str">
        <f aca="false">IF($A93="","",IF(AND(INDEX(工程マスタ!$I$5:$I$154,$A93)="○",$E93&gt;=AW$3,$E93&lt;=AW$3+6),"▼",IF(AND($E93&gt;=AW$3,$E93&lt;=AW$3+6),$A93,"")))</f>
        <v/>
      </c>
      <c r="AX93" s="47" t="str">
        <f aca="false">IF($A93="","",IF(AND(INDEX(工程マスタ!$I$5:$I$154,$A93)="○",$E93&gt;=AX$3,$E93&lt;=AX$3+6),"▼",IF(AND($E93&gt;=AX$3,$E93&lt;=AX$3+6),$A93,"")))</f>
        <v/>
      </c>
      <c r="AY93" s="47" t="str">
        <f aca="false">IF($A93="","",IF(AND(INDEX(工程マスタ!$I$5:$I$154,$A93)="○",$E93&gt;=AY$3,$E93&lt;=AY$3+6),"▼",IF(AND($E93&gt;=AY$3,$E93&lt;=AY$3+6),$A93,"")))</f>
        <v/>
      </c>
      <c r="AZ93" s="47" t="str">
        <f aca="false">IF($A93="","",IF(AND(INDEX(工程マスタ!$I$5:$I$154,$A93)="○",$E93&gt;=AZ$3,$E93&lt;=AZ$3+6),"▼",IF(AND($E93&gt;=AZ$3,$E93&lt;=AZ$3+6),$A93,"")))</f>
        <v/>
      </c>
      <c r="BA93" s="47" t="str">
        <f aca="false">IF($A93="","",IF(AND(INDEX(工程マスタ!$I$5:$I$154,$A93)="○",$E93&gt;=BA$3,$E93&lt;=BA$3+6),"▼",IF(AND($E93&gt;=BA$3,$E93&lt;=BA$3+6),$A93,"")))</f>
        <v/>
      </c>
      <c r="BB93" s="47" t="str">
        <f aca="false">IF($A93="","",IF(AND(INDEX(工程マスタ!$I$5:$I$154,$A93)="○",$E93&gt;=BB$3,$E93&lt;=BB$3+6),"▼",IF(AND($E93&gt;=BB$3,$E93&lt;=BB$3+6),$A93,"")))</f>
        <v/>
      </c>
      <c r="BC93" s="47" t="str">
        <f aca="false">IF($A93="","",IF(AND(INDEX(工程マスタ!$I$5:$I$154,$A93)="○",$E93&gt;=BC$3,$E93&lt;=BC$3+6),"▼",IF(AND($E93&gt;=BC$3,$E93&lt;=BC$3+6),$A93,"")))</f>
        <v/>
      </c>
      <c r="BD93" s="47" t="str">
        <f aca="false">IF($A93="","",IF(AND(INDEX(工程マスタ!$I$5:$I$154,$A93)="○",$E93&gt;=BD$3,$E93&lt;=BD$3+6),"▼",IF(AND($E93&gt;=BD$3,$E93&lt;=BD$3+6),$A93,"")))</f>
        <v/>
      </c>
      <c r="BE93" s="47" t="str">
        <f aca="false">IF($A93="","",IF(AND(INDEX(工程マスタ!$I$5:$I$154,$A93)="○",$E93&gt;=BE$3,$E93&lt;=BE$3+6),"▼",IF(AND($E93&gt;=BE$3,$E93&lt;=BE$3+6),$A93,"")))</f>
        <v/>
      </c>
      <c r="BF93" s="47" t="str">
        <f aca="false">IF($A93="","",IF(AND(INDEX(工程マスタ!$I$5:$I$154,$A93)="○",$E93&gt;=BF$3,$E93&lt;=BF$3+6),"▼",IF(AND($E93&gt;=BF$3,$E93&lt;=BF$3+6),$A93,"")))</f>
        <v/>
      </c>
      <c r="BG93" s="47" t="str">
        <f aca="false">IF($A93="","",IF(AND(INDEX(工程マスタ!$I$5:$I$154,$A93)="○",$E93&gt;=BG$3,$E93&lt;=BG$3+6),"▼",IF(AND($E93&gt;=BG$3,$E93&lt;=BG$3+6),$A93,"")))</f>
        <v/>
      </c>
      <c r="BH93" s="47" t="str">
        <f aca="false">IF($A93="","",IF(AND(INDEX(工程マスタ!$I$5:$I$154,$A93)="○",$E93&gt;=BH$3,$E93&lt;=BH$3+6),"▼",IF(AND($E93&gt;=BH$3,$E93&lt;=BH$3+6),$A93,"")))</f>
        <v/>
      </c>
      <c r="BI93" s="47" t="str">
        <f aca="false">IF($A93="","",IF(AND(INDEX(工程マスタ!$I$5:$I$154,$A93)="○",$E93&gt;=BI$3,$E93&lt;=BI$3+6),"▼",IF(AND($E93&gt;=BI$3,$E93&lt;=BI$3+6),$A93,"")))</f>
        <v/>
      </c>
      <c r="BJ93" s="47" t="str">
        <f aca="false">IF($A93="","",IF(AND(INDEX(工程マスタ!$I$5:$I$154,$A93)="○",$E93&gt;=BJ$3,$E93&lt;=BJ$3+6),"▼",IF(AND($E93&gt;=BJ$3,$E93&lt;=BJ$3+6),$A93,"")))</f>
        <v/>
      </c>
    </row>
    <row r="94" customFormat="false" ht="15" hidden="false" customHeight="false" outlineLevel="0" collapsed="false">
      <c r="A94" s="28" t="str">
        <f aca="false">IF(工程マスタ!$C92="","",工程マスタ!$A92)</f>
        <v/>
      </c>
      <c r="B94" s="46" t="str">
        <f aca="false">IF($A94="","",工程マスタ!$C92)</f>
        <v/>
      </c>
      <c r="C94" s="28" t="str">
        <f aca="false">IF($A94="","",MAX(1,工程マスタ!$G92))</f>
        <v/>
      </c>
      <c r="D94" s="28" t="str">
        <f aca="false">IF($A94="","",_xlfn.TEXTJOIN(",",TRUE(),工程マスタ!$N92:$P92))</f>
        <v/>
      </c>
      <c r="E94" s="29" t="str">
        <f aca="false">IF($A94="","",IF(COUNT(工程マスタ!$N92:$P92)=0,設定!$B$8,MAX(IF(工程マスタ!$N92="",0,INDEX($F$7:$F$156,工程マスタ!$N92)),IF(工程マスタ!$O92="",0,INDEX($F$7:$F$156,工程マスタ!$O92)),IF(工程マスタ!$P92="",0,INDEX($F$7:$F$156,工程マスタ!$P92)))+1))</f>
        <v/>
      </c>
      <c r="F94" s="29" t="str">
        <f aca="false">IF($A94="","",$E94+$C94-1)</f>
        <v/>
      </c>
      <c r="G94" s="29" t="str">
        <f aca="false">IF($A94="","",$H94-$C94+1)</f>
        <v/>
      </c>
      <c r="H94" s="29" t="str">
        <f aca="false" t="array" ref="H94:H94">IF($A94="","",IF(SUMPRODUCT((工程マスタ!$N$93:$N$154=$A94)*1)+SUMPRODUCT((工程マスタ!$O$93:$O$154=$A94)*1)+SUMPRODUCT((工程マスタ!$P$93:$P$154=$A94)*1)=0,MAX($F$7:$F$156),MIN(IF((工程マスタ!$N$93:$N$154=$A94)+(工程マスタ!$O$93:$O$154=$A94)+(工程マスタ!$P$93:$P$154=$A94),$G95:$G$156))-1))</f>
        <v/>
      </c>
      <c r="I94" s="28" t="str">
        <f aca="false">IF($A94="","",$G94-$E94)</f>
        <v/>
      </c>
      <c r="J94" s="28" t="str">
        <f aca="false">IF($A94="","",IF($I94&lt;=0,"●",""))</f>
        <v/>
      </c>
      <c r="K94" s="47" t="str">
        <f aca="false">IF($A94="","",IF(AND(INDEX(工程マスタ!$I$5:$I$154,$A94)="○",$E94&gt;=K$3,$E94&lt;=K$3+6),"▼",IF(AND($E94&gt;=K$3,$E94&lt;=K$3+6),$A94,"")))</f>
        <v/>
      </c>
      <c r="L94" s="47" t="str">
        <f aca="false">IF($A94="","",IF(AND(INDEX(工程マスタ!$I$5:$I$154,$A94)="○",$E94&gt;=L$3,$E94&lt;=L$3+6),"▼",IF(AND($E94&gt;=L$3,$E94&lt;=L$3+6),$A94,"")))</f>
        <v/>
      </c>
      <c r="M94" s="47" t="str">
        <f aca="false">IF($A94="","",IF(AND(INDEX(工程マスタ!$I$5:$I$154,$A94)="○",$E94&gt;=M$3,$E94&lt;=M$3+6),"▼",IF(AND($E94&gt;=M$3,$E94&lt;=M$3+6),$A94,"")))</f>
        <v/>
      </c>
      <c r="N94" s="47" t="str">
        <f aca="false">IF($A94="","",IF(AND(INDEX(工程マスタ!$I$5:$I$154,$A94)="○",$E94&gt;=N$3,$E94&lt;=N$3+6),"▼",IF(AND($E94&gt;=N$3,$E94&lt;=N$3+6),$A94,"")))</f>
        <v/>
      </c>
      <c r="O94" s="47" t="str">
        <f aca="false">IF($A94="","",IF(AND(INDEX(工程マスタ!$I$5:$I$154,$A94)="○",$E94&gt;=O$3,$E94&lt;=O$3+6),"▼",IF(AND($E94&gt;=O$3,$E94&lt;=O$3+6),$A94,"")))</f>
        <v/>
      </c>
      <c r="P94" s="47" t="str">
        <f aca="false">IF($A94="","",IF(AND(INDEX(工程マスタ!$I$5:$I$154,$A94)="○",$E94&gt;=P$3,$E94&lt;=P$3+6),"▼",IF(AND($E94&gt;=P$3,$E94&lt;=P$3+6),$A94,"")))</f>
        <v/>
      </c>
      <c r="Q94" s="47" t="str">
        <f aca="false">IF($A94="","",IF(AND(INDEX(工程マスタ!$I$5:$I$154,$A94)="○",$E94&gt;=Q$3,$E94&lt;=Q$3+6),"▼",IF(AND($E94&gt;=Q$3,$E94&lt;=Q$3+6),$A94,"")))</f>
        <v/>
      </c>
      <c r="R94" s="47" t="str">
        <f aca="false">IF($A94="","",IF(AND(INDEX(工程マスタ!$I$5:$I$154,$A94)="○",$E94&gt;=R$3,$E94&lt;=R$3+6),"▼",IF(AND($E94&gt;=R$3,$E94&lt;=R$3+6),$A94,"")))</f>
        <v/>
      </c>
      <c r="S94" s="47" t="str">
        <f aca="false">IF($A94="","",IF(AND(INDEX(工程マスタ!$I$5:$I$154,$A94)="○",$E94&gt;=S$3,$E94&lt;=S$3+6),"▼",IF(AND($E94&gt;=S$3,$E94&lt;=S$3+6),$A94,"")))</f>
        <v/>
      </c>
      <c r="T94" s="47" t="str">
        <f aca="false">IF($A94="","",IF(AND(INDEX(工程マスタ!$I$5:$I$154,$A94)="○",$E94&gt;=T$3,$E94&lt;=T$3+6),"▼",IF(AND($E94&gt;=T$3,$E94&lt;=T$3+6),$A94,"")))</f>
        <v/>
      </c>
      <c r="U94" s="47" t="str">
        <f aca="false">IF($A94="","",IF(AND(INDEX(工程マスタ!$I$5:$I$154,$A94)="○",$E94&gt;=U$3,$E94&lt;=U$3+6),"▼",IF(AND($E94&gt;=U$3,$E94&lt;=U$3+6),$A94,"")))</f>
        <v/>
      </c>
      <c r="V94" s="47" t="str">
        <f aca="false">IF($A94="","",IF(AND(INDEX(工程マスタ!$I$5:$I$154,$A94)="○",$E94&gt;=V$3,$E94&lt;=V$3+6),"▼",IF(AND($E94&gt;=V$3,$E94&lt;=V$3+6),$A94,"")))</f>
        <v/>
      </c>
      <c r="W94" s="47" t="str">
        <f aca="false">IF($A94="","",IF(AND(INDEX(工程マスタ!$I$5:$I$154,$A94)="○",$E94&gt;=W$3,$E94&lt;=W$3+6),"▼",IF(AND($E94&gt;=W$3,$E94&lt;=W$3+6),$A94,"")))</f>
        <v/>
      </c>
      <c r="X94" s="47" t="str">
        <f aca="false">IF($A94="","",IF(AND(INDEX(工程マスタ!$I$5:$I$154,$A94)="○",$E94&gt;=X$3,$E94&lt;=X$3+6),"▼",IF(AND($E94&gt;=X$3,$E94&lt;=X$3+6),$A94,"")))</f>
        <v/>
      </c>
      <c r="Y94" s="47" t="str">
        <f aca="false">IF($A94="","",IF(AND(INDEX(工程マスタ!$I$5:$I$154,$A94)="○",$E94&gt;=Y$3,$E94&lt;=Y$3+6),"▼",IF(AND($E94&gt;=Y$3,$E94&lt;=Y$3+6),$A94,"")))</f>
        <v/>
      </c>
      <c r="Z94" s="47" t="str">
        <f aca="false">IF($A94="","",IF(AND(INDEX(工程マスタ!$I$5:$I$154,$A94)="○",$E94&gt;=Z$3,$E94&lt;=Z$3+6),"▼",IF(AND($E94&gt;=Z$3,$E94&lt;=Z$3+6),$A94,"")))</f>
        <v/>
      </c>
      <c r="AA94" s="47" t="str">
        <f aca="false">IF($A94="","",IF(AND(INDEX(工程マスタ!$I$5:$I$154,$A94)="○",$E94&gt;=AA$3,$E94&lt;=AA$3+6),"▼",IF(AND($E94&gt;=AA$3,$E94&lt;=AA$3+6),$A94,"")))</f>
        <v/>
      </c>
      <c r="AB94" s="47" t="str">
        <f aca="false">IF($A94="","",IF(AND(INDEX(工程マスタ!$I$5:$I$154,$A94)="○",$E94&gt;=AB$3,$E94&lt;=AB$3+6),"▼",IF(AND($E94&gt;=AB$3,$E94&lt;=AB$3+6),$A94,"")))</f>
        <v/>
      </c>
      <c r="AC94" s="47" t="str">
        <f aca="false">IF($A94="","",IF(AND(INDEX(工程マスタ!$I$5:$I$154,$A94)="○",$E94&gt;=AC$3,$E94&lt;=AC$3+6),"▼",IF(AND($E94&gt;=AC$3,$E94&lt;=AC$3+6),$A94,"")))</f>
        <v/>
      </c>
      <c r="AD94" s="47" t="str">
        <f aca="false">IF($A94="","",IF(AND(INDEX(工程マスタ!$I$5:$I$154,$A94)="○",$E94&gt;=AD$3,$E94&lt;=AD$3+6),"▼",IF(AND($E94&gt;=AD$3,$E94&lt;=AD$3+6),$A94,"")))</f>
        <v/>
      </c>
      <c r="AE94" s="47" t="str">
        <f aca="false">IF($A94="","",IF(AND(INDEX(工程マスタ!$I$5:$I$154,$A94)="○",$E94&gt;=AE$3,$E94&lt;=AE$3+6),"▼",IF(AND($E94&gt;=AE$3,$E94&lt;=AE$3+6),$A94,"")))</f>
        <v/>
      </c>
      <c r="AF94" s="47" t="str">
        <f aca="false">IF($A94="","",IF(AND(INDEX(工程マスタ!$I$5:$I$154,$A94)="○",$E94&gt;=AF$3,$E94&lt;=AF$3+6),"▼",IF(AND($E94&gt;=AF$3,$E94&lt;=AF$3+6),$A94,"")))</f>
        <v/>
      </c>
      <c r="AG94" s="47" t="str">
        <f aca="false">IF($A94="","",IF(AND(INDEX(工程マスタ!$I$5:$I$154,$A94)="○",$E94&gt;=AG$3,$E94&lt;=AG$3+6),"▼",IF(AND($E94&gt;=AG$3,$E94&lt;=AG$3+6),$A94,"")))</f>
        <v/>
      </c>
      <c r="AH94" s="47" t="str">
        <f aca="false">IF($A94="","",IF(AND(INDEX(工程マスタ!$I$5:$I$154,$A94)="○",$E94&gt;=AH$3,$E94&lt;=AH$3+6),"▼",IF(AND($E94&gt;=AH$3,$E94&lt;=AH$3+6),$A94,"")))</f>
        <v/>
      </c>
      <c r="AI94" s="47" t="str">
        <f aca="false">IF($A94="","",IF(AND(INDEX(工程マスタ!$I$5:$I$154,$A94)="○",$E94&gt;=AI$3,$E94&lt;=AI$3+6),"▼",IF(AND($E94&gt;=AI$3,$E94&lt;=AI$3+6),$A94,"")))</f>
        <v/>
      </c>
      <c r="AJ94" s="47" t="str">
        <f aca="false">IF($A94="","",IF(AND(INDEX(工程マスタ!$I$5:$I$154,$A94)="○",$E94&gt;=AJ$3,$E94&lt;=AJ$3+6),"▼",IF(AND($E94&gt;=AJ$3,$E94&lt;=AJ$3+6),$A94,"")))</f>
        <v/>
      </c>
      <c r="AK94" s="47" t="str">
        <f aca="false">IF($A94="","",IF(AND(INDEX(工程マスタ!$I$5:$I$154,$A94)="○",$E94&gt;=AK$3,$E94&lt;=AK$3+6),"▼",IF(AND($E94&gt;=AK$3,$E94&lt;=AK$3+6),$A94,"")))</f>
        <v/>
      </c>
      <c r="AL94" s="47" t="str">
        <f aca="false">IF($A94="","",IF(AND(INDEX(工程マスタ!$I$5:$I$154,$A94)="○",$E94&gt;=AL$3,$E94&lt;=AL$3+6),"▼",IF(AND($E94&gt;=AL$3,$E94&lt;=AL$3+6),$A94,"")))</f>
        <v/>
      </c>
      <c r="AM94" s="47" t="str">
        <f aca="false">IF($A94="","",IF(AND(INDEX(工程マスタ!$I$5:$I$154,$A94)="○",$E94&gt;=AM$3,$E94&lt;=AM$3+6),"▼",IF(AND($E94&gt;=AM$3,$E94&lt;=AM$3+6),$A94,"")))</f>
        <v/>
      </c>
      <c r="AN94" s="47" t="str">
        <f aca="false">IF($A94="","",IF(AND(INDEX(工程マスタ!$I$5:$I$154,$A94)="○",$E94&gt;=AN$3,$E94&lt;=AN$3+6),"▼",IF(AND($E94&gt;=AN$3,$E94&lt;=AN$3+6),$A94,"")))</f>
        <v/>
      </c>
      <c r="AO94" s="47" t="str">
        <f aca="false">IF($A94="","",IF(AND(INDEX(工程マスタ!$I$5:$I$154,$A94)="○",$E94&gt;=AO$3,$E94&lt;=AO$3+6),"▼",IF(AND($E94&gt;=AO$3,$E94&lt;=AO$3+6),$A94,"")))</f>
        <v/>
      </c>
      <c r="AP94" s="47" t="str">
        <f aca="false">IF($A94="","",IF(AND(INDEX(工程マスタ!$I$5:$I$154,$A94)="○",$E94&gt;=AP$3,$E94&lt;=AP$3+6),"▼",IF(AND($E94&gt;=AP$3,$E94&lt;=AP$3+6),$A94,"")))</f>
        <v/>
      </c>
      <c r="AQ94" s="47" t="str">
        <f aca="false">IF($A94="","",IF(AND(INDEX(工程マスタ!$I$5:$I$154,$A94)="○",$E94&gt;=AQ$3,$E94&lt;=AQ$3+6),"▼",IF(AND($E94&gt;=AQ$3,$E94&lt;=AQ$3+6),$A94,"")))</f>
        <v/>
      </c>
      <c r="AR94" s="47" t="str">
        <f aca="false">IF($A94="","",IF(AND(INDEX(工程マスタ!$I$5:$I$154,$A94)="○",$E94&gt;=AR$3,$E94&lt;=AR$3+6),"▼",IF(AND($E94&gt;=AR$3,$E94&lt;=AR$3+6),$A94,"")))</f>
        <v/>
      </c>
      <c r="AS94" s="47" t="str">
        <f aca="false">IF($A94="","",IF(AND(INDEX(工程マスタ!$I$5:$I$154,$A94)="○",$E94&gt;=AS$3,$E94&lt;=AS$3+6),"▼",IF(AND($E94&gt;=AS$3,$E94&lt;=AS$3+6),$A94,"")))</f>
        <v/>
      </c>
      <c r="AT94" s="47" t="str">
        <f aca="false">IF($A94="","",IF(AND(INDEX(工程マスタ!$I$5:$I$154,$A94)="○",$E94&gt;=AT$3,$E94&lt;=AT$3+6),"▼",IF(AND($E94&gt;=AT$3,$E94&lt;=AT$3+6),$A94,"")))</f>
        <v/>
      </c>
      <c r="AU94" s="47" t="str">
        <f aca="false">IF($A94="","",IF(AND(INDEX(工程マスタ!$I$5:$I$154,$A94)="○",$E94&gt;=AU$3,$E94&lt;=AU$3+6),"▼",IF(AND($E94&gt;=AU$3,$E94&lt;=AU$3+6),$A94,"")))</f>
        <v/>
      </c>
      <c r="AV94" s="47" t="str">
        <f aca="false">IF($A94="","",IF(AND(INDEX(工程マスタ!$I$5:$I$154,$A94)="○",$E94&gt;=AV$3,$E94&lt;=AV$3+6),"▼",IF(AND($E94&gt;=AV$3,$E94&lt;=AV$3+6),$A94,"")))</f>
        <v/>
      </c>
      <c r="AW94" s="47" t="str">
        <f aca="false">IF($A94="","",IF(AND(INDEX(工程マスタ!$I$5:$I$154,$A94)="○",$E94&gt;=AW$3,$E94&lt;=AW$3+6),"▼",IF(AND($E94&gt;=AW$3,$E94&lt;=AW$3+6),$A94,"")))</f>
        <v/>
      </c>
      <c r="AX94" s="47" t="str">
        <f aca="false">IF($A94="","",IF(AND(INDEX(工程マスタ!$I$5:$I$154,$A94)="○",$E94&gt;=AX$3,$E94&lt;=AX$3+6),"▼",IF(AND($E94&gt;=AX$3,$E94&lt;=AX$3+6),$A94,"")))</f>
        <v/>
      </c>
      <c r="AY94" s="47" t="str">
        <f aca="false">IF($A94="","",IF(AND(INDEX(工程マスタ!$I$5:$I$154,$A94)="○",$E94&gt;=AY$3,$E94&lt;=AY$3+6),"▼",IF(AND($E94&gt;=AY$3,$E94&lt;=AY$3+6),$A94,"")))</f>
        <v/>
      </c>
      <c r="AZ94" s="47" t="str">
        <f aca="false">IF($A94="","",IF(AND(INDEX(工程マスタ!$I$5:$I$154,$A94)="○",$E94&gt;=AZ$3,$E94&lt;=AZ$3+6),"▼",IF(AND($E94&gt;=AZ$3,$E94&lt;=AZ$3+6),$A94,"")))</f>
        <v/>
      </c>
      <c r="BA94" s="47" t="str">
        <f aca="false">IF($A94="","",IF(AND(INDEX(工程マスタ!$I$5:$I$154,$A94)="○",$E94&gt;=BA$3,$E94&lt;=BA$3+6),"▼",IF(AND($E94&gt;=BA$3,$E94&lt;=BA$3+6),$A94,"")))</f>
        <v/>
      </c>
      <c r="BB94" s="47" t="str">
        <f aca="false">IF($A94="","",IF(AND(INDEX(工程マスタ!$I$5:$I$154,$A94)="○",$E94&gt;=BB$3,$E94&lt;=BB$3+6),"▼",IF(AND($E94&gt;=BB$3,$E94&lt;=BB$3+6),$A94,"")))</f>
        <v/>
      </c>
      <c r="BC94" s="47" t="str">
        <f aca="false">IF($A94="","",IF(AND(INDEX(工程マスタ!$I$5:$I$154,$A94)="○",$E94&gt;=BC$3,$E94&lt;=BC$3+6),"▼",IF(AND($E94&gt;=BC$3,$E94&lt;=BC$3+6),$A94,"")))</f>
        <v/>
      </c>
      <c r="BD94" s="47" t="str">
        <f aca="false">IF($A94="","",IF(AND(INDEX(工程マスタ!$I$5:$I$154,$A94)="○",$E94&gt;=BD$3,$E94&lt;=BD$3+6),"▼",IF(AND($E94&gt;=BD$3,$E94&lt;=BD$3+6),$A94,"")))</f>
        <v/>
      </c>
      <c r="BE94" s="47" t="str">
        <f aca="false">IF($A94="","",IF(AND(INDEX(工程マスタ!$I$5:$I$154,$A94)="○",$E94&gt;=BE$3,$E94&lt;=BE$3+6),"▼",IF(AND($E94&gt;=BE$3,$E94&lt;=BE$3+6),$A94,"")))</f>
        <v/>
      </c>
      <c r="BF94" s="47" t="str">
        <f aca="false">IF($A94="","",IF(AND(INDEX(工程マスタ!$I$5:$I$154,$A94)="○",$E94&gt;=BF$3,$E94&lt;=BF$3+6),"▼",IF(AND($E94&gt;=BF$3,$E94&lt;=BF$3+6),$A94,"")))</f>
        <v/>
      </c>
      <c r="BG94" s="47" t="str">
        <f aca="false">IF($A94="","",IF(AND(INDEX(工程マスタ!$I$5:$I$154,$A94)="○",$E94&gt;=BG$3,$E94&lt;=BG$3+6),"▼",IF(AND($E94&gt;=BG$3,$E94&lt;=BG$3+6),$A94,"")))</f>
        <v/>
      </c>
      <c r="BH94" s="47" t="str">
        <f aca="false">IF($A94="","",IF(AND(INDEX(工程マスタ!$I$5:$I$154,$A94)="○",$E94&gt;=BH$3,$E94&lt;=BH$3+6),"▼",IF(AND($E94&gt;=BH$3,$E94&lt;=BH$3+6),$A94,"")))</f>
        <v/>
      </c>
      <c r="BI94" s="47" t="str">
        <f aca="false">IF($A94="","",IF(AND(INDEX(工程マスタ!$I$5:$I$154,$A94)="○",$E94&gt;=BI$3,$E94&lt;=BI$3+6),"▼",IF(AND($E94&gt;=BI$3,$E94&lt;=BI$3+6),$A94,"")))</f>
        <v/>
      </c>
      <c r="BJ94" s="47" t="str">
        <f aca="false">IF($A94="","",IF(AND(INDEX(工程マスタ!$I$5:$I$154,$A94)="○",$E94&gt;=BJ$3,$E94&lt;=BJ$3+6),"▼",IF(AND($E94&gt;=BJ$3,$E94&lt;=BJ$3+6),$A94,"")))</f>
        <v/>
      </c>
    </row>
    <row r="95" customFormat="false" ht="15" hidden="false" customHeight="false" outlineLevel="0" collapsed="false">
      <c r="A95" s="28" t="str">
        <f aca="false">IF(工程マスタ!$C93="","",工程マスタ!$A93)</f>
        <v/>
      </c>
      <c r="B95" s="46" t="str">
        <f aca="false">IF($A95="","",工程マスタ!$C93)</f>
        <v/>
      </c>
      <c r="C95" s="28" t="str">
        <f aca="false">IF($A95="","",MAX(1,工程マスタ!$G93))</f>
        <v/>
      </c>
      <c r="D95" s="28" t="str">
        <f aca="false">IF($A95="","",_xlfn.TEXTJOIN(",",TRUE(),工程マスタ!$N93:$P93))</f>
        <v/>
      </c>
      <c r="E95" s="29" t="str">
        <f aca="false">IF($A95="","",IF(COUNT(工程マスタ!$N93:$P93)=0,設定!$B$8,MAX(IF(工程マスタ!$N93="",0,INDEX($F$7:$F$156,工程マスタ!$N93)),IF(工程マスタ!$O93="",0,INDEX($F$7:$F$156,工程マスタ!$O93)),IF(工程マスタ!$P93="",0,INDEX($F$7:$F$156,工程マスタ!$P93)))+1))</f>
        <v/>
      </c>
      <c r="F95" s="29" t="str">
        <f aca="false">IF($A95="","",$E95+$C95-1)</f>
        <v/>
      </c>
      <c r="G95" s="29" t="str">
        <f aca="false">IF($A95="","",$H95-$C95+1)</f>
        <v/>
      </c>
      <c r="H95" s="29" t="str">
        <f aca="false" t="array" ref="H95:H95">IF($A95="","",IF(SUMPRODUCT((工程マスタ!$N$94:$N$154=$A95)*1)+SUMPRODUCT((工程マスタ!$O$94:$O$154=$A95)*1)+SUMPRODUCT((工程マスタ!$P$94:$P$154=$A95)*1)=0,MAX($F$7:$F$156),MIN(IF((工程マスタ!$N$94:$N$154=$A95)+(工程マスタ!$O$94:$O$154=$A95)+(工程マスタ!$P$94:$P$154=$A95),$G96:$G$156))-1))</f>
        <v/>
      </c>
      <c r="I95" s="28" t="str">
        <f aca="false">IF($A95="","",$G95-$E95)</f>
        <v/>
      </c>
      <c r="J95" s="28" t="str">
        <f aca="false">IF($A95="","",IF($I95&lt;=0,"●",""))</f>
        <v/>
      </c>
      <c r="K95" s="47" t="str">
        <f aca="false">IF($A95="","",IF(AND(INDEX(工程マスタ!$I$5:$I$154,$A95)="○",$E95&gt;=K$3,$E95&lt;=K$3+6),"▼",IF(AND($E95&gt;=K$3,$E95&lt;=K$3+6),$A95,"")))</f>
        <v/>
      </c>
      <c r="L95" s="47" t="str">
        <f aca="false">IF($A95="","",IF(AND(INDEX(工程マスタ!$I$5:$I$154,$A95)="○",$E95&gt;=L$3,$E95&lt;=L$3+6),"▼",IF(AND($E95&gt;=L$3,$E95&lt;=L$3+6),$A95,"")))</f>
        <v/>
      </c>
      <c r="M95" s="47" t="str">
        <f aca="false">IF($A95="","",IF(AND(INDEX(工程マスタ!$I$5:$I$154,$A95)="○",$E95&gt;=M$3,$E95&lt;=M$3+6),"▼",IF(AND($E95&gt;=M$3,$E95&lt;=M$3+6),$A95,"")))</f>
        <v/>
      </c>
      <c r="N95" s="47" t="str">
        <f aca="false">IF($A95="","",IF(AND(INDEX(工程マスタ!$I$5:$I$154,$A95)="○",$E95&gt;=N$3,$E95&lt;=N$3+6),"▼",IF(AND($E95&gt;=N$3,$E95&lt;=N$3+6),$A95,"")))</f>
        <v/>
      </c>
      <c r="O95" s="47" t="str">
        <f aca="false">IF($A95="","",IF(AND(INDEX(工程マスタ!$I$5:$I$154,$A95)="○",$E95&gt;=O$3,$E95&lt;=O$3+6),"▼",IF(AND($E95&gt;=O$3,$E95&lt;=O$3+6),$A95,"")))</f>
        <v/>
      </c>
      <c r="P95" s="47" t="str">
        <f aca="false">IF($A95="","",IF(AND(INDEX(工程マスタ!$I$5:$I$154,$A95)="○",$E95&gt;=P$3,$E95&lt;=P$3+6),"▼",IF(AND($E95&gt;=P$3,$E95&lt;=P$3+6),$A95,"")))</f>
        <v/>
      </c>
      <c r="Q95" s="47" t="str">
        <f aca="false">IF($A95="","",IF(AND(INDEX(工程マスタ!$I$5:$I$154,$A95)="○",$E95&gt;=Q$3,$E95&lt;=Q$3+6),"▼",IF(AND($E95&gt;=Q$3,$E95&lt;=Q$3+6),$A95,"")))</f>
        <v/>
      </c>
      <c r="R95" s="47" t="str">
        <f aca="false">IF($A95="","",IF(AND(INDEX(工程マスタ!$I$5:$I$154,$A95)="○",$E95&gt;=R$3,$E95&lt;=R$3+6),"▼",IF(AND($E95&gt;=R$3,$E95&lt;=R$3+6),$A95,"")))</f>
        <v/>
      </c>
      <c r="S95" s="47" t="str">
        <f aca="false">IF($A95="","",IF(AND(INDEX(工程マスタ!$I$5:$I$154,$A95)="○",$E95&gt;=S$3,$E95&lt;=S$3+6),"▼",IF(AND($E95&gt;=S$3,$E95&lt;=S$3+6),$A95,"")))</f>
        <v/>
      </c>
      <c r="T95" s="47" t="str">
        <f aca="false">IF($A95="","",IF(AND(INDEX(工程マスタ!$I$5:$I$154,$A95)="○",$E95&gt;=T$3,$E95&lt;=T$3+6),"▼",IF(AND($E95&gt;=T$3,$E95&lt;=T$3+6),$A95,"")))</f>
        <v/>
      </c>
      <c r="U95" s="47" t="str">
        <f aca="false">IF($A95="","",IF(AND(INDEX(工程マスタ!$I$5:$I$154,$A95)="○",$E95&gt;=U$3,$E95&lt;=U$3+6),"▼",IF(AND($E95&gt;=U$3,$E95&lt;=U$3+6),$A95,"")))</f>
        <v/>
      </c>
      <c r="V95" s="47" t="str">
        <f aca="false">IF($A95="","",IF(AND(INDEX(工程マスタ!$I$5:$I$154,$A95)="○",$E95&gt;=V$3,$E95&lt;=V$3+6),"▼",IF(AND($E95&gt;=V$3,$E95&lt;=V$3+6),$A95,"")))</f>
        <v/>
      </c>
      <c r="W95" s="47" t="str">
        <f aca="false">IF($A95="","",IF(AND(INDEX(工程マスタ!$I$5:$I$154,$A95)="○",$E95&gt;=W$3,$E95&lt;=W$3+6),"▼",IF(AND($E95&gt;=W$3,$E95&lt;=W$3+6),$A95,"")))</f>
        <v/>
      </c>
      <c r="X95" s="47" t="str">
        <f aca="false">IF($A95="","",IF(AND(INDEX(工程マスタ!$I$5:$I$154,$A95)="○",$E95&gt;=X$3,$E95&lt;=X$3+6),"▼",IF(AND($E95&gt;=X$3,$E95&lt;=X$3+6),$A95,"")))</f>
        <v/>
      </c>
      <c r="Y95" s="47" t="str">
        <f aca="false">IF($A95="","",IF(AND(INDEX(工程マスタ!$I$5:$I$154,$A95)="○",$E95&gt;=Y$3,$E95&lt;=Y$3+6),"▼",IF(AND($E95&gt;=Y$3,$E95&lt;=Y$3+6),$A95,"")))</f>
        <v/>
      </c>
      <c r="Z95" s="47" t="str">
        <f aca="false">IF($A95="","",IF(AND(INDEX(工程マスタ!$I$5:$I$154,$A95)="○",$E95&gt;=Z$3,$E95&lt;=Z$3+6),"▼",IF(AND($E95&gt;=Z$3,$E95&lt;=Z$3+6),$A95,"")))</f>
        <v/>
      </c>
      <c r="AA95" s="47" t="str">
        <f aca="false">IF($A95="","",IF(AND(INDEX(工程マスタ!$I$5:$I$154,$A95)="○",$E95&gt;=AA$3,$E95&lt;=AA$3+6),"▼",IF(AND($E95&gt;=AA$3,$E95&lt;=AA$3+6),$A95,"")))</f>
        <v/>
      </c>
      <c r="AB95" s="47" t="str">
        <f aca="false">IF($A95="","",IF(AND(INDEX(工程マスタ!$I$5:$I$154,$A95)="○",$E95&gt;=AB$3,$E95&lt;=AB$3+6),"▼",IF(AND($E95&gt;=AB$3,$E95&lt;=AB$3+6),$A95,"")))</f>
        <v/>
      </c>
      <c r="AC95" s="47" t="str">
        <f aca="false">IF($A95="","",IF(AND(INDEX(工程マスタ!$I$5:$I$154,$A95)="○",$E95&gt;=AC$3,$E95&lt;=AC$3+6),"▼",IF(AND($E95&gt;=AC$3,$E95&lt;=AC$3+6),$A95,"")))</f>
        <v/>
      </c>
      <c r="AD95" s="47" t="str">
        <f aca="false">IF($A95="","",IF(AND(INDEX(工程マスタ!$I$5:$I$154,$A95)="○",$E95&gt;=AD$3,$E95&lt;=AD$3+6),"▼",IF(AND($E95&gt;=AD$3,$E95&lt;=AD$3+6),$A95,"")))</f>
        <v/>
      </c>
      <c r="AE95" s="47" t="str">
        <f aca="false">IF($A95="","",IF(AND(INDEX(工程マスタ!$I$5:$I$154,$A95)="○",$E95&gt;=AE$3,$E95&lt;=AE$3+6),"▼",IF(AND($E95&gt;=AE$3,$E95&lt;=AE$3+6),$A95,"")))</f>
        <v/>
      </c>
      <c r="AF95" s="47" t="str">
        <f aca="false">IF($A95="","",IF(AND(INDEX(工程マスタ!$I$5:$I$154,$A95)="○",$E95&gt;=AF$3,$E95&lt;=AF$3+6),"▼",IF(AND($E95&gt;=AF$3,$E95&lt;=AF$3+6),$A95,"")))</f>
        <v/>
      </c>
      <c r="AG95" s="47" t="str">
        <f aca="false">IF($A95="","",IF(AND(INDEX(工程マスタ!$I$5:$I$154,$A95)="○",$E95&gt;=AG$3,$E95&lt;=AG$3+6),"▼",IF(AND($E95&gt;=AG$3,$E95&lt;=AG$3+6),$A95,"")))</f>
        <v/>
      </c>
      <c r="AH95" s="47" t="str">
        <f aca="false">IF($A95="","",IF(AND(INDEX(工程マスタ!$I$5:$I$154,$A95)="○",$E95&gt;=AH$3,$E95&lt;=AH$3+6),"▼",IF(AND($E95&gt;=AH$3,$E95&lt;=AH$3+6),$A95,"")))</f>
        <v/>
      </c>
      <c r="AI95" s="47" t="str">
        <f aca="false">IF($A95="","",IF(AND(INDEX(工程マスタ!$I$5:$I$154,$A95)="○",$E95&gt;=AI$3,$E95&lt;=AI$3+6),"▼",IF(AND($E95&gt;=AI$3,$E95&lt;=AI$3+6),$A95,"")))</f>
        <v/>
      </c>
      <c r="AJ95" s="47" t="str">
        <f aca="false">IF($A95="","",IF(AND(INDEX(工程マスタ!$I$5:$I$154,$A95)="○",$E95&gt;=AJ$3,$E95&lt;=AJ$3+6),"▼",IF(AND($E95&gt;=AJ$3,$E95&lt;=AJ$3+6),$A95,"")))</f>
        <v/>
      </c>
      <c r="AK95" s="47" t="str">
        <f aca="false">IF($A95="","",IF(AND(INDEX(工程マスタ!$I$5:$I$154,$A95)="○",$E95&gt;=AK$3,$E95&lt;=AK$3+6),"▼",IF(AND($E95&gt;=AK$3,$E95&lt;=AK$3+6),$A95,"")))</f>
        <v/>
      </c>
      <c r="AL95" s="47" t="str">
        <f aca="false">IF($A95="","",IF(AND(INDEX(工程マスタ!$I$5:$I$154,$A95)="○",$E95&gt;=AL$3,$E95&lt;=AL$3+6),"▼",IF(AND($E95&gt;=AL$3,$E95&lt;=AL$3+6),$A95,"")))</f>
        <v/>
      </c>
      <c r="AM95" s="47" t="str">
        <f aca="false">IF($A95="","",IF(AND(INDEX(工程マスタ!$I$5:$I$154,$A95)="○",$E95&gt;=AM$3,$E95&lt;=AM$3+6),"▼",IF(AND($E95&gt;=AM$3,$E95&lt;=AM$3+6),$A95,"")))</f>
        <v/>
      </c>
      <c r="AN95" s="47" t="str">
        <f aca="false">IF($A95="","",IF(AND(INDEX(工程マスタ!$I$5:$I$154,$A95)="○",$E95&gt;=AN$3,$E95&lt;=AN$3+6),"▼",IF(AND($E95&gt;=AN$3,$E95&lt;=AN$3+6),$A95,"")))</f>
        <v/>
      </c>
      <c r="AO95" s="47" t="str">
        <f aca="false">IF($A95="","",IF(AND(INDEX(工程マスタ!$I$5:$I$154,$A95)="○",$E95&gt;=AO$3,$E95&lt;=AO$3+6),"▼",IF(AND($E95&gt;=AO$3,$E95&lt;=AO$3+6),$A95,"")))</f>
        <v/>
      </c>
      <c r="AP95" s="47" t="str">
        <f aca="false">IF($A95="","",IF(AND(INDEX(工程マスタ!$I$5:$I$154,$A95)="○",$E95&gt;=AP$3,$E95&lt;=AP$3+6),"▼",IF(AND($E95&gt;=AP$3,$E95&lt;=AP$3+6),$A95,"")))</f>
        <v/>
      </c>
      <c r="AQ95" s="47" t="str">
        <f aca="false">IF($A95="","",IF(AND(INDEX(工程マスタ!$I$5:$I$154,$A95)="○",$E95&gt;=AQ$3,$E95&lt;=AQ$3+6),"▼",IF(AND($E95&gt;=AQ$3,$E95&lt;=AQ$3+6),$A95,"")))</f>
        <v/>
      </c>
      <c r="AR95" s="47" t="str">
        <f aca="false">IF($A95="","",IF(AND(INDEX(工程マスタ!$I$5:$I$154,$A95)="○",$E95&gt;=AR$3,$E95&lt;=AR$3+6),"▼",IF(AND($E95&gt;=AR$3,$E95&lt;=AR$3+6),$A95,"")))</f>
        <v/>
      </c>
      <c r="AS95" s="47" t="str">
        <f aca="false">IF($A95="","",IF(AND(INDEX(工程マスタ!$I$5:$I$154,$A95)="○",$E95&gt;=AS$3,$E95&lt;=AS$3+6),"▼",IF(AND($E95&gt;=AS$3,$E95&lt;=AS$3+6),$A95,"")))</f>
        <v/>
      </c>
      <c r="AT95" s="47" t="str">
        <f aca="false">IF($A95="","",IF(AND(INDEX(工程マスタ!$I$5:$I$154,$A95)="○",$E95&gt;=AT$3,$E95&lt;=AT$3+6),"▼",IF(AND($E95&gt;=AT$3,$E95&lt;=AT$3+6),$A95,"")))</f>
        <v/>
      </c>
      <c r="AU95" s="47" t="str">
        <f aca="false">IF($A95="","",IF(AND(INDEX(工程マスタ!$I$5:$I$154,$A95)="○",$E95&gt;=AU$3,$E95&lt;=AU$3+6),"▼",IF(AND($E95&gt;=AU$3,$E95&lt;=AU$3+6),$A95,"")))</f>
        <v/>
      </c>
      <c r="AV95" s="47" t="str">
        <f aca="false">IF($A95="","",IF(AND(INDEX(工程マスタ!$I$5:$I$154,$A95)="○",$E95&gt;=AV$3,$E95&lt;=AV$3+6),"▼",IF(AND($E95&gt;=AV$3,$E95&lt;=AV$3+6),$A95,"")))</f>
        <v/>
      </c>
      <c r="AW95" s="47" t="str">
        <f aca="false">IF($A95="","",IF(AND(INDEX(工程マスタ!$I$5:$I$154,$A95)="○",$E95&gt;=AW$3,$E95&lt;=AW$3+6),"▼",IF(AND($E95&gt;=AW$3,$E95&lt;=AW$3+6),$A95,"")))</f>
        <v/>
      </c>
      <c r="AX95" s="47" t="str">
        <f aca="false">IF($A95="","",IF(AND(INDEX(工程マスタ!$I$5:$I$154,$A95)="○",$E95&gt;=AX$3,$E95&lt;=AX$3+6),"▼",IF(AND($E95&gt;=AX$3,$E95&lt;=AX$3+6),$A95,"")))</f>
        <v/>
      </c>
      <c r="AY95" s="47" t="str">
        <f aca="false">IF($A95="","",IF(AND(INDEX(工程マスタ!$I$5:$I$154,$A95)="○",$E95&gt;=AY$3,$E95&lt;=AY$3+6),"▼",IF(AND($E95&gt;=AY$3,$E95&lt;=AY$3+6),$A95,"")))</f>
        <v/>
      </c>
      <c r="AZ95" s="47" t="str">
        <f aca="false">IF($A95="","",IF(AND(INDEX(工程マスタ!$I$5:$I$154,$A95)="○",$E95&gt;=AZ$3,$E95&lt;=AZ$3+6),"▼",IF(AND($E95&gt;=AZ$3,$E95&lt;=AZ$3+6),$A95,"")))</f>
        <v/>
      </c>
      <c r="BA95" s="47" t="str">
        <f aca="false">IF($A95="","",IF(AND(INDEX(工程マスタ!$I$5:$I$154,$A95)="○",$E95&gt;=BA$3,$E95&lt;=BA$3+6),"▼",IF(AND($E95&gt;=BA$3,$E95&lt;=BA$3+6),$A95,"")))</f>
        <v/>
      </c>
      <c r="BB95" s="47" t="str">
        <f aca="false">IF($A95="","",IF(AND(INDEX(工程マスタ!$I$5:$I$154,$A95)="○",$E95&gt;=BB$3,$E95&lt;=BB$3+6),"▼",IF(AND($E95&gt;=BB$3,$E95&lt;=BB$3+6),$A95,"")))</f>
        <v/>
      </c>
      <c r="BC95" s="47" t="str">
        <f aca="false">IF($A95="","",IF(AND(INDEX(工程マスタ!$I$5:$I$154,$A95)="○",$E95&gt;=BC$3,$E95&lt;=BC$3+6),"▼",IF(AND($E95&gt;=BC$3,$E95&lt;=BC$3+6),$A95,"")))</f>
        <v/>
      </c>
      <c r="BD95" s="47" t="str">
        <f aca="false">IF($A95="","",IF(AND(INDEX(工程マスタ!$I$5:$I$154,$A95)="○",$E95&gt;=BD$3,$E95&lt;=BD$3+6),"▼",IF(AND($E95&gt;=BD$3,$E95&lt;=BD$3+6),$A95,"")))</f>
        <v/>
      </c>
      <c r="BE95" s="47" t="str">
        <f aca="false">IF($A95="","",IF(AND(INDEX(工程マスタ!$I$5:$I$154,$A95)="○",$E95&gt;=BE$3,$E95&lt;=BE$3+6),"▼",IF(AND($E95&gt;=BE$3,$E95&lt;=BE$3+6),$A95,"")))</f>
        <v/>
      </c>
      <c r="BF95" s="47" t="str">
        <f aca="false">IF($A95="","",IF(AND(INDEX(工程マスタ!$I$5:$I$154,$A95)="○",$E95&gt;=BF$3,$E95&lt;=BF$3+6),"▼",IF(AND($E95&gt;=BF$3,$E95&lt;=BF$3+6),$A95,"")))</f>
        <v/>
      </c>
      <c r="BG95" s="47" t="str">
        <f aca="false">IF($A95="","",IF(AND(INDEX(工程マスタ!$I$5:$I$154,$A95)="○",$E95&gt;=BG$3,$E95&lt;=BG$3+6),"▼",IF(AND($E95&gt;=BG$3,$E95&lt;=BG$3+6),$A95,"")))</f>
        <v/>
      </c>
      <c r="BH95" s="47" t="str">
        <f aca="false">IF($A95="","",IF(AND(INDEX(工程マスタ!$I$5:$I$154,$A95)="○",$E95&gt;=BH$3,$E95&lt;=BH$3+6),"▼",IF(AND($E95&gt;=BH$3,$E95&lt;=BH$3+6),$A95,"")))</f>
        <v/>
      </c>
      <c r="BI95" s="47" t="str">
        <f aca="false">IF($A95="","",IF(AND(INDEX(工程マスタ!$I$5:$I$154,$A95)="○",$E95&gt;=BI$3,$E95&lt;=BI$3+6),"▼",IF(AND($E95&gt;=BI$3,$E95&lt;=BI$3+6),$A95,"")))</f>
        <v/>
      </c>
      <c r="BJ95" s="47" t="str">
        <f aca="false">IF($A95="","",IF(AND(INDEX(工程マスタ!$I$5:$I$154,$A95)="○",$E95&gt;=BJ$3,$E95&lt;=BJ$3+6),"▼",IF(AND($E95&gt;=BJ$3,$E95&lt;=BJ$3+6),$A95,"")))</f>
        <v/>
      </c>
    </row>
    <row r="96" customFormat="false" ht="15" hidden="false" customHeight="false" outlineLevel="0" collapsed="false">
      <c r="A96" s="28" t="str">
        <f aca="false">IF(工程マスタ!$C94="","",工程マスタ!$A94)</f>
        <v/>
      </c>
      <c r="B96" s="46" t="str">
        <f aca="false">IF($A96="","",工程マスタ!$C94)</f>
        <v/>
      </c>
      <c r="C96" s="28" t="str">
        <f aca="false">IF($A96="","",MAX(1,工程マスタ!$G94))</f>
        <v/>
      </c>
      <c r="D96" s="28" t="str">
        <f aca="false">IF($A96="","",_xlfn.TEXTJOIN(",",TRUE(),工程マスタ!$N94:$P94))</f>
        <v/>
      </c>
      <c r="E96" s="29" t="str">
        <f aca="false">IF($A96="","",IF(COUNT(工程マスタ!$N94:$P94)=0,設定!$B$8,MAX(IF(工程マスタ!$N94="",0,INDEX($F$7:$F$156,工程マスタ!$N94)),IF(工程マスタ!$O94="",0,INDEX($F$7:$F$156,工程マスタ!$O94)),IF(工程マスタ!$P94="",0,INDEX($F$7:$F$156,工程マスタ!$P94)))+1))</f>
        <v/>
      </c>
      <c r="F96" s="29" t="str">
        <f aca="false">IF($A96="","",$E96+$C96-1)</f>
        <v/>
      </c>
      <c r="G96" s="29" t="str">
        <f aca="false">IF($A96="","",$H96-$C96+1)</f>
        <v/>
      </c>
      <c r="H96" s="29" t="str">
        <f aca="false" t="array" ref="H96:H96">IF($A96="","",IF(SUMPRODUCT((工程マスタ!$N$95:$N$154=$A96)*1)+SUMPRODUCT((工程マスタ!$O$95:$O$154=$A96)*1)+SUMPRODUCT((工程マスタ!$P$95:$P$154=$A96)*1)=0,MAX($F$7:$F$156),MIN(IF((工程マスタ!$N$95:$N$154=$A96)+(工程マスタ!$O$95:$O$154=$A96)+(工程マスタ!$P$95:$P$154=$A96),$G97:$G$156))-1))</f>
        <v/>
      </c>
      <c r="I96" s="28" t="str">
        <f aca="false">IF($A96="","",$G96-$E96)</f>
        <v/>
      </c>
      <c r="J96" s="28" t="str">
        <f aca="false">IF($A96="","",IF($I96&lt;=0,"●",""))</f>
        <v/>
      </c>
      <c r="K96" s="47" t="str">
        <f aca="false">IF($A96="","",IF(AND(INDEX(工程マスタ!$I$5:$I$154,$A96)="○",$E96&gt;=K$3,$E96&lt;=K$3+6),"▼",IF(AND($E96&gt;=K$3,$E96&lt;=K$3+6),$A96,"")))</f>
        <v/>
      </c>
      <c r="L96" s="47" t="str">
        <f aca="false">IF($A96="","",IF(AND(INDEX(工程マスタ!$I$5:$I$154,$A96)="○",$E96&gt;=L$3,$E96&lt;=L$3+6),"▼",IF(AND($E96&gt;=L$3,$E96&lt;=L$3+6),$A96,"")))</f>
        <v/>
      </c>
      <c r="M96" s="47" t="str">
        <f aca="false">IF($A96="","",IF(AND(INDEX(工程マスタ!$I$5:$I$154,$A96)="○",$E96&gt;=M$3,$E96&lt;=M$3+6),"▼",IF(AND($E96&gt;=M$3,$E96&lt;=M$3+6),$A96,"")))</f>
        <v/>
      </c>
      <c r="N96" s="47" t="str">
        <f aca="false">IF($A96="","",IF(AND(INDEX(工程マスタ!$I$5:$I$154,$A96)="○",$E96&gt;=N$3,$E96&lt;=N$3+6),"▼",IF(AND($E96&gt;=N$3,$E96&lt;=N$3+6),$A96,"")))</f>
        <v/>
      </c>
      <c r="O96" s="47" t="str">
        <f aca="false">IF($A96="","",IF(AND(INDEX(工程マスタ!$I$5:$I$154,$A96)="○",$E96&gt;=O$3,$E96&lt;=O$3+6),"▼",IF(AND($E96&gt;=O$3,$E96&lt;=O$3+6),$A96,"")))</f>
        <v/>
      </c>
      <c r="P96" s="47" t="str">
        <f aca="false">IF($A96="","",IF(AND(INDEX(工程マスタ!$I$5:$I$154,$A96)="○",$E96&gt;=P$3,$E96&lt;=P$3+6),"▼",IF(AND($E96&gt;=P$3,$E96&lt;=P$3+6),$A96,"")))</f>
        <v/>
      </c>
      <c r="Q96" s="47" t="str">
        <f aca="false">IF($A96="","",IF(AND(INDEX(工程マスタ!$I$5:$I$154,$A96)="○",$E96&gt;=Q$3,$E96&lt;=Q$3+6),"▼",IF(AND($E96&gt;=Q$3,$E96&lt;=Q$3+6),$A96,"")))</f>
        <v/>
      </c>
      <c r="R96" s="47" t="str">
        <f aca="false">IF($A96="","",IF(AND(INDEX(工程マスタ!$I$5:$I$154,$A96)="○",$E96&gt;=R$3,$E96&lt;=R$3+6),"▼",IF(AND($E96&gt;=R$3,$E96&lt;=R$3+6),$A96,"")))</f>
        <v/>
      </c>
      <c r="S96" s="47" t="str">
        <f aca="false">IF($A96="","",IF(AND(INDEX(工程マスタ!$I$5:$I$154,$A96)="○",$E96&gt;=S$3,$E96&lt;=S$3+6),"▼",IF(AND($E96&gt;=S$3,$E96&lt;=S$3+6),$A96,"")))</f>
        <v/>
      </c>
      <c r="T96" s="47" t="str">
        <f aca="false">IF($A96="","",IF(AND(INDEX(工程マスタ!$I$5:$I$154,$A96)="○",$E96&gt;=T$3,$E96&lt;=T$3+6),"▼",IF(AND($E96&gt;=T$3,$E96&lt;=T$3+6),$A96,"")))</f>
        <v/>
      </c>
      <c r="U96" s="47" t="str">
        <f aca="false">IF($A96="","",IF(AND(INDEX(工程マスタ!$I$5:$I$154,$A96)="○",$E96&gt;=U$3,$E96&lt;=U$3+6),"▼",IF(AND($E96&gt;=U$3,$E96&lt;=U$3+6),$A96,"")))</f>
        <v/>
      </c>
      <c r="V96" s="47" t="str">
        <f aca="false">IF($A96="","",IF(AND(INDEX(工程マスタ!$I$5:$I$154,$A96)="○",$E96&gt;=V$3,$E96&lt;=V$3+6),"▼",IF(AND($E96&gt;=V$3,$E96&lt;=V$3+6),$A96,"")))</f>
        <v/>
      </c>
      <c r="W96" s="47" t="str">
        <f aca="false">IF($A96="","",IF(AND(INDEX(工程マスタ!$I$5:$I$154,$A96)="○",$E96&gt;=W$3,$E96&lt;=W$3+6),"▼",IF(AND($E96&gt;=W$3,$E96&lt;=W$3+6),$A96,"")))</f>
        <v/>
      </c>
      <c r="X96" s="47" t="str">
        <f aca="false">IF($A96="","",IF(AND(INDEX(工程マスタ!$I$5:$I$154,$A96)="○",$E96&gt;=X$3,$E96&lt;=X$3+6),"▼",IF(AND($E96&gt;=X$3,$E96&lt;=X$3+6),$A96,"")))</f>
        <v/>
      </c>
      <c r="Y96" s="47" t="str">
        <f aca="false">IF($A96="","",IF(AND(INDEX(工程マスタ!$I$5:$I$154,$A96)="○",$E96&gt;=Y$3,$E96&lt;=Y$3+6),"▼",IF(AND($E96&gt;=Y$3,$E96&lt;=Y$3+6),$A96,"")))</f>
        <v/>
      </c>
      <c r="Z96" s="47" t="str">
        <f aca="false">IF($A96="","",IF(AND(INDEX(工程マスタ!$I$5:$I$154,$A96)="○",$E96&gt;=Z$3,$E96&lt;=Z$3+6),"▼",IF(AND($E96&gt;=Z$3,$E96&lt;=Z$3+6),$A96,"")))</f>
        <v/>
      </c>
      <c r="AA96" s="47" t="str">
        <f aca="false">IF($A96="","",IF(AND(INDEX(工程マスタ!$I$5:$I$154,$A96)="○",$E96&gt;=AA$3,$E96&lt;=AA$3+6),"▼",IF(AND($E96&gt;=AA$3,$E96&lt;=AA$3+6),$A96,"")))</f>
        <v/>
      </c>
      <c r="AB96" s="47" t="str">
        <f aca="false">IF($A96="","",IF(AND(INDEX(工程マスタ!$I$5:$I$154,$A96)="○",$E96&gt;=AB$3,$E96&lt;=AB$3+6),"▼",IF(AND($E96&gt;=AB$3,$E96&lt;=AB$3+6),$A96,"")))</f>
        <v/>
      </c>
      <c r="AC96" s="47" t="str">
        <f aca="false">IF($A96="","",IF(AND(INDEX(工程マスタ!$I$5:$I$154,$A96)="○",$E96&gt;=AC$3,$E96&lt;=AC$3+6),"▼",IF(AND($E96&gt;=AC$3,$E96&lt;=AC$3+6),$A96,"")))</f>
        <v/>
      </c>
      <c r="AD96" s="47" t="str">
        <f aca="false">IF($A96="","",IF(AND(INDEX(工程マスタ!$I$5:$I$154,$A96)="○",$E96&gt;=AD$3,$E96&lt;=AD$3+6),"▼",IF(AND($E96&gt;=AD$3,$E96&lt;=AD$3+6),$A96,"")))</f>
        <v/>
      </c>
      <c r="AE96" s="47" t="str">
        <f aca="false">IF($A96="","",IF(AND(INDEX(工程マスタ!$I$5:$I$154,$A96)="○",$E96&gt;=AE$3,$E96&lt;=AE$3+6),"▼",IF(AND($E96&gt;=AE$3,$E96&lt;=AE$3+6),$A96,"")))</f>
        <v/>
      </c>
      <c r="AF96" s="47" t="str">
        <f aca="false">IF($A96="","",IF(AND(INDEX(工程マスタ!$I$5:$I$154,$A96)="○",$E96&gt;=AF$3,$E96&lt;=AF$3+6),"▼",IF(AND($E96&gt;=AF$3,$E96&lt;=AF$3+6),$A96,"")))</f>
        <v/>
      </c>
      <c r="AG96" s="47" t="str">
        <f aca="false">IF($A96="","",IF(AND(INDEX(工程マスタ!$I$5:$I$154,$A96)="○",$E96&gt;=AG$3,$E96&lt;=AG$3+6),"▼",IF(AND($E96&gt;=AG$3,$E96&lt;=AG$3+6),$A96,"")))</f>
        <v/>
      </c>
      <c r="AH96" s="47" t="str">
        <f aca="false">IF($A96="","",IF(AND(INDEX(工程マスタ!$I$5:$I$154,$A96)="○",$E96&gt;=AH$3,$E96&lt;=AH$3+6),"▼",IF(AND($E96&gt;=AH$3,$E96&lt;=AH$3+6),$A96,"")))</f>
        <v/>
      </c>
      <c r="AI96" s="47" t="str">
        <f aca="false">IF($A96="","",IF(AND(INDEX(工程マスタ!$I$5:$I$154,$A96)="○",$E96&gt;=AI$3,$E96&lt;=AI$3+6),"▼",IF(AND($E96&gt;=AI$3,$E96&lt;=AI$3+6),$A96,"")))</f>
        <v/>
      </c>
      <c r="AJ96" s="47" t="str">
        <f aca="false">IF($A96="","",IF(AND(INDEX(工程マスタ!$I$5:$I$154,$A96)="○",$E96&gt;=AJ$3,$E96&lt;=AJ$3+6),"▼",IF(AND($E96&gt;=AJ$3,$E96&lt;=AJ$3+6),$A96,"")))</f>
        <v/>
      </c>
      <c r="AK96" s="47" t="str">
        <f aca="false">IF($A96="","",IF(AND(INDEX(工程マスタ!$I$5:$I$154,$A96)="○",$E96&gt;=AK$3,$E96&lt;=AK$3+6),"▼",IF(AND($E96&gt;=AK$3,$E96&lt;=AK$3+6),$A96,"")))</f>
        <v/>
      </c>
      <c r="AL96" s="47" t="str">
        <f aca="false">IF($A96="","",IF(AND(INDEX(工程マスタ!$I$5:$I$154,$A96)="○",$E96&gt;=AL$3,$E96&lt;=AL$3+6),"▼",IF(AND($E96&gt;=AL$3,$E96&lt;=AL$3+6),$A96,"")))</f>
        <v/>
      </c>
      <c r="AM96" s="47" t="str">
        <f aca="false">IF($A96="","",IF(AND(INDEX(工程マスタ!$I$5:$I$154,$A96)="○",$E96&gt;=AM$3,$E96&lt;=AM$3+6),"▼",IF(AND($E96&gt;=AM$3,$E96&lt;=AM$3+6),$A96,"")))</f>
        <v/>
      </c>
      <c r="AN96" s="47" t="str">
        <f aca="false">IF($A96="","",IF(AND(INDEX(工程マスタ!$I$5:$I$154,$A96)="○",$E96&gt;=AN$3,$E96&lt;=AN$3+6),"▼",IF(AND($E96&gt;=AN$3,$E96&lt;=AN$3+6),$A96,"")))</f>
        <v/>
      </c>
      <c r="AO96" s="47" t="str">
        <f aca="false">IF($A96="","",IF(AND(INDEX(工程マスタ!$I$5:$I$154,$A96)="○",$E96&gt;=AO$3,$E96&lt;=AO$3+6),"▼",IF(AND($E96&gt;=AO$3,$E96&lt;=AO$3+6),$A96,"")))</f>
        <v/>
      </c>
      <c r="AP96" s="47" t="str">
        <f aca="false">IF($A96="","",IF(AND(INDEX(工程マスタ!$I$5:$I$154,$A96)="○",$E96&gt;=AP$3,$E96&lt;=AP$3+6),"▼",IF(AND($E96&gt;=AP$3,$E96&lt;=AP$3+6),$A96,"")))</f>
        <v/>
      </c>
      <c r="AQ96" s="47" t="str">
        <f aca="false">IF($A96="","",IF(AND(INDEX(工程マスタ!$I$5:$I$154,$A96)="○",$E96&gt;=AQ$3,$E96&lt;=AQ$3+6),"▼",IF(AND($E96&gt;=AQ$3,$E96&lt;=AQ$3+6),$A96,"")))</f>
        <v/>
      </c>
      <c r="AR96" s="47" t="str">
        <f aca="false">IF($A96="","",IF(AND(INDEX(工程マスタ!$I$5:$I$154,$A96)="○",$E96&gt;=AR$3,$E96&lt;=AR$3+6),"▼",IF(AND($E96&gt;=AR$3,$E96&lt;=AR$3+6),$A96,"")))</f>
        <v/>
      </c>
      <c r="AS96" s="47" t="str">
        <f aca="false">IF($A96="","",IF(AND(INDEX(工程マスタ!$I$5:$I$154,$A96)="○",$E96&gt;=AS$3,$E96&lt;=AS$3+6),"▼",IF(AND($E96&gt;=AS$3,$E96&lt;=AS$3+6),$A96,"")))</f>
        <v/>
      </c>
      <c r="AT96" s="47" t="str">
        <f aca="false">IF($A96="","",IF(AND(INDEX(工程マスタ!$I$5:$I$154,$A96)="○",$E96&gt;=AT$3,$E96&lt;=AT$3+6),"▼",IF(AND($E96&gt;=AT$3,$E96&lt;=AT$3+6),$A96,"")))</f>
        <v/>
      </c>
      <c r="AU96" s="47" t="str">
        <f aca="false">IF($A96="","",IF(AND(INDEX(工程マスタ!$I$5:$I$154,$A96)="○",$E96&gt;=AU$3,$E96&lt;=AU$3+6),"▼",IF(AND($E96&gt;=AU$3,$E96&lt;=AU$3+6),$A96,"")))</f>
        <v/>
      </c>
      <c r="AV96" s="47" t="str">
        <f aca="false">IF($A96="","",IF(AND(INDEX(工程マスタ!$I$5:$I$154,$A96)="○",$E96&gt;=AV$3,$E96&lt;=AV$3+6),"▼",IF(AND($E96&gt;=AV$3,$E96&lt;=AV$3+6),$A96,"")))</f>
        <v/>
      </c>
      <c r="AW96" s="47" t="str">
        <f aca="false">IF($A96="","",IF(AND(INDEX(工程マスタ!$I$5:$I$154,$A96)="○",$E96&gt;=AW$3,$E96&lt;=AW$3+6),"▼",IF(AND($E96&gt;=AW$3,$E96&lt;=AW$3+6),$A96,"")))</f>
        <v/>
      </c>
      <c r="AX96" s="47" t="str">
        <f aca="false">IF($A96="","",IF(AND(INDEX(工程マスタ!$I$5:$I$154,$A96)="○",$E96&gt;=AX$3,$E96&lt;=AX$3+6),"▼",IF(AND($E96&gt;=AX$3,$E96&lt;=AX$3+6),$A96,"")))</f>
        <v/>
      </c>
      <c r="AY96" s="47" t="str">
        <f aca="false">IF($A96="","",IF(AND(INDEX(工程マスタ!$I$5:$I$154,$A96)="○",$E96&gt;=AY$3,$E96&lt;=AY$3+6),"▼",IF(AND($E96&gt;=AY$3,$E96&lt;=AY$3+6),$A96,"")))</f>
        <v/>
      </c>
      <c r="AZ96" s="47" t="str">
        <f aca="false">IF($A96="","",IF(AND(INDEX(工程マスタ!$I$5:$I$154,$A96)="○",$E96&gt;=AZ$3,$E96&lt;=AZ$3+6),"▼",IF(AND($E96&gt;=AZ$3,$E96&lt;=AZ$3+6),$A96,"")))</f>
        <v/>
      </c>
      <c r="BA96" s="47" t="str">
        <f aca="false">IF($A96="","",IF(AND(INDEX(工程マスタ!$I$5:$I$154,$A96)="○",$E96&gt;=BA$3,$E96&lt;=BA$3+6),"▼",IF(AND($E96&gt;=BA$3,$E96&lt;=BA$3+6),$A96,"")))</f>
        <v/>
      </c>
      <c r="BB96" s="47" t="str">
        <f aca="false">IF($A96="","",IF(AND(INDEX(工程マスタ!$I$5:$I$154,$A96)="○",$E96&gt;=BB$3,$E96&lt;=BB$3+6),"▼",IF(AND($E96&gt;=BB$3,$E96&lt;=BB$3+6),$A96,"")))</f>
        <v/>
      </c>
      <c r="BC96" s="47" t="str">
        <f aca="false">IF($A96="","",IF(AND(INDEX(工程マスタ!$I$5:$I$154,$A96)="○",$E96&gt;=BC$3,$E96&lt;=BC$3+6),"▼",IF(AND($E96&gt;=BC$3,$E96&lt;=BC$3+6),$A96,"")))</f>
        <v/>
      </c>
      <c r="BD96" s="47" t="str">
        <f aca="false">IF($A96="","",IF(AND(INDEX(工程マスタ!$I$5:$I$154,$A96)="○",$E96&gt;=BD$3,$E96&lt;=BD$3+6),"▼",IF(AND($E96&gt;=BD$3,$E96&lt;=BD$3+6),$A96,"")))</f>
        <v/>
      </c>
      <c r="BE96" s="47" t="str">
        <f aca="false">IF($A96="","",IF(AND(INDEX(工程マスタ!$I$5:$I$154,$A96)="○",$E96&gt;=BE$3,$E96&lt;=BE$3+6),"▼",IF(AND($E96&gt;=BE$3,$E96&lt;=BE$3+6),$A96,"")))</f>
        <v/>
      </c>
      <c r="BF96" s="47" t="str">
        <f aca="false">IF($A96="","",IF(AND(INDEX(工程マスタ!$I$5:$I$154,$A96)="○",$E96&gt;=BF$3,$E96&lt;=BF$3+6),"▼",IF(AND($E96&gt;=BF$3,$E96&lt;=BF$3+6),$A96,"")))</f>
        <v/>
      </c>
      <c r="BG96" s="47" t="str">
        <f aca="false">IF($A96="","",IF(AND(INDEX(工程マスタ!$I$5:$I$154,$A96)="○",$E96&gt;=BG$3,$E96&lt;=BG$3+6),"▼",IF(AND($E96&gt;=BG$3,$E96&lt;=BG$3+6),$A96,"")))</f>
        <v/>
      </c>
      <c r="BH96" s="47" t="str">
        <f aca="false">IF($A96="","",IF(AND(INDEX(工程マスタ!$I$5:$I$154,$A96)="○",$E96&gt;=BH$3,$E96&lt;=BH$3+6),"▼",IF(AND($E96&gt;=BH$3,$E96&lt;=BH$3+6),$A96,"")))</f>
        <v/>
      </c>
      <c r="BI96" s="47" t="str">
        <f aca="false">IF($A96="","",IF(AND(INDEX(工程マスタ!$I$5:$I$154,$A96)="○",$E96&gt;=BI$3,$E96&lt;=BI$3+6),"▼",IF(AND($E96&gt;=BI$3,$E96&lt;=BI$3+6),$A96,"")))</f>
        <v/>
      </c>
      <c r="BJ96" s="47" t="str">
        <f aca="false">IF($A96="","",IF(AND(INDEX(工程マスタ!$I$5:$I$154,$A96)="○",$E96&gt;=BJ$3,$E96&lt;=BJ$3+6),"▼",IF(AND($E96&gt;=BJ$3,$E96&lt;=BJ$3+6),$A96,"")))</f>
        <v/>
      </c>
    </row>
    <row r="97" customFormat="false" ht="15" hidden="false" customHeight="false" outlineLevel="0" collapsed="false">
      <c r="A97" s="28" t="str">
        <f aca="false">IF(工程マスタ!$C95="","",工程マスタ!$A95)</f>
        <v/>
      </c>
      <c r="B97" s="46" t="str">
        <f aca="false">IF($A97="","",工程マスタ!$C95)</f>
        <v/>
      </c>
      <c r="C97" s="28" t="str">
        <f aca="false">IF($A97="","",MAX(1,工程マスタ!$G95))</f>
        <v/>
      </c>
      <c r="D97" s="28" t="str">
        <f aca="false">IF($A97="","",_xlfn.TEXTJOIN(",",TRUE(),工程マスタ!$N95:$P95))</f>
        <v/>
      </c>
      <c r="E97" s="29" t="str">
        <f aca="false">IF($A97="","",IF(COUNT(工程マスタ!$N95:$P95)=0,設定!$B$8,MAX(IF(工程マスタ!$N95="",0,INDEX($F$7:$F$156,工程マスタ!$N95)),IF(工程マスタ!$O95="",0,INDEX($F$7:$F$156,工程マスタ!$O95)),IF(工程マスタ!$P95="",0,INDEX($F$7:$F$156,工程マスタ!$P95)))+1))</f>
        <v/>
      </c>
      <c r="F97" s="29" t="str">
        <f aca="false">IF($A97="","",$E97+$C97-1)</f>
        <v/>
      </c>
      <c r="G97" s="29" t="str">
        <f aca="false">IF($A97="","",$H97-$C97+1)</f>
        <v/>
      </c>
      <c r="H97" s="29" t="str">
        <f aca="false" t="array" ref="H97:H97">IF($A97="","",IF(SUMPRODUCT((工程マスタ!$N$96:$N$154=$A97)*1)+SUMPRODUCT((工程マスタ!$O$96:$O$154=$A97)*1)+SUMPRODUCT((工程マスタ!$P$96:$P$154=$A97)*1)=0,MAX($F$7:$F$156),MIN(IF((工程マスタ!$N$96:$N$154=$A97)+(工程マスタ!$O$96:$O$154=$A97)+(工程マスタ!$P$96:$P$154=$A97),$G98:$G$156))-1))</f>
        <v/>
      </c>
      <c r="I97" s="28" t="str">
        <f aca="false">IF($A97="","",$G97-$E97)</f>
        <v/>
      </c>
      <c r="J97" s="28" t="str">
        <f aca="false">IF($A97="","",IF($I97&lt;=0,"●",""))</f>
        <v/>
      </c>
      <c r="K97" s="47" t="str">
        <f aca="false">IF($A97="","",IF(AND(INDEX(工程マスタ!$I$5:$I$154,$A97)="○",$E97&gt;=K$3,$E97&lt;=K$3+6),"▼",IF(AND($E97&gt;=K$3,$E97&lt;=K$3+6),$A97,"")))</f>
        <v/>
      </c>
      <c r="L97" s="47" t="str">
        <f aca="false">IF($A97="","",IF(AND(INDEX(工程マスタ!$I$5:$I$154,$A97)="○",$E97&gt;=L$3,$E97&lt;=L$3+6),"▼",IF(AND($E97&gt;=L$3,$E97&lt;=L$3+6),$A97,"")))</f>
        <v/>
      </c>
      <c r="M97" s="47" t="str">
        <f aca="false">IF($A97="","",IF(AND(INDEX(工程マスタ!$I$5:$I$154,$A97)="○",$E97&gt;=M$3,$E97&lt;=M$3+6),"▼",IF(AND($E97&gt;=M$3,$E97&lt;=M$3+6),$A97,"")))</f>
        <v/>
      </c>
      <c r="N97" s="47" t="str">
        <f aca="false">IF($A97="","",IF(AND(INDEX(工程マスタ!$I$5:$I$154,$A97)="○",$E97&gt;=N$3,$E97&lt;=N$3+6),"▼",IF(AND($E97&gt;=N$3,$E97&lt;=N$3+6),$A97,"")))</f>
        <v/>
      </c>
      <c r="O97" s="47" t="str">
        <f aca="false">IF($A97="","",IF(AND(INDEX(工程マスタ!$I$5:$I$154,$A97)="○",$E97&gt;=O$3,$E97&lt;=O$3+6),"▼",IF(AND($E97&gt;=O$3,$E97&lt;=O$3+6),$A97,"")))</f>
        <v/>
      </c>
      <c r="P97" s="47" t="str">
        <f aca="false">IF($A97="","",IF(AND(INDEX(工程マスタ!$I$5:$I$154,$A97)="○",$E97&gt;=P$3,$E97&lt;=P$3+6),"▼",IF(AND($E97&gt;=P$3,$E97&lt;=P$3+6),$A97,"")))</f>
        <v/>
      </c>
      <c r="Q97" s="47" t="str">
        <f aca="false">IF($A97="","",IF(AND(INDEX(工程マスタ!$I$5:$I$154,$A97)="○",$E97&gt;=Q$3,$E97&lt;=Q$3+6),"▼",IF(AND($E97&gt;=Q$3,$E97&lt;=Q$3+6),$A97,"")))</f>
        <v/>
      </c>
      <c r="R97" s="47" t="str">
        <f aca="false">IF($A97="","",IF(AND(INDEX(工程マスタ!$I$5:$I$154,$A97)="○",$E97&gt;=R$3,$E97&lt;=R$3+6),"▼",IF(AND($E97&gt;=R$3,$E97&lt;=R$3+6),$A97,"")))</f>
        <v/>
      </c>
      <c r="S97" s="47" t="str">
        <f aca="false">IF($A97="","",IF(AND(INDEX(工程マスタ!$I$5:$I$154,$A97)="○",$E97&gt;=S$3,$E97&lt;=S$3+6),"▼",IF(AND($E97&gt;=S$3,$E97&lt;=S$3+6),$A97,"")))</f>
        <v/>
      </c>
      <c r="T97" s="47" t="str">
        <f aca="false">IF($A97="","",IF(AND(INDEX(工程マスタ!$I$5:$I$154,$A97)="○",$E97&gt;=T$3,$E97&lt;=T$3+6),"▼",IF(AND($E97&gt;=T$3,$E97&lt;=T$3+6),$A97,"")))</f>
        <v/>
      </c>
      <c r="U97" s="47" t="str">
        <f aca="false">IF($A97="","",IF(AND(INDEX(工程マスタ!$I$5:$I$154,$A97)="○",$E97&gt;=U$3,$E97&lt;=U$3+6),"▼",IF(AND($E97&gt;=U$3,$E97&lt;=U$3+6),$A97,"")))</f>
        <v/>
      </c>
      <c r="V97" s="47" t="str">
        <f aca="false">IF($A97="","",IF(AND(INDEX(工程マスタ!$I$5:$I$154,$A97)="○",$E97&gt;=V$3,$E97&lt;=V$3+6),"▼",IF(AND($E97&gt;=V$3,$E97&lt;=V$3+6),$A97,"")))</f>
        <v/>
      </c>
      <c r="W97" s="47" t="str">
        <f aca="false">IF($A97="","",IF(AND(INDEX(工程マスタ!$I$5:$I$154,$A97)="○",$E97&gt;=W$3,$E97&lt;=W$3+6),"▼",IF(AND($E97&gt;=W$3,$E97&lt;=W$3+6),$A97,"")))</f>
        <v/>
      </c>
      <c r="X97" s="47" t="str">
        <f aca="false">IF($A97="","",IF(AND(INDEX(工程マスタ!$I$5:$I$154,$A97)="○",$E97&gt;=X$3,$E97&lt;=X$3+6),"▼",IF(AND($E97&gt;=X$3,$E97&lt;=X$3+6),$A97,"")))</f>
        <v/>
      </c>
      <c r="Y97" s="47" t="str">
        <f aca="false">IF($A97="","",IF(AND(INDEX(工程マスタ!$I$5:$I$154,$A97)="○",$E97&gt;=Y$3,$E97&lt;=Y$3+6),"▼",IF(AND($E97&gt;=Y$3,$E97&lt;=Y$3+6),$A97,"")))</f>
        <v/>
      </c>
      <c r="Z97" s="47" t="str">
        <f aca="false">IF($A97="","",IF(AND(INDEX(工程マスタ!$I$5:$I$154,$A97)="○",$E97&gt;=Z$3,$E97&lt;=Z$3+6),"▼",IF(AND($E97&gt;=Z$3,$E97&lt;=Z$3+6),$A97,"")))</f>
        <v/>
      </c>
      <c r="AA97" s="47" t="str">
        <f aca="false">IF($A97="","",IF(AND(INDEX(工程マスタ!$I$5:$I$154,$A97)="○",$E97&gt;=AA$3,$E97&lt;=AA$3+6),"▼",IF(AND($E97&gt;=AA$3,$E97&lt;=AA$3+6),$A97,"")))</f>
        <v/>
      </c>
      <c r="AB97" s="47" t="str">
        <f aca="false">IF($A97="","",IF(AND(INDEX(工程マスタ!$I$5:$I$154,$A97)="○",$E97&gt;=AB$3,$E97&lt;=AB$3+6),"▼",IF(AND($E97&gt;=AB$3,$E97&lt;=AB$3+6),$A97,"")))</f>
        <v/>
      </c>
      <c r="AC97" s="47" t="str">
        <f aca="false">IF($A97="","",IF(AND(INDEX(工程マスタ!$I$5:$I$154,$A97)="○",$E97&gt;=AC$3,$E97&lt;=AC$3+6),"▼",IF(AND($E97&gt;=AC$3,$E97&lt;=AC$3+6),$A97,"")))</f>
        <v/>
      </c>
      <c r="AD97" s="47" t="str">
        <f aca="false">IF($A97="","",IF(AND(INDEX(工程マスタ!$I$5:$I$154,$A97)="○",$E97&gt;=AD$3,$E97&lt;=AD$3+6),"▼",IF(AND($E97&gt;=AD$3,$E97&lt;=AD$3+6),$A97,"")))</f>
        <v/>
      </c>
      <c r="AE97" s="47" t="str">
        <f aca="false">IF($A97="","",IF(AND(INDEX(工程マスタ!$I$5:$I$154,$A97)="○",$E97&gt;=AE$3,$E97&lt;=AE$3+6),"▼",IF(AND($E97&gt;=AE$3,$E97&lt;=AE$3+6),$A97,"")))</f>
        <v/>
      </c>
      <c r="AF97" s="47" t="str">
        <f aca="false">IF($A97="","",IF(AND(INDEX(工程マスタ!$I$5:$I$154,$A97)="○",$E97&gt;=AF$3,$E97&lt;=AF$3+6),"▼",IF(AND($E97&gt;=AF$3,$E97&lt;=AF$3+6),$A97,"")))</f>
        <v/>
      </c>
      <c r="AG97" s="47" t="str">
        <f aca="false">IF($A97="","",IF(AND(INDEX(工程マスタ!$I$5:$I$154,$A97)="○",$E97&gt;=AG$3,$E97&lt;=AG$3+6),"▼",IF(AND($E97&gt;=AG$3,$E97&lt;=AG$3+6),$A97,"")))</f>
        <v/>
      </c>
      <c r="AH97" s="47" t="str">
        <f aca="false">IF($A97="","",IF(AND(INDEX(工程マスタ!$I$5:$I$154,$A97)="○",$E97&gt;=AH$3,$E97&lt;=AH$3+6),"▼",IF(AND($E97&gt;=AH$3,$E97&lt;=AH$3+6),$A97,"")))</f>
        <v/>
      </c>
      <c r="AI97" s="47" t="str">
        <f aca="false">IF($A97="","",IF(AND(INDEX(工程マスタ!$I$5:$I$154,$A97)="○",$E97&gt;=AI$3,$E97&lt;=AI$3+6),"▼",IF(AND($E97&gt;=AI$3,$E97&lt;=AI$3+6),$A97,"")))</f>
        <v/>
      </c>
      <c r="AJ97" s="47" t="str">
        <f aca="false">IF($A97="","",IF(AND(INDEX(工程マスタ!$I$5:$I$154,$A97)="○",$E97&gt;=AJ$3,$E97&lt;=AJ$3+6),"▼",IF(AND($E97&gt;=AJ$3,$E97&lt;=AJ$3+6),$A97,"")))</f>
        <v/>
      </c>
      <c r="AK97" s="47" t="str">
        <f aca="false">IF($A97="","",IF(AND(INDEX(工程マスタ!$I$5:$I$154,$A97)="○",$E97&gt;=AK$3,$E97&lt;=AK$3+6),"▼",IF(AND($E97&gt;=AK$3,$E97&lt;=AK$3+6),$A97,"")))</f>
        <v/>
      </c>
      <c r="AL97" s="47" t="str">
        <f aca="false">IF($A97="","",IF(AND(INDEX(工程マスタ!$I$5:$I$154,$A97)="○",$E97&gt;=AL$3,$E97&lt;=AL$3+6),"▼",IF(AND($E97&gt;=AL$3,$E97&lt;=AL$3+6),$A97,"")))</f>
        <v/>
      </c>
      <c r="AM97" s="47" t="str">
        <f aca="false">IF($A97="","",IF(AND(INDEX(工程マスタ!$I$5:$I$154,$A97)="○",$E97&gt;=AM$3,$E97&lt;=AM$3+6),"▼",IF(AND($E97&gt;=AM$3,$E97&lt;=AM$3+6),$A97,"")))</f>
        <v/>
      </c>
      <c r="AN97" s="47" t="str">
        <f aca="false">IF($A97="","",IF(AND(INDEX(工程マスタ!$I$5:$I$154,$A97)="○",$E97&gt;=AN$3,$E97&lt;=AN$3+6),"▼",IF(AND($E97&gt;=AN$3,$E97&lt;=AN$3+6),$A97,"")))</f>
        <v/>
      </c>
      <c r="AO97" s="47" t="str">
        <f aca="false">IF($A97="","",IF(AND(INDEX(工程マスタ!$I$5:$I$154,$A97)="○",$E97&gt;=AO$3,$E97&lt;=AO$3+6),"▼",IF(AND($E97&gt;=AO$3,$E97&lt;=AO$3+6),$A97,"")))</f>
        <v/>
      </c>
      <c r="AP97" s="47" t="str">
        <f aca="false">IF($A97="","",IF(AND(INDEX(工程マスタ!$I$5:$I$154,$A97)="○",$E97&gt;=AP$3,$E97&lt;=AP$3+6),"▼",IF(AND($E97&gt;=AP$3,$E97&lt;=AP$3+6),$A97,"")))</f>
        <v/>
      </c>
      <c r="AQ97" s="47" t="str">
        <f aca="false">IF($A97="","",IF(AND(INDEX(工程マスタ!$I$5:$I$154,$A97)="○",$E97&gt;=AQ$3,$E97&lt;=AQ$3+6),"▼",IF(AND($E97&gt;=AQ$3,$E97&lt;=AQ$3+6),$A97,"")))</f>
        <v/>
      </c>
      <c r="AR97" s="47" t="str">
        <f aca="false">IF($A97="","",IF(AND(INDEX(工程マスタ!$I$5:$I$154,$A97)="○",$E97&gt;=AR$3,$E97&lt;=AR$3+6),"▼",IF(AND($E97&gt;=AR$3,$E97&lt;=AR$3+6),$A97,"")))</f>
        <v/>
      </c>
      <c r="AS97" s="47" t="str">
        <f aca="false">IF($A97="","",IF(AND(INDEX(工程マスタ!$I$5:$I$154,$A97)="○",$E97&gt;=AS$3,$E97&lt;=AS$3+6),"▼",IF(AND($E97&gt;=AS$3,$E97&lt;=AS$3+6),$A97,"")))</f>
        <v/>
      </c>
      <c r="AT97" s="47" t="str">
        <f aca="false">IF($A97="","",IF(AND(INDEX(工程マスタ!$I$5:$I$154,$A97)="○",$E97&gt;=AT$3,$E97&lt;=AT$3+6),"▼",IF(AND($E97&gt;=AT$3,$E97&lt;=AT$3+6),$A97,"")))</f>
        <v/>
      </c>
      <c r="AU97" s="47" t="str">
        <f aca="false">IF($A97="","",IF(AND(INDEX(工程マスタ!$I$5:$I$154,$A97)="○",$E97&gt;=AU$3,$E97&lt;=AU$3+6),"▼",IF(AND($E97&gt;=AU$3,$E97&lt;=AU$3+6),$A97,"")))</f>
        <v/>
      </c>
      <c r="AV97" s="47" t="str">
        <f aca="false">IF($A97="","",IF(AND(INDEX(工程マスタ!$I$5:$I$154,$A97)="○",$E97&gt;=AV$3,$E97&lt;=AV$3+6),"▼",IF(AND($E97&gt;=AV$3,$E97&lt;=AV$3+6),$A97,"")))</f>
        <v/>
      </c>
      <c r="AW97" s="47" t="str">
        <f aca="false">IF($A97="","",IF(AND(INDEX(工程マスタ!$I$5:$I$154,$A97)="○",$E97&gt;=AW$3,$E97&lt;=AW$3+6),"▼",IF(AND($E97&gt;=AW$3,$E97&lt;=AW$3+6),$A97,"")))</f>
        <v/>
      </c>
      <c r="AX97" s="47" t="str">
        <f aca="false">IF($A97="","",IF(AND(INDEX(工程マスタ!$I$5:$I$154,$A97)="○",$E97&gt;=AX$3,$E97&lt;=AX$3+6),"▼",IF(AND($E97&gt;=AX$3,$E97&lt;=AX$3+6),$A97,"")))</f>
        <v/>
      </c>
      <c r="AY97" s="47" t="str">
        <f aca="false">IF($A97="","",IF(AND(INDEX(工程マスタ!$I$5:$I$154,$A97)="○",$E97&gt;=AY$3,$E97&lt;=AY$3+6),"▼",IF(AND($E97&gt;=AY$3,$E97&lt;=AY$3+6),$A97,"")))</f>
        <v/>
      </c>
      <c r="AZ97" s="47" t="str">
        <f aca="false">IF($A97="","",IF(AND(INDEX(工程マスタ!$I$5:$I$154,$A97)="○",$E97&gt;=AZ$3,$E97&lt;=AZ$3+6),"▼",IF(AND($E97&gt;=AZ$3,$E97&lt;=AZ$3+6),$A97,"")))</f>
        <v/>
      </c>
      <c r="BA97" s="47" t="str">
        <f aca="false">IF($A97="","",IF(AND(INDEX(工程マスタ!$I$5:$I$154,$A97)="○",$E97&gt;=BA$3,$E97&lt;=BA$3+6),"▼",IF(AND($E97&gt;=BA$3,$E97&lt;=BA$3+6),$A97,"")))</f>
        <v/>
      </c>
      <c r="BB97" s="47" t="str">
        <f aca="false">IF($A97="","",IF(AND(INDEX(工程マスタ!$I$5:$I$154,$A97)="○",$E97&gt;=BB$3,$E97&lt;=BB$3+6),"▼",IF(AND($E97&gt;=BB$3,$E97&lt;=BB$3+6),$A97,"")))</f>
        <v/>
      </c>
      <c r="BC97" s="47" t="str">
        <f aca="false">IF($A97="","",IF(AND(INDEX(工程マスタ!$I$5:$I$154,$A97)="○",$E97&gt;=BC$3,$E97&lt;=BC$3+6),"▼",IF(AND($E97&gt;=BC$3,$E97&lt;=BC$3+6),$A97,"")))</f>
        <v/>
      </c>
      <c r="BD97" s="47" t="str">
        <f aca="false">IF($A97="","",IF(AND(INDEX(工程マスタ!$I$5:$I$154,$A97)="○",$E97&gt;=BD$3,$E97&lt;=BD$3+6),"▼",IF(AND($E97&gt;=BD$3,$E97&lt;=BD$3+6),$A97,"")))</f>
        <v/>
      </c>
      <c r="BE97" s="47" t="str">
        <f aca="false">IF($A97="","",IF(AND(INDEX(工程マスタ!$I$5:$I$154,$A97)="○",$E97&gt;=BE$3,$E97&lt;=BE$3+6),"▼",IF(AND($E97&gt;=BE$3,$E97&lt;=BE$3+6),$A97,"")))</f>
        <v/>
      </c>
      <c r="BF97" s="47" t="str">
        <f aca="false">IF($A97="","",IF(AND(INDEX(工程マスタ!$I$5:$I$154,$A97)="○",$E97&gt;=BF$3,$E97&lt;=BF$3+6),"▼",IF(AND($E97&gt;=BF$3,$E97&lt;=BF$3+6),$A97,"")))</f>
        <v/>
      </c>
      <c r="BG97" s="47" t="str">
        <f aca="false">IF($A97="","",IF(AND(INDEX(工程マスタ!$I$5:$I$154,$A97)="○",$E97&gt;=BG$3,$E97&lt;=BG$3+6),"▼",IF(AND($E97&gt;=BG$3,$E97&lt;=BG$3+6),$A97,"")))</f>
        <v/>
      </c>
      <c r="BH97" s="47" t="str">
        <f aca="false">IF($A97="","",IF(AND(INDEX(工程マスタ!$I$5:$I$154,$A97)="○",$E97&gt;=BH$3,$E97&lt;=BH$3+6),"▼",IF(AND($E97&gt;=BH$3,$E97&lt;=BH$3+6),$A97,"")))</f>
        <v/>
      </c>
      <c r="BI97" s="47" t="str">
        <f aca="false">IF($A97="","",IF(AND(INDEX(工程マスタ!$I$5:$I$154,$A97)="○",$E97&gt;=BI$3,$E97&lt;=BI$3+6),"▼",IF(AND($E97&gt;=BI$3,$E97&lt;=BI$3+6),$A97,"")))</f>
        <v/>
      </c>
      <c r="BJ97" s="47" t="str">
        <f aca="false">IF($A97="","",IF(AND(INDEX(工程マスタ!$I$5:$I$154,$A97)="○",$E97&gt;=BJ$3,$E97&lt;=BJ$3+6),"▼",IF(AND($E97&gt;=BJ$3,$E97&lt;=BJ$3+6),$A97,"")))</f>
        <v/>
      </c>
    </row>
    <row r="98" customFormat="false" ht="15" hidden="false" customHeight="false" outlineLevel="0" collapsed="false">
      <c r="A98" s="28" t="str">
        <f aca="false">IF(工程マスタ!$C96="","",工程マスタ!$A96)</f>
        <v/>
      </c>
      <c r="B98" s="46" t="str">
        <f aca="false">IF($A98="","",工程マスタ!$C96)</f>
        <v/>
      </c>
      <c r="C98" s="28" t="str">
        <f aca="false">IF($A98="","",MAX(1,工程マスタ!$G96))</f>
        <v/>
      </c>
      <c r="D98" s="28" t="str">
        <f aca="false">IF($A98="","",_xlfn.TEXTJOIN(",",TRUE(),工程マスタ!$N96:$P96))</f>
        <v/>
      </c>
      <c r="E98" s="29" t="str">
        <f aca="false">IF($A98="","",IF(COUNT(工程マスタ!$N96:$P96)=0,設定!$B$8,MAX(IF(工程マスタ!$N96="",0,INDEX($F$7:$F$156,工程マスタ!$N96)),IF(工程マスタ!$O96="",0,INDEX($F$7:$F$156,工程マスタ!$O96)),IF(工程マスタ!$P96="",0,INDEX($F$7:$F$156,工程マスタ!$P96)))+1))</f>
        <v/>
      </c>
      <c r="F98" s="29" t="str">
        <f aca="false">IF($A98="","",$E98+$C98-1)</f>
        <v/>
      </c>
      <c r="G98" s="29" t="str">
        <f aca="false">IF($A98="","",$H98-$C98+1)</f>
        <v/>
      </c>
      <c r="H98" s="29" t="str">
        <f aca="false" t="array" ref="H98:H98">IF($A98="","",IF(SUMPRODUCT((工程マスタ!$N$97:$N$154=$A98)*1)+SUMPRODUCT((工程マスタ!$O$97:$O$154=$A98)*1)+SUMPRODUCT((工程マスタ!$P$97:$P$154=$A98)*1)=0,MAX($F$7:$F$156),MIN(IF((工程マスタ!$N$97:$N$154=$A98)+(工程マスタ!$O$97:$O$154=$A98)+(工程マスタ!$P$97:$P$154=$A98),$G99:$G$156))-1))</f>
        <v/>
      </c>
      <c r="I98" s="28" t="str">
        <f aca="false">IF($A98="","",$G98-$E98)</f>
        <v/>
      </c>
      <c r="J98" s="28" t="str">
        <f aca="false">IF($A98="","",IF($I98&lt;=0,"●",""))</f>
        <v/>
      </c>
      <c r="K98" s="47" t="str">
        <f aca="false">IF($A98="","",IF(AND(INDEX(工程マスタ!$I$5:$I$154,$A98)="○",$E98&gt;=K$3,$E98&lt;=K$3+6),"▼",IF(AND($E98&gt;=K$3,$E98&lt;=K$3+6),$A98,"")))</f>
        <v/>
      </c>
      <c r="L98" s="47" t="str">
        <f aca="false">IF($A98="","",IF(AND(INDEX(工程マスタ!$I$5:$I$154,$A98)="○",$E98&gt;=L$3,$E98&lt;=L$3+6),"▼",IF(AND($E98&gt;=L$3,$E98&lt;=L$3+6),$A98,"")))</f>
        <v/>
      </c>
      <c r="M98" s="47" t="str">
        <f aca="false">IF($A98="","",IF(AND(INDEX(工程マスタ!$I$5:$I$154,$A98)="○",$E98&gt;=M$3,$E98&lt;=M$3+6),"▼",IF(AND($E98&gt;=M$3,$E98&lt;=M$3+6),$A98,"")))</f>
        <v/>
      </c>
      <c r="N98" s="47" t="str">
        <f aca="false">IF($A98="","",IF(AND(INDEX(工程マスタ!$I$5:$I$154,$A98)="○",$E98&gt;=N$3,$E98&lt;=N$3+6),"▼",IF(AND($E98&gt;=N$3,$E98&lt;=N$3+6),$A98,"")))</f>
        <v/>
      </c>
      <c r="O98" s="47" t="str">
        <f aca="false">IF($A98="","",IF(AND(INDEX(工程マスタ!$I$5:$I$154,$A98)="○",$E98&gt;=O$3,$E98&lt;=O$3+6),"▼",IF(AND($E98&gt;=O$3,$E98&lt;=O$3+6),$A98,"")))</f>
        <v/>
      </c>
      <c r="P98" s="47" t="str">
        <f aca="false">IF($A98="","",IF(AND(INDEX(工程マスタ!$I$5:$I$154,$A98)="○",$E98&gt;=P$3,$E98&lt;=P$3+6),"▼",IF(AND($E98&gt;=P$3,$E98&lt;=P$3+6),$A98,"")))</f>
        <v/>
      </c>
      <c r="Q98" s="47" t="str">
        <f aca="false">IF($A98="","",IF(AND(INDEX(工程マスタ!$I$5:$I$154,$A98)="○",$E98&gt;=Q$3,$E98&lt;=Q$3+6),"▼",IF(AND($E98&gt;=Q$3,$E98&lt;=Q$3+6),$A98,"")))</f>
        <v/>
      </c>
      <c r="R98" s="47" t="str">
        <f aca="false">IF($A98="","",IF(AND(INDEX(工程マスタ!$I$5:$I$154,$A98)="○",$E98&gt;=R$3,$E98&lt;=R$3+6),"▼",IF(AND($E98&gt;=R$3,$E98&lt;=R$3+6),$A98,"")))</f>
        <v/>
      </c>
      <c r="S98" s="47" t="str">
        <f aca="false">IF($A98="","",IF(AND(INDEX(工程マスタ!$I$5:$I$154,$A98)="○",$E98&gt;=S$3,$E98&lt;=S$3+6),"▼",IF(AND($E98&gt;=S$3,$E98&lt;=S$3+6),$A98,"")))</f>
        <v/>
      </c>
      <c r="T98" s="47" t="str">
        <f aca="false">IF($A98="","",IF(AND(INDEX(工程マスタ!$I$5:$I$154,$A98)="○",$E98&gt;=T$3,$E98&lt;=T$3+6),"▼",IF(AND($E98&gt;=T$3,$E98&lt;=T$3+6),$A98,"")))</f>
        <v/>
      </c>
      <c r="U98" s="47" t="str">
        <f aca="false">IF($A98="","",IF(AND(INDEX(工程マスタ!$I$5:$I$154,$A98)="○",$E98&gt;=U$3,$E98&lt;=U$3+6),"▼",IF(AND($E98&gt;=U$3,$E98&lt;=U$3+6),$A98,"")))</f>
        <v/>
      </c>
      <c r="V98" s="47" t="str">
        <f aca="false">IF($A98="","",IF(AND(INDEX(工程マスタ!$I$5:$I$154,$A98)="○",$E98&gt;=V$3,$E98&lt;=V$3+6),"▼",IF(AND($E98&gt;=V$3,$E98&lt;=V$3+6),$A98,"")))</f>
        <v/>
      </c>
      <c r="W98" s="47" t="str">
        <f aca="false">IF($A98="","",IF(AND(INDEX(工程マスタ!$I$5:$I$154,$A98)="○",$E98&gt;=W$3,$E98&lt;=W$3+6),"▼",IF(AND($E98&gt;=W$3,$E98&lt;=W$3+6),$A98,"")))</f>
        <v/>
      </c>
      <c r="X98" s="47" t="str">
        <f aca="false">IF($A98="","",IF(AND(INDEX(工程マスタ!$I$5:$I$154,$A98)="○",$E98&gt;=X$3,$E98&lt;=X$3+6),"▼",IF(AND($E98&gt;=X$3,$E98&lt;=X$3+6),$A98,"")))</f>
        <v/>
      </c>
      <c r="Y98" s="47" t="str">
        <f aca="false">IF($A98="","",IF(AND(INDEX(工程マスタ!$I$5:$I$154,$A98)="○",$E98&gt;=Y$3,$E98&lt;=Y$3+6),"▼",IF(AND($E98&gt;=Y$3,$E98&lt;=Y$3+6),$A98,"")))</f>
        <v/>
      </c>
      <c r="Z98" s="47" t="str">
        <f aca="false">IF($A98="","",IF(AND(INDEX(工程マスタ!$I$5:$I$154,$A98)="○",$E98&gt;=Z$3,$E98&lt;=Z$3+6),"▼",IF(AND($E98&gt;=Z$3,$E98&lt;=Z$3+6),$A98,"")))</f>
        <v/>
      </c>
      <c r="AA98" s="47" t="str">
        <f aca="false">IF($A98="","",IF(AND(INDEX(工程マスタ!$I$5:$I$154,$A98)="○",$E98&gt;=AA$3,$E98&lt;=AA$3+6),"▼",IF(AND($E98&gt;=AA$3,$E98&lt;=AA$3+6),$A98,"")))</f>
        <v/>
      </c>
      <c r="AB98" s="47" t="str">
        <f aca="false">IF($A98="","",IF(AND(INDEX(工程マスタ!$I$5:$I$154,$A98)="○",$E98&gt;=AB$3,$E98&lt;=AB$3+6),"▼",IF(AND($E98&gt;=AB$3,$E98&lt;=AB$3+6),$A98,"")))</f>
        <v/>
      </c>
      <c r="AC98" s="47" t="str">
        <f aca="false">IF($A98="","",IF(AND(INDEX(工程マスタ!$I$5:$I$154,$A98)="○",$E98&gt;=AC$3,$E98&lt;=AC$3+6),"▼",IF(AND($E98&gt;=AC$3,$E98&lt;=AC$3+6),$A98,"")))</f>
        <v/>
      </c>
      <c r="AD98" s="47" t="str">
        <f aca="false">IF($A98="","",IF(AND(INDEX(工程マスタ!$I$5:$I$154,$A98)="○",$E98&gt;=AD$3,$E98&lt;=AD$3+6),"▼",IF(AND($E98&gt;=AD$3,$E98&lt;=AD$3+6),$A98,"")))</f>
        <v/>
      </c>
      <c r="AE98" s="47" t="str">
        <f aca="false">IF($A98="","",IF(AND(INDEX(工程マスタ!$I$5:$I$154,$A98)="○",$E98&gt;=AE$3,$E98&lt;=AE$3+6),"▼",IF(AND($E98&gt;=AE$3,$E98&lt;=AE$3+6),$A98,"")))</f>
        <v/>
      </c>
      <c r="AF98" s="47" t="str">
        <f aca="false">IF($A98="","",IF(AND(INDEX(工程マスタ!$I$5:$I$154,$A98)="○",$E98&gt;=AF$3,$E98&lt;=AF$3+6),"▼",IF(AND($E98&gt;=AF$3,$E98&lt;=AF$3+6),$A98,"")))</f>
        <v/>
      </c>
      <c r="AG98" s="47" t="str">
        <f aca="false">IF($A98="","",IF(AND(INDEX(工程マスタ!$I$5:$I$154,$A98)="○",$E98&gt;=AG$3,$E98&lt;=AG$3+6),"▼",IF(AND($E98&gt;=AG$3,$E98&lt;=AG$3+6),$A98,"")))</f>
        <v/>
      </c>
      <c r="AH98" s="47" t="str">
        <f aca="false">IF($A98="","",IF(AND(INDEX(工程マスタ!$I$5:$I$154,$A98)="○",$E98&gt;=AH$3,$E98&lt;=AH$3+6),"▼",IF(AND($E98&gt;=AH$3,$E98&lt;=AH$3+6),$A98,"")))</f>
        <v/>
      </c>
      <c r="AI98" s="47" t="str">
        <f aca="false">IF($A98="","",IF(AND(INDEX(工程マスタ!$I$5:$I$154,$A98)="○",$E98&gt;=AI$3,$E98&lt;=AI$3+6),"▼",IF(AND($E98&gt;=AI$3,$E98&lt;=AI$3+6),$A98,"")))</f>
        <v/>
      </c>
      <c r="AJ98" s="47" t="str">
        <f aca="false">IF($A98="","",IF(AND(INDEX(工程マスタ!$I$5:$I$154,$A98)="○",$E98&gt;=AJ$3,$E98&lt;=AJ$3+6),"▼",IF(AND($E98&gt;=AJ$3,$E98&lt;=AJ$3+6),$A98,"")))</f>
        <v/>
      </c>
      <c r="AK98" s="47" t="str">
        <f aca="false">IF($A98="","",IF(AND(INDEX(工程マスタ!$I$5:$I$154,$A98)="○",$E98&gt;=AK$3,$E98&lt;=AK$3+6),"▼",IF(AND($E98&gt;=AK$3,$E98&lt;=AK$3+6),$A98,"")))</f>
        <v/>
      </c>
      <c r="AL98" s="47" t="str">
        <f aca="false">IF($A98="","",IF(AND(INDEX(工程マスタ!$I$5:$I$154,$A98)="○",$E98&gt;=AL$3,$E98&lt;=AL$3+6),"▼",IF(AND($E98&gt;=AL$3,$E98&lt;=AL$3+6),$A98,"")))</f>
        <v/>
      </c>
      <c r="AM98" s="47" t="str">
        <f aca="false">IF($A98="","",IF(AND(INDEX(工程マスタ!$I$5:$I$154,$A98)="○",$E98&gt;=AM$3,$E98&lt;=AM$3+6),"▼",IF(AND($E98&gt;=AM$3,$E98&lt;=AM$3+6),$A98,"")))</f>
        <v/>
      </c>
      <c r="AN98" s="47" t="str">
        <f aca="false">IF($A98="","",IF(AND(INDEX(工程マスタ!$I$5:$I$154,$A98)="○",$E98&gt;=AN$3,$E98&lt;=AN$3+6),"▼",IF(AND($E98&gt;=AN$3,$E98&lt;=AN$3+6),$A98,"")))</f>
        <v/>
      </c>
      <c r="AO98" s="47" t="str">
        <f aca="false">IF($A98="","",IF(AND(INDEX(工程マスタ!$I$5:$I$154,$A98)="○",$E98&gt;=AO$3,$E98&lt;=AO$3+6),"▼",IF(AND($E98&gt;=AO$3,$E98&lt;=AO$3+6),$A98,"")))</f>
        <v/>
      </c>
      <c r="AP98" s="47" t="str">
        <f aca="false">IF($A98="","",IF(AND(INDEX(工程マスタ!$I$5:$I$154,$A98)="○",$E98&gt;=AP$3,$E98&lt;=AP$3+6),"▼",IF(AND($E98&gt;=AP$3,$E98&lt;=AP$3+6),$A98,"")))</f>
        <v/>
      </c>
      <c r="AQ98" s="47" t="str">
        <f aca="false">IF($A98="","",IF(AND(INDEX(工程マスタ!$I$5:$I$154,$A98)="○",$E98&gt;=AQ$3,$E98&lt;=AQ$3+6),"▼",IF(AND($E98&gt;=AQ$3,$E98&lt;=AQ$3+6),$A98,"")))</f>
        <v/>
      </c>
      <c r="AR98" s="47" t="str">
        <f aca="false">IF($A98="","",IF(AND(INDEX(工程マスタ!$I$5:$I$154,$A98)="○",$E98&gt;=AR$3,$E98&lt;=AR$3+6),"▼",IF(AND($E98&gt;=AR$3,$E98&lt;=AR$3+6),$A98,"")))</f>
        <v/>
      </c>
      <c r="AS98" s="47" t="str">
        <f aca="false">IF($A98="","",IF(AND(INDEX(工程マスタ!$I$5:$I$154,$A98)="○",$E98&gt;=AS$3,$E98&lt;=AS$3+6),"▼",IF(AND($E98&gt;=AS$3,$E98&lt;=AS$3+6),$A98,"")))</f>
        <v/>
      </c>
      <c r="AT98" s="47" t="str">
        <f aca="false">IF($A98="","",IF(AND(INDEX(工程マスタ!$I$5:$I$154,$A98)="○",$E98&gt;=AT$3,$E98&lt;=AT$3+6),"▼",IF(AND($E98&gt;=AT$3,$E98&lt;=AT$3+6),$A98,"")))</f>
        <v/>
      </c>
      <c r="AU98" s="47" t="str">
        <f aca="false">IF($A98="","",IF(AND(INDEX(工程マスタ!$I$5:$I$154,$A98)="○",$E98&gt;=AU$3,$E98&lt;=AU$3+6),"▼",IF(AND($E98&gt;=AU$3,$E98&lt;=AU$3+6),$A98,"")))</f>
        <v/>
      </c>
      <c r="AV98" s="47" t="str">
        <f aca="false">IF($A98="","",IF(AND(INDEX(工程マスタ!$I$5:$I$154,$A98)="○",$E98&gt;=AV$3,$E98&lt;=AV$3+6),"▼",IF(AND($E98&gt;=AV$3,$E98&lt;=AV$3+6),$A98,"")))</f>
        <v/>
      </c>
      <c r="AW98" s="47" t="str">
        <f aca="false">IF($A98="","",IF(AND(INDEX(工程マスタ!$I$5:$I$154,$A98)="○",$E98&gt;=AW$3,$E98&lt;=AW$3+6),"▼",IF(AND($E98&gt;=AW$3,$E98&lt;=AW$3+6),$A98,"")))</f>
        <v/>
      </c>
      <c r="AX98" s="47" t="str">
        <f aca="false">IF($A98="","",IF(AND(INDEX(工程マスタ!$I$5:$I$154,$A98)="○",$E98&gt;=AX$3,$E98&lt;=AX$3+6),"▼",IF(AND($E98&gt;=AX$3,$E98&lt;=AX$3+6),$A98,"")))</f>
        <v/>
      </c>
      <c r="AY98" s="47" t="str">
        <f aca="false">IF($A98="","",IF(AND(INDEX(工程マスタ!$I$5:$I$154,$A98)="○",$E98&gt;=AY$3,$E98&lt;=AY$3+6),"▼",IF(AND($E98&gt;=AY$3,$E98&lt;=AY$3+6),$A98,"")))</f>
        <v/>
      </c>
      <c r="AZ98" s="47" t="str">
        <f aca="false">IF($A98="","",IF(AND(INDEX(工程マスタ!$I$5:$I$154,$A98)="○",$E98&gt;=AZ$3,$E98&lt;=AZ$3+6),"▼",IF(AND($E98&gt;=AZ$3,$E98&lt;=AZ$3+6),$A98,"")))</f>
        <v/>
      </c>
      <c r="BA98" s="47" t="str">
        <f aca="false">IF($A98="","",IF(AND(INDEX(工程マスタ!$I$5:$I$154,$A98)="○",$E98&gt;=BA$3,$E98&lt;=BA$3+6),"▼",IF(AND($E98&gt;=BA$3,$E98&lt;=BA$3+6),$A98,"")))</f>
        <v/>
      </c>
      <c r="BB98" s="47" t="str">
        <f aca="false">IF($A98="","",IF(AND(INDEX(工程マスタ!$I$5:$I$154,$A98)="○",$E98&gt;=BB$3,$E98&lt;=BB$3+6),"▼",IF(AND($E98&gt;=BB$3,$E98&lt;=BB$3+6),$A98,"")))</f>
        <v/>
      </c>
      <c r="BC98" s="47" t="str">
        <f aca="false">IF($A98="","",IF(AND(INDEX(工程マスタ!$I$5:$I$154,$A98)="○",$E98&gt;=BC$3,$E98&lt;=BC$3+6),"▼",IF(AND($E98&gt;=BC$3,$E98&lt;=BC$3+6),$A98,"")))</f>
        <v/>
      </c>
      <c r="BD98" s="47" t="str">
        <f aca="false">IF($A98="","",IF(AND(INDEX(工程マスタ!$I$5:$I$154,$A98)="○",$E98&gt;=BD$3,$E98&lt;=BD$3+6),"▼",IF(AND($E98&gt;=BD$3,$E98&lt;=BD$3+6),$A98,"")))</f>
        <v/>
      </c>
      <c r="BE98" s="47" t="str">
        <f aca="false">IF($A98="","",IF(AND(INDEX(工程マスタ!$I$5:$I$154,$A98)="○",$E98&gt;=BE$3,$E98&lt;=BE$3+6),"▼",IF(AND($E98&gt;=BE$3,$E98&lt;=BE$3+6),$A98,"")))</f>
        <v/>
      </c>
      <c r="BF98" s="47" t="str">
        <f aca="false">IF($A98="","",IF(AND(INDEX(工程マスタ!$I$5:$I$154,$A98)="○",$E98&gt;=BF$3,$E98&lt;=BF$3+6),"▼",IF(AND($E98&gt;=BF$3,$E98&lt;=BF$3+6),$A98,"")))</f>
        <v/>
      </c>
      <c r="BG98" s="47" t="str">
        <f aca="false">IF($A98="","",IF(AND(INDEX(工程マスタ!$I$5:$I$154,$A98)="○",$E98&gt;=BG$3,$E98&lt;=BG$3+6),"▼",IF(AND($E98&gt;=BG$3,$E98&lt;=BG$3+6),$A98,"")))</f>
        <v/>
      </c>
      <c r="BH98" s="47" t="str">
        <f aca="false">IF($A98="","",IF(AND(INDEX(工程マスタ!$I$5:$I$154,$A98)="○",$E98&gt;=BH$3,$E98&lt;=BH$3+6),"▼",IF(AND($E98&gt;=BH$3,$E98&lt;=BH$3+6),$A98,"")))</f>
        <v/>
      </c>
      <c r="BI98" s="47" t="str">
        <f aca="false">IF($A98="","",IF(AND(INDEX(工程マスタ!$I$5:$I$154,$A98)="○",$E98&gt;=BI$3,$E98&lt;=BI$3+6),"▼",IF(AND($E98&gt;=BI$3,$E98&lt;=BI$3+6),$A98,"")))</f>
        <v/>
      </c>
      <c r="BJ98" s="47" t="str">
        <f aca="false">IF($A98="","",IF(AND(INDEX(工程マスタ!$I$5:$I$154,$A98)="○",$E98&gt;=BJ$3,$E98&lt;=BJ$3+6),"▼",IF(AND($E98&gt;=BJ$3,$E98&lt;=BJ$3+6),$A98,"")))</f>
        <v/>
      </c>
    </row>
    <row r="99" customFormat="false" ht="15" hidden="false" customHeight="false" outlineLevel="0" collapsed="false">
      <c r="A99" s="28" t="str">
        <f aca="false">IF(工程マスタ!$C97="","",工程マスタ!$A97)</f>
        <v/>
      </c>
      <c r="B99" s="46" t="str">
        <f aca="false">IF($A99="","",工程マスタ!$C97)</f>
        <v/>
      </c>
      <c r="C99" s="28" t="str">
        <f aca="false">IF($A99="","",MAX(1,工程マスタ!$G97))</f>
        <v/>
      </c>
      <c r="D99" s="28" t="str">
        <f aca="false">IF($A99="","",_xlfn.TEXTJOIN(",",TRUE(),工程マスタ!$N97:$P97))</f>
        <v/>
      </c>
      <c r="E99" s="29" t="str">
        <f aca="false">IF($A99="","",IF(COUNT(工程マスタ!$N97:$P97)=0,設定!$B$8,MAX(IF(工程マスタ!$N97="",0,INDEX($F$7:$F$156,工程マスタ!$N97)),IF(工程マスタ!$O97="",0,INDEX($F$7:$F$156,工程マスタ!$O97)),IF(工程マスタ!$P97="",0,INDEX($F$7:$F$156,工程マスタ!$P97)))+1))</f>
        <v/>
      </c>
      <c r="F99" s="29" t="str">
        <f aca="false">IF($A99="","",$E99+$C99-1)</f>
        <v/>
      </c>
      <c r="G99" s="29" t="str">
        <f aca="false">IF($A99="","",$H99-$C99+1)</f>
        <v/>
      </c>
      <c r="H99" s="29" t="str">
        <f aca="false" t="array" ref="H99:H99">IF($A99="","",IF(SUMPRODUCT((工程マスタ!$N$98:$N$154=$A99)*1)+SUMPRODUCT((工程マスタ!$O$98:$O$154=$A99)*1)+SUMPRODUCT((工程マスタ!$P$98:$P$154=$A99)*1)=0,MAX($F$7:$F$156),MIN(IF((工程マスタ!$N$98:$N$154=$A99)+(工程マスタ!$O$98:$O$154=$A99)+(工程マスタ!$P$98:$P$154=$A99),$G100:$G$156))-1))</f>
        <v/>
      </c>
      <c r="I99" s="28" t="str">
        <f aca="false">IF($A99="","",$G99-$E99)</f>
        <v/>
      </c>
      <c r="J99" s="28" t="str">
        <f aca="false">IF($A99="","",IF($I99&lt;=0,"●",""))</f>
        <v/>
      </c>
      <c r="K99" s="47" t="str">
        <f aca="false">IF($A99="","",IF(AND(INDEX(工程マスタ!$I$5:$I$154,$A99)="○",$E99&gt;=K$3,$E99&lt;=K$3+6),"▼",IF(AND($E99&gt;=K$3,$E99&lt;=K$3+6),$A99,"")))</f>
        <v/>
      </c>
      <c r="L99" s="47" t="str">
        <f aca="false">IF($A99="","",IF(AND(INDEX(工程マスタ!$I$5:$I$154,$A99)="○",$E99&gt;=L$3,$E99&lt;=L$3+6),"▼",IF(AND($E99&gt;=L$3,$E99&lt;=L$3+6),$A99,"")))</f>
        <v/>
      </c>
      <c r="M99" s="47" t="str">
        <f aca="false">IF($A99="","",IF(AND(INDEX(工程マスタ!$I$5:$I$154,$A99)="○",$E99&gt;=M$3,$E99&lt;=M$3+6),"▼",IF(AND($E99&gt;=M$3,$E99&lt;=M$3+6),$A99,"")))</f>
        <v/>
      </c>
      <c r="N99" s="47" t="str">
        <f aca="false">IF($A99="","",IF(AND(INDEX(工程マスタ!$I$5:$I$154,$A99)="○",$E99&gt;=N$3,$E99&lt;=N$3+6),"▼",IF(AND($E99&gt;=N$3,$E99&lt;=N$3+6),$A99,"")))</f>
        <v/>
      </c>
      <c r="O99" s="47" t="str">
        <f aca="false">IF($A99="","",IF(AND(INDEX(工程マスタ!$I$5:$I$154,$A99)="○",$E99&gt;=O$3,$E99&lt;=O$3+6),"▼",IF(AND($E99&gt;=O$3,$E99&lt;=O$3+6),$A99,"")))</f>
        <v/>
      </c>
      <c r="P99" s="47" t="str">
        <f aca="false">IF($A99="","",IF(AND(INDEX(工程マスタ!$I$5:$I$154,$A99)="○",$E99&gt;=P$3,$E99&lt;=P$3+6),"▼",IF(AND($E99&gt;=P$3,$E99&lt;=P$3+6),$A99,"")))</f>
        <v/>
      </c>
      <c r="Q99" s="47" t="str">
        <f aca="false">IF($A99="","",IF(AND(INDEX(工程マスタ!$I$5:$I$154,$A99)="○",$E99&gt;=Q$3,$E99&lt;=Q$3+6),"▼",IF(AND($E99&gt;=Q$3,$E99&lt;=Q$3+6),$A99,"")))</f>
        <v/>
      </c>
      <c r="R99" s="47" t="str">
        <f aca="false">IF($A99="","",IF(AND(INDEX(工程マスタ!$I$5:$I$154,$A99)="○",$E99&gt;=R$3,$E99&lt;=R$3+6),"▼",IF(AND($E99&gt;=R$3,$E99&lt;=R$3+6),$A99,"")))</f>
        <v/>
      </c>
      <c r="S99" s="47" t="str">
        <f aca="false">IF($A99="","",IF(AND(INDEX(工程マスタ!$I$5:$I$154,$A99)="○",$E99&gt;=S$3,$E99&lt;=S$3+6),"▼",IF(AND($E99&gt;=S$3,$E99&lt;=S$3+6),$A99,"")))</f>
        <v/>
      </c>
      <c r="T99" s="47" t="str">
        <f aca="false">IF($A99="","",IF(AND(INDEX(工程マスタ!$I$5:$I$154,$A99)="○",$E99&gt;=T$3,$E99&lt;=T$3+6),"▼",IF(AND($E99&gt;=T$3,$E99&lt;=T$3+6),$A99,"")))</f>
        <v/>
      </c>
      <c r="U99" s="47" t="str">
        <f aca="false">IF($A99="","",IF(AND(INDEX(工程マスタ!$I$5:$I$154,$A99)="○",$E99&gt;=U$3,$E99&lt;=U$3+6),"▼",IF(AND($E99&gt;=U$3,$E99&lt;=U$3+6),$A99,"")))</f>
        <v/>
      </c>
      <c r="V99" s="47" t="str">
        <f aca="false">IF($A99="","",IF(AND(INDEX(工程マスタ!$I$5:$I$154,$A99)="○",$E99&gt;=V$3,$E99&lt;=V$3+6),"▼",IF(AND($E99&gt;=V$3,$E99&lt;=V$3+6),$A99,"")))</f>
        <v/>
      </c>
      <c r="W99" s="47" t="str">
        <f aca="false">IF($A99="","",IF(AND(INDEX(工程マスタ!$I$5:$I$154,$A99)="○",$E99&gt;=W$3,$E99&lt;=W$3+6),"▼",IF(AND($E99&gt;=W$3,$E99&lt;=W$3+6),$A99,"")))</f>
        <v/>
      </c>
      <c r="X99" s="47" t="str">
        <f aca="false">IF($A99="","",IF(AND(INDEX(工程マスタ!$I$5:$I$154,$A99)="○",$E99&gt;=X$3,$E99&lt;=X$3+6),"▼",IF(AND($E99&gt;=X$3,$E99&lt;=X$3+6),$A99,"")))</f>
        <v/>
      </c>
      <c r="Y99" s="47" t="str">
        <f aca="false">IF($A99="","",IF(AND(INDEX(工程マスタ!$I$5:$I$154,$A99)="○",$E99&gt;=Y$3,$E99&lt;=Y$3+6),"▼",IF(AND($E99&gt;=Y$3,$E99&lt;=Y$3+6),$A99,"")))</f>
        <v/>
      </c>
      <c r="Z99" s="47" t="str">
        <f aca="false">IF($A99="","",IF(AND(INDEX(工程マスタ!$I$5:$I$154,$A99)="○",$E99&gt;=Z$3,$E99&lt;=Z$3+6),"▼",IF(AND($E99&gt;=Z$3,$E99&lt;=Z$3+6),$A99,"")))</f>
        <v/>
      </c>
      <c r="AA99" s="47" t="str">
        <f aca="false">IF($A99="","",IF(AND(INDEX(工程マスタ!$I$5:$I$154,$A99)="○",$E99&gt;=AA$3,$E99&lt;=AA$3+6),"▼",IF(AND($E99&gt;=AA$3,$E99&lt;=AA$3+6),$A99,"")))</f>
        <v/>
      </c>
      <c r="AB99" s="47" t="str">
        <f aca="false">IF($A99="","",IF(AND(INDEX(工程マスタ!$I$5:$I$154,$A99)="○",$E99&gt;=AB$3,$E99&lt;=AB$3+6),"▼",IF(AND($E99&gt;=AB$3,$E99&lt;=AB$3+6),$A99,"")))</f>
        <v/>
      </c>
      <c r="AC99" s="47" t="str">
        <f aca="false">IF($A99="","",IF(AND(INDEX(工程マスタ!$I$5:$I$154,$A99)="○",$E99&gt;=AC$3,$E99&lt;=AC$3+6),"▼",IF(AND($E99&gt;=AC$3,$E99&lt;=AC$3+6),$A99,"")))</f>
        <v/>
      </c>
      <c r="AD99" s="47" t="str">
        <f aca="false">IF($A99="","",IF(AND(INDEX(工程マスタ!$I$5:$I$154,$A99)="○",$E99&gt;=AD$3,$E99&lt;=AD$3+6),"▼",IF(AND($E99&gt;=AD$3,$E99&lt;=AD$3+6),$A99,"")))</f>
        <v/>
      </c>
      <c r="AE99" s="47" t="str">
        <f aca="false">IF($A99="","",IF(AND(INDEX(工程マスタ!$I$5:$I$154,$A99)="○",$E99&gt;=AE$3,$E99&lt;=AE$3+6),"▼",IF(AND($E99&gt;=AE$3,$E99&lt;=AE$3+6),$A99,"")))</f>
        <v/>
      </c>
      <c r="AF99" s="47" t="str">
        <f aca="false">IF($A99="","",IF(AND(INDEX(工程マスタ!$I$5:$I$154,$A99)="○",$E99&gt;=AF$3,$E99&lt;=AF$3+6),"▼",IF(AND($E99&gt;=AF$3,$E99&lt;=AF$3+6),$A99,"")))</f>
        <v/>
      </c>
      <c r="AG99" s="47" t="str">
        <f aca="false">IF($A99="","",IF(AND(INDEX(工程マスタ!$I$5:$I$154,$A99)="○",$E99&gt;=AG$3,$E99&lt;=AG$3+6),"▼",IF(AND($E99&gt;=AG$3,$E99&lt;=AG$3+6),$A99,"")))</f>
        <v/>
      </c>
      <c r="AH99" s="47" t="str">
        <f aca="false">IF($A99="","",IF(AND(INDEX(工程マスタ!$I$5:$I$154,$A99)="○",$E99&gt;=AH$3,$E99&lt;=AH$3+6),"▼",IF(AND($E99&gt;=AH$3,$E99&lt;=AH$3+6),$A99,"")))</f>
        <v/>
      </c>
      <c r="AI99" s="47" t="str">
        <f aca="false">IF($A99="","",IF(AND(INDEX(工程マスタ!$I$5:$I$154,$A99)="○",$E99&gt;=AI$3,$E99&lt;=AI$3+6),"▼",IF(AND($E99&gt;=AI$3,$E99&lt;=AI$3+6),$A99,"")))</f>
        <v/>
      </c>
      <c r="AJ99" s="47" t="str">
        <f aca="false">IF($A99="","",IF(AND(INDEX(工程マスタ!$I$5:$I$154,$A99)="○",$E99&gt;=AJ$3,$E99&lt;=AJ$3+6),"▼",IF(AND($E99&gt;=AJ$3,$E99&lt;=AJ$3+6),$A99,"")))</f>
        <v/>
      </c>
      <c r="AK99" s="47" t="str">
        <f aca="false">IF($A99="","",IF(AND(INDEX(工程マスタ!$I$5:$I$154,$A99)="○",$E99&gt;=AK$3,$E99&lt;=AK$3+6),"▼",IF(AND($E99&gt;=AK$3,$E99&lt;=AK$3+6),$A99,"")))</f>
        <v/>
      </c>
      <c r="AL99" s="47" t="str">
        <f aca="false">IF($A99="","",IF(AND(INDEX(工程マスタ!$I$5:$I$154,$A99)="○",$E99&gt;=AL$3,$E99&lt;=AL$3+6),"▼",IF(AND($E99&gt;=AL$3,$E99&lt;=AL$3+6),$A99,"")))</f>
        <v/>
      </c>
      <c r="AM99" s="47" t="str">
        <f aca="false">IF($A99="","",IF(AND(INDEX(工程マスタ!$I$5:$I$154,$A99)="○",$E99&gt;=AM$3,$E99&lt;=AM$3+6),"▼",IF(AND($E99&gt;=AM$3,$E99&lt;=AM$3+6),$A99,"")))</f>
        <v/>
      </c>
      <c r="AN99" s="47" t="str">
        <f aca="false">IF($A99="","",IF(AND(INDEX(工程マスタ!$I$5:$I$154,$A99)="○",$E99&gt;=AN$3,$E99&lt;=AN$3+6),"▼",IF(AND($E99&gt;=AN$3,$E99&lt;=AN$3+6),$A99,"")))</f>
        <v/>
      </c>
      <c r="AO99" s="47" t="str">
        <f aca="false">IF($A99="","",IF(AND(INDEX(工程マスタ!$I$5:$I$154,$A99)="○",$E99&gt;=AO$3,$E99&lt;=AO$3+6),"▼",IF(AND($E99&gt;=AO$3,$E99&lt;=AO$3+6),$A99,"")))</f>
        <v/>
      </c>
      <c r="AP99" s="47" t="str">
        <f aca="false">IF($A99="","",IF(AND(INDEX(工程マスタ!$I$5:$I$154,$A99)="○",$E99&gt;=AP$3,$E99&lt;=AP$3+6),"▼",IF(AND($E99&gt;=AP$3,$E99&lt;=AP$3+6),$A99,"")))</f>
        <v/>
      </c>
      <c r="AQ99" s="47" t="str">
        <f aca="false">IF($A99="","",IF(AND(INDEX(工程マスタ!$I$5:$I$154,$A99)="○",$E99&gt;=AQ$3,$E99&lt;=AQ$3+6),"▼",IF(AND($E99&gt;=AQ$3,$E99&lt;=AQ$3+6),$A99,"")))</f>
        <v/>
      </c>
      <c r="AR99" s="47" t="str">
        <f aca="false">IF($A99="","",IF(AND(INDEX(工程マスタ!$I$5:$I$154,$A99)="○",$E99&gt;=AR$3,$E99&lt;=AR$3+6),"▼",IF(AND($E99&gt;=AR$3,$E99&lt;=AR$3+6),$A99,"")))</f>
        <v/>
      </c>
      <c r="AS99" s="47" t="str">
        <f aca="false">IF($A99="","",IF(AND(INDEX(工程マスタ!$I$5:$I$154,$A99)="○",$E99&gt;=AS$3,$E99&lt;=AS$3+6),"▼",IF(AND($E99&gt;=AS$3,$E99&lt;=AS$3+6),$A99,"")))</f>
        <v/>
      </c>
      <c r="AT99" s="47" t="str">
        <f aca="false">IF($A99="","",IF(AND(INDEX(工程マスタ!$I$5:$I$154,$A99)="○",$E99&gt;=AT$3,$E99&lt;=AT$3+6),"▼",IF(AND($E99&gt;=AT$3,$E99&lt;=AT$3+6),$A99,"")))</f>
        <v/>
      </c>
      <c r="AU99" s="47" t="str">
        <f aca="false">IF($A99="","",IF(AND(INDEX(工程マスタ!$I$5:$I$154,$A99)="○",$E99&gt;=AU$3,$E99&lt;=AU$3+6),"▼",IF(AND($E99&gt;=AU$3,$E99&lt;=AU$3+6),$A99,"")))</f>
        <v/>
      </c>
      <c r="AV99" s="47" t="str">
        <f aca="false">IF($A99="","",IF(AND(INDEX(工程マスタ!$I$5:$I$154,$A99)="○",$E99&gt;=AV$3,$E99&lt;=AV$3+6),"▼",IF(AND($E99&gt;=AV$3,$E99&lt;=AV$3+6),$A99,"")))</f>
        <v/>
      </c>
      <c r="AW99" s="47" t="str">
        <f aca="false">IF($A99="","",IF(AND(INDEX(工程マスタ!$I$5:$I$154,$A99)="○",$E99&gt;=AW$3,$E99&lt;=AW$3+6),"▼",IF(AND($E99&gt;=AW$3,$E99&lt;=AW$3+6),$A99,"")))</f>
        <v/>
      </c>
      <c r="AX99" s="47" t="str">
        <f aca="false">IF($A99="","",IF(AND(INDEX(工程マスタ!$I$5:$I$154,$A99)="○",$E99&gt;=AX$3,$E99&lt;=AX$3+6),"▼",IF(AND($E99&gt;=AX$3,$E99&lt;=AX$3+6),$A99,"")))</f>
        <v/>
      </c>
      <c r="AY99" s="47" t="str">
        <f aca="false">IF($A99="","",IF(AND(INDEX(工程マスタ!$I$5:$I$154,$A99)="○",$E99&gt;=AY$3,$E99&lt;=AY$3+6),"▼",IF(AND($E99&gt;=AY$3,$E99&lt;=AY$3+6),$A99,"")))</f>
        <v/>
      </c>
      <c r="AZ99" s="47" t="str">
        <f aca="false">IF($A99="","",IF(AND(INDEX(工程マスタ!$I$5:$I$154,$A99)="○",$E99&gt;=AZ$3,$E99&lt;=AZ$3+6),"▼",IF(AND($E99&gt;=AZ$3,$E99&lt;=AZ$3+6),$A99,"")))</f>
        <v/>
      </c>
      <c r="BA99" s="47" t="str">
        <f aca="false">IF($A99="","",IF(AND(INDEX(工程マスタ!$I$5:$I$154,$A99)="○",$E99&gt;=BA$3,$E99&lt;=BA$3+6),"▼",IF(AND($E99&gt;=BA$3,$E99&lt;=BA$3+6),$A99,"")))</f>
        <v/>
      </c>
      <c r="BB99" s="47" t="str">
        <f aca="false">IF($A99="","",IF(AND(INDEX(工程マスタ!$I$5:$I$154,$A99)="○",$E99&gt;=BB$3,$E99&lt;=BB$3+6),"▼",IF(AND($E99&gt;=BB$3,$E99&lt;=BB$3+6),$A99,"")))</f>
        <v/>
      </c>
      <c r="BC99" s="47" t="str">
        <f aca="false">IF($A99="","",IF(AND(INDEX(工程マスタ!$I$5:$I$154,$A99)="○",$E99&gt;=BC$3,$E99&lt;=BC$3+6),"▼",IF(AND($E99&gt;=BC$3,$E99&lt;=BC$3+6),$A99,"")))</f>
        <v/>
      </c>
      <c r="BD99" s="47" t="str">
        <f aca="false">IF($A99="","",IF(AND(INDEX(工程マスタ!$I$5:$I$154,$A99)="○",$E99&gt;=BD$3,$E99&lt;=BD$3+6),"▼",IF(AND($E99&gt;=BD$3,$E99&lt;=BD$3+6),$A99,"")))</f>
        <v/>
      </c>
      <c r="BE99" s="47" t="str">
        <f aca="false">IF($A99="","",IF(AND(INDEX(工程マスタ!$I$5:$I$154,$A99)="○",$E99&gt;=BE$3,$E99&lt;=BE$3+6),"▼",IF(AND($E99&gt;=BE$3,$E99&lt;=BE$3+6),$A99,"")))</f>
        <v/>
      </c>
      <c r="BF99" s="47" t="str">
        <f aca="false">IF($A99="","",IF(AND(INDEX(工程マスタ!$I$5:$I$154,$A99)="○",$E99&gt;=BF$3,$E99&lt;=BF$3+6),"▼",IF(AND($E99&gt;=BF$3,$E99&lt;=BF$3+6),$A99,"")))</f>
        <v/>
      </c>
      <c r="BG99" s="47" t="str">
        <f aca="false">IF($A99="","",IF(AND(INDEX(工程マスタ!$I$5:$I$154,$A99)="○",$E99&gt;=BG$3,$E99&lt;=BG$3+6),"▼",IF(AND($E99&gt;=BG$3,$E99&lt;=BG$3+6),$A99,"")))</f>
        <v/>
      </c>
      <c r="BH99" s="47" t="str">
        <f aca="false">IF($A99="","",IF(AND(INDEX(工程マスタ!$I$5:$I$154,$A99)="○",$E99&gt;=BH$3,$E99&lt;=BH$3+6),"▼",IF(AND($E99&gt;=BH$3,$E99&lt;=BH$3+6),$A99,"")))</f>
        <v/>
      </c>
      <c r="BI99" s="47" t="str">
        <f aca="false">IF($A99="","",IF(AND(INDEX(工程マスタ!$I$5:$I$154,$A99)="○",$E99&gt;=BI$3,$E99&lt;=BI$3+6),"▼",IF(AND($E99&gt;=BI$3,$E99&lt;=BI$3+6),$A99,"")))</f>
        <v/>
      </c>
      <c r="BJ99" s="47" t="str">
        <f aca="false">IF($A99="","",IF(AND(INDEX(工程マスタ!$I$5:$I$154,$A99)="○",$E99&gt;=BJ$3,$E99&lt;=BJ$3+6),"▼",IF(AND($E99&gt;=BJ$3,$E99&lt;=BJ$3+6),$A99,"")))</f>
        <v/>
      </c>
    </row>
    <row r="100" customFormat="false" ht="15" hidden="false" customHeight="false" outlineLevel="0" collapsed="false">
      <c r="A100" s="28" t="str">
        <f aca="false">IF(工程マスタ!$C98="","",工程マスタ!$A98)</f>
        <v/>
      </c>
      <c r="B100" s="46" t="str">
        <f aca="false">IF($A100="","",工程マスタ!$C98)</f>
        <v/>
      </c>
      <c r="C100" s="28" t="str">
        <f aca="false">IF($A100="","",MAX(1,工程マスタ!$G98))</f>
        <v/>
      </c>
      <c r="D100" s="28" t="str">
        <f aca="false">IF($A100="","",_xlfn.TEXTJOIN(",",TRUE(),工程マスタ!$N98:$P98))</f>
        <v/>
      </c>
      <c r="E100" s="29" t="str">
        <f aca="false">IF($A100="","",IF(COUNT(工程マスタ!$N98:$P98)=0,設定!$B$8,MAX(IF(工程マスタ!$N98="",0,INDEX($F$7:$F$156,工程マスタ!$N98)),IF(工程マスタ!$O98="",0,INDEX($F$7:$F$156,工程マスタ!$O98)),IF(工程マスタ!$P98="",0,INDEX($F$7:$F$156,工程マスタ!$P98)))+1))</f>
        <v/>
      </c>
      <c r="F100" s="29" t="str">
        <f aca="false">IF($A100="","",$E100+$C100-1)</f>
        <v/>
      </c>
      <c r="G100" s="29" t="str">
        <f aca="false">IF($A100="","",$H100-$C100+1)</f>
        <v/>
      </c>
      <c r="H100" s="29" t="str">
        <f aca="false" t="array" ref="H100:H100">IF($A100="","",IF(SUMPRODUCT((工程マスタ!$N$99:$N$154=$A100)*1)+SUMPRODUCT((工程マスタ!$O$99:$O$154=$A100)*1)+SUMPRODUCT((工程マスタ!$P$99:$P$154=$A100)*1)=0,MAX($F$7:$F$156),MIN(IF((工程マスタ!$N$99:$N$154=$A100)+(工程マスタ!$O$99:$O$154=$A100)+(工程マスタ!$P$99:$P$154=$A100),$G101:$G$156))-1))</f>
        <v/>
      </c>
      <c r="I100" s="28" t="str">
        <f aca="false">IF($A100="","",$G100-$E100)</f>
        <v/>
      </c>
      <c r="J100" s="28" t="str">
        <f aca="false">IF($A100="","",IF($I100&lt;=0,"●",""))</f>
        <v/>
      </c>
      <c r="K100" s="47" t="str">
        <f aca="false">IF($A100="","",IF(AND(INDEX(工程マスタ!$I$5:$I$154,$A100)="○",$E100&gt;=K$3,$E100&lt;=K$3+6),"▼",IF(AND($E100&gt;=K$3,$E100&lt;=K$3+6),$A100,"")))</f>
        <v/>
      </c>
      <c r="L100" s="47" t="str">
        <f aca="false">IF($A100="","",IF(AND(INDEX(工程マスタ!$I$5:$I$154,$A100)="○",$E100&gt;=L$3,$E100&lt;=L$3+6),"▼",IF(AND($E100&gt;=L$3,$E100&lt;=L$3+6),$A100,"")))</f>
        <v/>
      </c>
      <c r="M100" s="47" t="str">
        <f aca="false">IF($A100="","",IF(AND(INDEX(工程マスタ!$I$5:$I$154,$A100)="○",$E100&gt;=M$3,$E100&lt;=M$3+6),"▼",IF(AND($E100&gt;=M$3,$E100&lt;=M$3+6),$A100,"")))</f>
        <v/>
      </c>
      <c r="N100" s="47" t="str">
        <f aca="false">IF($A100="","",IF(AND(INDEX(工程マスタ!$I$5:$I$154,$A100)="○",$E100&gt;=N$3,$E100&lt;=N$3+6),"▼",IF(AND($E100&gt;=N$3,$E100&lt;=N$3+6),$A100,"")))</f>
        <v/>
      </c>
      <c r="O100" s="47" t="str">
        <f aca="false">IF($A100="","",IF(AND(INDEX(工程マスタ!$I$5:$I$154,$A100)="○",$E100&gt;=O$3,$E100&lt;=O$3+6),"▼",IF(AND($E100&gt;=O$3,$E100&lt;=O$3+6),$A100,"")))</f>
        <v/>
      </c>
      <c r="P100" s="47" t="str">
        <f aca="false">IF($A100="","",IF(AND(INDEX(工程マスタ!$I$5:$I$154,$A100)="○",$E100&gt;=P$3,$E100&lt;=P$3+6),"▼",IF(AND($E100&gt;=P$3,$E100&lt;=P$3+6),$A100,"")))</f>
        <v/>
      </c>
      <c r="Q100" s="47" t="str">
        <f aca="false">IF($A100="","",IF(AND(INDEX(工程マスタ!$I$5:$I$154,$A100)="○",$E100&gt;=Q$3,$E100&lt;=Q$3+6),"▼",IF(AND($E100&gt;=Q$3,$E100&lt;=Q$3+6),$A100,"")))</f>
        <v/>
      </c>
      <c r="R100" s="47" t="str">
        <f aca="false">IF($A100="","",IF(AND(INDEX(工程マスタ!$I$5:$I$154,$A100)="○",$E100&gt;=R$3,$E100&lt;=R$3+6),"▼",IF(AND($E100&gt;=R$3,$E100&lt;=R$3+6),$A100,"")))</f>
        <v/>
      </c>
      <c r="S100" s="47" t="str">
        <f aca="false">IF($A100="","",IF(AND(INDEX(工程マスタ!$I$5:$I$154,$A100)="○",$E100&gt;=S$3,$E100&lt;=S$3+6),"▼",IF(AND($E100&gt;=S$3,$E100&lt;=S$3+6),$A100,"")))</f>
        <v/>
      </c>
      <c r="T100" s="47" t="str">
        <f aca="false">IF($A100="","",IF(AND(INDEX(工程マスタ!$I$5:$I$154,$A100)="○",$E100&gt;=T$3,$E100&lt;=T$3+6),"▼",IF(AND($E100&gt;=T$3,$E100&lt;=T$3+6),$A100,"")))</f>
        <v/>
      </c>
      <c r="U100" s="47" t="str">
        <f aca="false">IF($A100="","",IF(AND(INDEX(工程マスタ!$I$5:$I$154,$A100)="○",$E100&gt;=U$3,$E100&lt;=U$3+6),"▼",IF(AND($E100&gt;=U$3,$E100&lt;=U$3+6),$A100,"")))</f>
        <v/>
      </c>
      <c r="V100" s="47" t="str">
        <f aca="false">IF($A100="","",IF(AND(INDEX(工程マスタ!$I$5:$I$154,$A100)="○",$E100&gt;=V$3,$E100&lt;=V$3+6),"▼",IF(AND($E100&gt;=V$3,$E100&lt;=V$3+6),$A100,"")))</f>
        <v/>
      </c>
      <c r="W100" s="47" t="str">
        <f aca="false">IF($A100="","",IF(AND(INDEX(工程マスタ!$I$5:$I$154,$A100)="○",$E100&gt;=W$3,$E100&lt;=W$3+6),"▼",IF(AND($E100&gt;=W$3,$E100&lt;=W$3+6),$A100,"")))</f>
        <v/>
      </c>
      <c r="X100" s="47" t="str">
        <f aca="false">IF($A100="","",IF(AND(INDEX(工程マスタ!$I$5:$I$154,$A100)="○",$E100&gt;=X$3,$E100&lt;=X$3+6),"▼",IF(AND($E100&gt;=X$3,$E100&lt;=X$3+6),$A100,"")))</f>
        <v/>
      </c>
      <c r="Y100" s="47" t="str">
        <f aca="false">IF($A100="","",IF(AND(INDEX(工程マスタ!$I$5:$I$154,$A100)="○",$E100&gt;=Y$3,$E100&lt;=Y$3+6),"▼",IF(AND($E100&gt;=Y$3,$E100&lt;=Y$3+6),$A100,"")))</f>
        <v/>
      </c>
      <c r="Z100" s="47" t="str">
        <f aca="false">IF($A100="","",IF(AND(INDEX(工程マスタ!$I$5:$I$154,$A100)="○",$E100&gt;=Z$3,$E100&lt;=Z$3+6),"▼",IF(AND($E100&gt;=Z$3,$E100&lt;=Z$3+6),$A100,"")))</f>
        <v/>
      </c>
      <c r="AA100" s="47" t="str">
        <f aca="false">IF($A100="","",IF(AND(INDEX(工程マスタ!$I$5:$I$154,$A100)="○",$E100&gt;=AA$3,$E100&lt;=AA$3+6),"▼",IF(AND($E100&gt;=AA$3,$E100&lt;=AA$3+6),$A100,"")))</f>
        <v/>
      </c>
      <c r="AB100" s="47" t="str">
        <f aca="false">IF($A100="","",IF(AND(INDEX(工程マスタ!$I$5:$I$154,$A100)="○",$E100&gt;=AB$3,$E100&lt;=AB$3+6),"▼",IF(AND($E100&gt;=AB$3,$E100&lt;=AB$3+6),$A100,"")))</f>
        <v/>
      </c>
      <c r="AC100" s="47" t="str">
        <f aca="false">IF($A100="","",IF(AND(INDEX(工程マスタ!$I$5:$I$154,$A100)="○",$E100&gt;=AC$3,$E100&lt;=AC$3+6),"▼",IF(AND($E100&gt;=AC$3,$E100&lt;=AC$3+6),$A100,"")))</f>
        <v/>
      </c>
      <c r="AD100" s="47" t="str">
        <f aca="false">IF($A100="","",IF(AND(INDEX(工程マスタ!$I$5:$I$154,$A100)="○",$E100&gt;=AD$3,$E100&lt;=AD$3+6),"▼",IF(AND($E100&gt;=AD$3,$E100&lt;=AD$3+6),$A100,"")))</f>
        <v/>
      </c>
      <c r="AE100" s="47" t="str">
        <f aca="false">IF($A100="","",IF(AND(INDEX(工程マスタ!$I$5:$I$154,$A100)="○",$E100&gt;=AE$3,$E100&lt;=AE$3+6),"▼",IF(AND($E100&gt;=AE$3,$E100&lt;=AE$3+6),$A100,"")))</f>
        <v/>
      </c>
      <c r="AF100" s="47" t="str">
        <f aca="false">IF($A100="","",IF(AND(INDEX(工程マスタ!$I$5:$I$154,$A100)="○",$E100&gt;=AF$3,$E100&lt;=AF$3+6),"▼",IF(AND($E100&gt;=AF$3,$E100&lt;=AF$3+6),$A100,"")))</f>
        <v/>
      </c>
      <c r="AG100" s="47" t="str">
        <f aca="false">IF($A100="","",IF(AND(INDEX(工程マスタ!$I$5:$I$154,$A100)="○",$E100&gt;=AG$3,$E100&lt;=AG$3+6),"▼",IF(AND($E100&gt;=AG$3,$E100&lt;=AG$3+6),$A100,"")))</f>
        <v/>
      </c>
      <c r="AH100" s="47" t="str">
        <f aca="false">IF($A100="","",IF(AND(INDEX(工程マスタ!$I$5:$I$154,$A100)="○",$E100&gt;=AH$3,$E100&lt;=AH$3+6),"▼",IF(AND($E100&gt;=AH$3,$E100&lt;=AH$3+6),$A100,"")))</f>
        <v/>
      </c>
      <c r="AI100" s="47" t="str">
        <f aca="false">IF($A100="","",IF(AND(INDEX(工程マスタ!$I$5:$I$154,$A100)="○",$E100&gt;=AI$3,$E100&lt;=AI$3+6),"▼",IF(AND($E100&gt;=AI$3,$E100&lt;=AI$3+6),$A100,"")))</f>
        <v/>
      </c>
      <c r="AJ100" s="47" t="str">
        <f aca="false">IF($A100="","",IF(AND(INDEX(工程マスタ!$I$5:$I$154,$A100)="○",$E100&gt;=AJ$3,$E100&lt;=AJ$3+6),"▼",IF(AND($E100&gt;=AJ$3,$E100&lt;=AJ$3+6),$A100,"")))</f>
        <v/>
      </c>
      <c r="AK100" s="47" t="str">
        <f aca="false">IF($A100="","",IF(AND(INDEX(工程マスタ!$I$5:$I$154,$A100)="○",$E100&gt;=AK$3,$E100&lt;=AK$3+6),"▼",IF(AND($E100&gt;=AK$3,$E100&lt;=AK$3+6),$A100,"")))</f>
        <v/>
      </c>
      <c r="AL100" s="47" t="str">
        <f aca="false">IF($A100="","",IF(AND(INDEX(工程マスタ!$I$5:$I$154,$A100)="○",$E100&gt;=AL$3,$E100&lt;=AL$3+6),"▼",IF(AND($E100&gt;=AL$3,$E100&lt;=AL$3+6),$A100,"")))</f>
        <v/>
      </c>
      <c r="AM100" s="47" t="str">
        <f aca="false">IF($A100="","",IF(AND(INDEX(工程マスタ!$I$5:$I$154,$A100)="○",$E100&gt;=AM$3,$E100&lt;=AM$3+6),"▼",IF(AND($E100&gt;=AM$3,$E100&lt;=AM$3+6),$A100,"")))</f>
        <v/>
      </c>
      <c r="AN100" s="47" t="str">
        <f aca="false">IF($A100="","",IF(AND(INDEX(工程マスタ!$I$5:$I$154,$A100)="○",$E100&gt;=AN$3,$E100&lt;=AN$3+6),"▼",IF(AND($E100&gt;=AN$3,$E100&lt;=AN$3+6),$A100,"")))</f>
        <v/>
      </c>
      <c r="AO100" s="47" t="str">
        <f aca="false">IF($A100="","",IF(AND(INDEX(工程マスタ!$I$5:$I$154,$A100)="○",$E100&gt;=AO$3,$E100&lt;=AO$3+6),"▼",IF(AND($E100&gt;=AO$3,$E100&lt;=AO$3+6),$A100,"")))</f>
        <v/>
      </c>
      <c r="AP100" s="47" t="str">
        <f aca="false">IF($A100="","",IF(AND(INDEX(工程マスタ!$I$5:$I$154,$A100)="○",$E100&gt;=AP$3,$E100&lt;=AP$3+6),"▼",IF(AND($E100&gt;=AP$3,$E100&lt;=AP$3+6),$A100,"")))</f>
        <v/>
      </c>
      <c r="AQ100" s="47" t="str">
        <f aca="false">IF($A100="","",IF(AND(INDEX(工程マスタ!$I$5:$I$154,$A100)="○",$E100&gt;=AQ$3,$E100&lt;=AQ$3+6),"▼",IF(AND($E100&gt;=AQ$3,$E100&lt;=AQ$3+6),$A100,"")))</f>
        <v/>
      </c>
      <c r="AR100" s="47" t="str">
        <f aca="false">IF($A100="","",IF(AND(INDEX(工程マスタ!$I$5:$I$154,$A100)="○",$E100&gt;=AR$3,$E100&lt;=AR$3+6),"▼",IF(AND($E100&gt;=AR$3,$E100&lt;=AR$3+6),$A100,"")))</f>
        <v/>
      </c>
      <c r="AS100" s="47" t="str">
        <f aca="false">IF($A100="","",IF(AND(INDEX(工程マスタ!$I$5:$I$154,$A100)="○",$E100&gt;=AS$3,$E100&lt;=AS$3+6),"▼",IF(AND($E100&gt;=AS$3,$E100&lt;=AS$3+6),$A100,"")))</f>
        <v/>
      </c>
      <c r="AT100" s="47" t="str">
        <f aca="false">IF($A100="","",IF(AND(INDEX(工程マスタ!$I$5:$I$154,$A100)="○",$E100&gt;=AT$3,$E100&lt;=AT$3+6),"▼",IF(AND($E100&gt;=AT$3,$E100&lt;=AT$3+6),$A100,"")))</f>
        <v/>
      </c>
      <c r="AU100" s="47" t="str">
        <f aca="false">IF($A100="","",IF(AND(INDEX(工程マスタ!$I$5:$I$154,$A100)="○",$E100&gt;=AU$3,$E100&lt;=AU$3+6),"▼",IF(AND($E100&gt;=AU$3,$E100&lt;=AU$3+6),$A100,"")))</f>
        <v/>
      </c>
      <c r="AV100" s="47" t="str">
        <f aca="false">IF($A100="","",IF(AND(INDEX(工程マスタ!$I$5:$I$154,$A100)="○",$E100&gt;=AV$3,$E100&lt;=AV$3+6),"▼",IF(AND($E100&gt;=AV$3,$E100&lt;=AV$3+6),$A100,"")))</f>
        <v/>
      </c>
      <c r="AW100" s="47" t="str">
        <f aca="false">IF($A100="","",IF(AND(INDEX(工程マスタ!$I$5:$I$154,$A100)="○",$E100&gt;=AW$3,$E100&lt;=AW$3+6),"▼",IF(AND($E100&gt;=AW$3,$E100&lt;=AW$3+6),$A100,"")))</f>
        <v/>
      </c>
      <c r="AX100" s="47" t="str">
        <f aca="false">IF($A100="","",IF(AND(INDEX(工程マスタ!$I$5:$I$154,$A100)="○",$E100&gt;=AX$3,$E100&lt;=AX$3+6),"▼",IF(AND($E100&gt;=AX$3,$E100&lt;=AX$3+6),$A100,"")))</f>
        <v/>
      </c>
      <c r="AY100" s="47" t="str">
        <f aca="false">IF($A100="","",IF(AND(INDEX(工程マスタ!$I$5:$I$154,$A100)="○",$E100&gt;=AY$3,$E100&lt;=AY$3+6),"▼",IF(AND($E100&gt;=AY$3,$E100&lt;=AY$3+6),$A100,"")))</f>
        <v/>
      </c>
      <c r="AZ100" s="47" t="str">
        <f aca="false">IF($A100="","",IF(AND(INDEX(工程マスタ!$I$5:$I$154,$A100)="○",$E100&gt;=AZ$3,$E100&lt;=AZ$3+6),"▼",IF(AND($E100&gt;=AZ$3,$E100&lt;=AZ$3+6),$A100,"")))</f>
        <v/>
      </c>
      <c r="BA100" s="47" t="str">
        <f aca="false">IF($A100="","",IF(AND(INDEX(工程マスタ!$I$5:$I$154,$A100)="○",$E100&gt;=BA$3,$E100&lt;=BA$3+6),"▼",IF(AND($E100&gt;=BA$3,$E100&lt;=BA$3+6),$A100,"")))</f>
        <v/>
      </c>
      <c r="BB100" s="47" t="str">
        <f aca="false">IF($A100="","",IF(AND(INDEX(工程マスタ!$I$5:$I$154,$A100)="○",$E100&gt;=BB$3,$E100&lt;=BB$3+6),"▼",IF(AND($E100&gt;=BB$3,$E100&lt;=BB$3+6),$A100,"")))</f>
        <v/>
      </c>
      <c r="BC100" s="47" t="str">
        <f aca="false">IF($A100="","",IF(AND(INDEX(工程マスタ!$I$5:$I$154,$A100)="○",$E100&gt;=BC$3,$E100&lt;=BC$3+6),"▼",IF(AND($E100&gt;=BC$3,$E100&lt;=BC$3+6),$A100,"")))</f>
        <v/>
      </c>
      <c r="BD100" s="47" t="str">
        <f aca="false">IF($A100="","",IF(AND(INDEX(工程マスタ!$I$5:$I$154,$A100)="○",$E100&gt;=BD$3,$E100&lt;=BD$3+6),"▼",IF(AND($E100&gt;=BD$3,$E100&lt;=BD$3+6),$A100,"")))</f>
        <v/>
      </c>
      <c r="BE100" s="47" t="str">
        <f aca="false">IF($A100="","",IF(AND(INDEX(工程マスタ!$I$5:$I$154,$A100)="○",$E100&gt;=BE$3,$E100&lt;=BE$3+6),"▼",IF(AND($E100&gt;=BE$3,$E100&lt;=BE$3+6),$A100,"")))</f>
        <v/>
      </c>
      <c r="BF100" s="47" t="str">
        <f aca="false">IF($A100="","",IF(AND(INDEX(工程マスタ!$I$5:$I$154,$A100)="○",$E100&gt;=BF$3,$E100&lt;=BF$3+6),"▼",IF(AND($E100&gt;=BF$3,$E100&lt;=BF$3+6),$A100,"")))</f>
        <v/>
      </c>
      <c r="BG100" s="47" t="str">
        <f aca="false">IF($A100="","",IF(AND(INDEX(工程マスタ!$I$5:$I$154,$A100)="○",$E100&gt;=BG$3,$E100&lt;=BG$3+6),"▼",IF(AND($E100&gt;=BG$3,$E100&lt;=BG$3+6),$A100,"")))</f>
        <v/>
      </c>
      <c r="BH100" s="47" t="str">
        <f aca="false">IF($A100="","",IF(AND(INDEX(工程マスタ!$I$5:$I$154,$A100)="○",$E100&gt;=BH$3,$E100&lt;=BH$3+6),"▼",IF(AND($E100&gt;=BH$3,$E100&lt;=BH$3+6),$A100,"")))</f>
        <v/>
      </c>
      <c r="BI100" s="47" t="str">
        <f aca="false">IF($A100="","",IF(AND(INDEX(工程マスタ!$I$5:$I$154,$A100)="○",$E100&gt;=BI$3,$E100&lt;=BI$3+6),"▼",IF(AND($E100&gt;=BI$3,$E100&lt;=BI$3+6),$A100,"")))</f>
        <v/>
      </c>
      <c r="BJ100" s="47" t="str">
        <f aca="false">IF($A100="","",IF(AND(INDEX(工程マスタ!$I$5:$I$154,$A100)="○",$E100&gt;=BJ$3,$E100&lt;=BJ$3+6),"▼",IF(AND($E100&gt;=BJ$3,$E100&lt;=BJ$3+6),$A100,"")))</f>
        <v/>
      </c>
    </row>
    <row r="101" customFormat="false" ht="15" hidden="false" customHeight="false" outlineLevel="0" collapsed="false">
      <c r="A101" s="28" t="str">
        <f aca="false">IF(工程マスタ!$C99="","",工程マスタ!$A99)</f>
        <v/>
      </c>
      <c r="B101" s="46" t="str">
        <f aca="false">IF($A101="","",工程マスタ!$C99)</f>
        <v/>
      </c>
      <c r="C101" s="28" t="str">
        <f aca="false">IF($A101="","",MAX(1,工程マスタ!$G99))</f>
        <v/>
      </c>
      <c r="D101" s="28" t="str">
        <f aca="false">IF($A101="","",_xlfn.TEXTJOIN(",",TRUE(),工程マスタ!$N99:$P99))</f>
        <v/>
      </c>
      <c r="E101" s="29" t="str">
        <f aca="false">IF($A101="","",IF(COUNT(工程マスタ!$N99:$P99)=0,設定!$B$8,MAX(IF(工程マスタ!$N99="",0,INDEX($F$7:$F$156,工程マスタ!$N99)),IF(工程マスタ!$O99="",0,INDEX($F$7:$F$156,工程マスタ!$O99)),IF(工程マスタ!$P99="",0,INDEX($F$7:$F$156,工程マスタ!$P99)))+1))</f>
        <v/>
      </c>
      <c r="F101" s="29" t="str">
        <f aca="false">IF($A101="","",$E101+$C101-1)</f>
        <v/>
      </c>
      <c r="G101" s="29" t="str">
        <f aca="false">IF($A101="","",$H101-$C101+1)</f>
        <v/>
      </c>
      <c r="H101" s="29" t="str">
        <f aca="false" t="array" ref="H101:H101">IF($A101="","",IF(SUMPRODUCT((工程マスタ!$N$100:$N$154=$A101)*1)+SUMPRODUCT((工程マスタ!$O$100:$O$154=$A101)*1)+SUMPRODUCT((工程マスタ!$P$100:$P$154=$A101)*1)=0,MAX($F$7:$F$156),MIN(IF((工程マスタ!$N$100:$N$154=$A101)+(工程マスタ!$O$100:$O$154=$A101)+(工程マスタ!$P$100:$P$154=$A101),$G102:$G$156))-1))</f>
        <v/>
      </c>
      <c r="I101" s="28" t="str">
        <f aca="false">IF($A101="","",$G101-$E101)</f>
        <v/>
      </c>
      <c r="J101" s="28" t="str">
        <f aca="false">IF($A101="","",IF($I101&lt;=0,"●",""))</f>
        <v/>
      </c>
      <c r="K101" s="47" t="str">
        <f aca="false">IF($A101="","",IF(AND(INDEX(工程マスタ!$I$5:$I$154,$A101)="○",$E101&gt;=K$3,$E101&lt;=K$3+6),"▼",IF(AND($E101&gt;=K$3,$E101&lt;=K$3+6),$A101,"")))</f>
        <v/>
      </c>
      <c r="L101" s="47" t="str">
        <f aca="false">IF($A101="","",IF(AND(INDEX(工程マスタ!$I$5:$I$154,$A101)="○",$E101&gt;=L$3,$E101&lt;=L$3+6),"▼",IF(AND($E101&gt;=L$3,$E101&lt;=L$3+6),$A101,"")))</f>
        <v/>
      </c>
      <c r="M101" s="47" t="str">
        <f aca="false">IF($A101="","",IF(AND(INDEX(工程マスタ!$I$5:$I$154,$A101)="○",$E101&gt;=M$3,$E101&lt;=M$3+6),"▼",IF(AND($E101&gt;=M$3,$E101&lt;=M$3+6),$A101,"")))</f>
        <v/>
      </c>
      <c r="N101" s="47" t="str">
        <f aca="false">IF($A101="","",IF(AND(INDEX(工程マスタ!$I$5:$I$154,$A101)="○",$E101&gt;=N$3,$E101&lt;=N$3+6),"▼",IF(AND($E101&gt;=N$3,$E101&lt;=N$3+6),$A101,"")))</f>
        <v/>
      </c>
      <c r="O101" s="47" t="str">
        <f aca="false">IF($A101="","",IF(AND(INDEX(工程マスタ!$I$5:$I$154,$A101)="○",$E101&gt;=O$3,$E101&lt;=O$3+6),"▼",IF(AND($E101&gt;=O$3,$E101&lt;=O$3+6),$A101,"")))</f>
        <v/>
      </c>
      <c r="P101" s="47" t="str">
        <f aca="false">IF($A101="","",IF(AND(INDEX(工程マスタ!$I$5:$I$154,$A101)="○",$E101&gt;=P$3,$E101&lt;=P$3+6),"▼",IF(AND($E101&gt;=P$3,$E101&lt;=P$3+6),$A101,"")))</f>
        <v/>
      </c>
      <c r="Q101" s="47" t="str">
        <f aca="false">IF($A101="","",IF(AND(INDEX(工程マスタ!$I$5:$I$154,$A101)="○",$E101&gt;=Q$3,$E101&lt;=Q$3+6),"▼",IF(AND($E101&gt;=Q$3,$E101&lt;=Q$3+6),$A101,"")))</f>
        <v/>
      </c>
      <c r="R101" s="47" t="str">
        <f aca="false">IF($A101="","",IF(AND(INDEX(工程マスタ!$I$5:$I$154,$A101)="○",$E101&gt;=R$3,$E101&lt;=R$3+6),"▼",IF(AND($E101&gt;=R$3,$E101&lt;=R$3+6),$A101,"")))</f>
        <v/>
      </c>
      <c r="S101" s="47" t="str">
        <f aca="false">IF($A101="","",IF(AND(INDEX(工程マスタ!$I$5:$I$154,$A101)="○",$E101&gt;=S$3,$E101&lt;=S$3+6),"▼",IF(AND($E101&gt;=S$3,$E101&lt;=S$3+6),$A101,"")))</f>
        <v/>
      </c>
      <c r="T101" s="47" t="str">
        <f aca="false">IF($A101="","",IF(AND(INDEX(工程マスタ!$I$5:$I$154,$A101)="○",$E101&gt;=T$3,$E101&lt;=T$3+6),"▼",IF(AND($E101&gt;=T$3,$E101&lt;=T$3+6),$A101,"")))</f>
        <v/>
      </c>
      <c r="U101" s="47" t="str">
        <f aca="false">IF($A101="","",IF(AND(INDEX(工程マスタ!$I$5:$I$154,$A101)="○",$E101&gt;=U$3,$E101&lt;=U$3+6),"▼",IF(AND($E101&gt;=U$3,$E101&lt;=U$3+6),$A101,"")))</f>
        <v/>
      </c>
      <c r="V101" s="47" t="str">
        <f aca="false">IF($A101="","",IF(AND(INDEX(工程マスタ!$I$5:$I$154,$A101)="○",$E101&gt;=V$3,$E101&lt;=V$3+6),"▼",IF(AND($E101&gt;=V$3,$E101&lt;=V$3+6),$A101,"")))</f>
        <v/>
      </c>
      <c r="W101" s="47" t="str">
        <f aca="false">IF($A101="","",IF(AND(INDEX(工程マスタ!$I$5:$I$154,$A101)="○",$E101&gt;=W$3,$E101&lt;=W$3+6),"▼",IF(AND($E101&gt;=W$3,$E101&lt;=W$3+6),$A101,"")))</f>
        <v/>
      </c>
      <c r="X101" s="47" t="str">
        <f aca="false">IF($A101="","",IF(AND(INDEX(工程マスタ!$I$5:$I$154,$A101)="○",$E101&gt;=X$3,$E101&lt;=X$3+6),"▼",IF(AND($E101&gt;=X$3,$E101&lt;=X$3+6),$A101,"")))</f>
        <v/>
      </c>
      <c r="Y101" s="47" t="str">
        <f aca="false">IF($A101="","",IF(AND(INDEX(工程マスタ!$I$5:$I$154,$A101)="○",$E101&gt;=Y$3,$E101&lt;=Y$3+6),"▼",IF(AND($E101&gt;=Y$3,$E101&lt;=Y$3+6),$A101,"")))</f>
        <v/>
      </c>
      <c r="Z101" s="47" t="str">
        <f aca="false">IF($A101="","",IF(AND(INDEX(工程マスタ!$I$5:$I$154,$A101)="○",$E101&gt;=Z$3,$E101&lt;=Z$3+6),"▼",IF(AND($E101&gt;=Z$3,$E101&lt;=Z$3+6),$A101,"")))</f>
        <v/>
      </c>
      <c r="AA101" s="47" t="str">
        <f aca="false">IF($A101="","",IF(AND(INDEX(工程マスタ!$I$5:$I$154,$A101)="○",$E101&gt;=AA$3,$E101&lt;=AA$3+6),"▼",IF(AND($E101&gt;=AA$3,$E101&lt;=AA$3+6),$A101,"")))</f>
        <v/>
      </c>
      <c r="AB101" s="47" t="str">
        <f aca="false">IF($A101="","",IF(AND(INDEX(工程マスタ!$I$5:$I$154,$A101)="○",$E101&gt;=AB$3,$E101&lt;=AB$3+6),"▼",IF(AND($E101&gt;=AB$3,$E101&lt;=AB$3+6),$A101,"")))</f>
        <v/>
      </c>
      <c r="AC101" s="47" t="str">
        <f aca="false">IF($A101="","",IF(AND(INDEX(工程マスタ!$I$5:$I$154,$A101)="○",$E101&gt;=AC$3,$E101&lt;=AC$3+6),"▼",IF(AND($E101&gt;=AC$3,$E101&lt;=AC$3+6),$A101,"")))</f>
        <v/>
      </c>
      <c r="AD101" s="47" t="str">
        <f aca="false">IF($A101="","",IF(AND(INDEX(工程マスタ!$I$5:$I$154,$A101)="○",$E101&gt;=AD$3,$E101&lt;=AD$3+6),"▼",IF(AND($E101&gt;=AD$3,$E101&lt;=AD$3+6),$A101,"")))</f>
        <v/>
      </c>
      <c r="AE101" s="47" t="str">
        <f aca="false">IF($A101="","",IF(AND(INDEX(工程マスタ!$I$5:$I$154,$A101)="○",$E101&gt;=AE$3,$E101&lt;=AE$3+6),"▼",IF(AND($E101&gt;=AE$3,$E101&lt;=AE$3+6),$A101,"")))</f>
        <v/>
      </c>
      <c r="AF101" s="47" t="str">
        <f aca="false">IF($A101="","",IF(AND(INDEX(工程マスタ!$I$5:$I$154,$A101)="○",$E101&gt;=AF$3,$E101&lt;=AF$3+6),"▼",IF(AND($E101&gt;=AF$3,$E101&lt;=AF$3+6),$A101,"")))</f>
        <v/>
      </c>
      <c r="AG101" s="47" t="str">
        <f aca="false">IF($A101="","",IF(AND(INDEX(工程マスタ!$I$5:$I$154,$A101)="○",$E101&gt;=AG$3,$E101&lt;=AG$3+6),"▼",IF(AND($E101&gt;=AG$3,$E101&lt;=AG$3+6),$A101,"")))</f>
        <v/>
      </c>
      <c r="AH101" s="47" t="str">
        <f aca="false">IF($A101="","",IF(AND(INDEX(工程マスタ!$I$5:$I$154,$A101)="○",$E101&gt;=AH$3,$E101&lt;=AH$3+6),"▼",IF(AND($E101&gt;=AH$3,$E101&lt;=AH$3+6),$A101,"")))</f>
        <v/>
      </c>
      <c r="AI101" s="47" t="str">
        <f aca="false">IF($A101="","",IF(AND(INDEX(工程マスタ!$I$5:$I$154,$A101)="○",$E101&gt;=AI$3,$E101&lt;=AI$3+6),"▼",IF(AND($E101&gt;=AI$3,$E101&lt;=AI$3+6),$A101,"")))</f>
        <v/>
      </c>
      <c r="AJ101" s="47" t="str">
        <f aca="false">IF($A101="","",IF(AND(INDEX(工程マスタ!$I$5:$I$154,$A101)="○",$E101&gt;=AJ$3,$E101&lt;=AJ$3+6),"▼",IF(AND($E101&gt;=AJ$3,$E101&lt;=AJ$3+6),$A101,"")))</f>
        <v/>
      </c>
      <c r="AK101" s="47" t="str">
        <f aca="false">IF($A101="","",IF(AND(INDEX(工程マスタ!$I$5:$I$154,$A101)="○",$E101&gt;=AK$3,$E101&lt;=AK$3+6),"▼",IF(AND($E101&gt;=AK$3,$E101&lt;=AK$3+6),$A101,"")))</f>
        <v/>
      </c>
      <c r="AL101" s="47" t="str">
        <f aca="false">IF($A101="","",IF(AND(INDEX(工程マスタ!$I$5:$I$154,$A101)="○",$E101&gt;=AL$3,$E101&lt;=AL$3+6),"▼",IF(AND($E101&gt;=AL$3,$E101&lt;=AL$3+6),$A101,"")))</f>
        <v/>
      </c>
      <c r="AM101" s="47" t="str">
        <f aca="false">IF($A101="","",IF(AND(INDEX(工程マスタ!$I$5:$I$154,$A101)="○",$E101&gt;=AM$3,$E101&lt;=AM$3+6),"▼",IF(AND($E101&gt;=AM$3,$E101&lt;=AM$3+6),$A101,"")))</f>
        <v/>
      </c>
      <c r="AN101" s="47" t="str">
        <f aca="false">IF($A101="","",IF(AND(INDEX(工程マスタ!$I$5:$I$154,$A101)="○",$E101&gt;=AN$3,$E101&lt;=AN$3+6),"▼",IF(AND($E101&gt;=AN$3,$E101&lt;=AN$3+6),$A101,"")))</f>
        <v/>
      </c>
      <c r="AO101" s="47" t="str">
        <f aca="false">IF($A101="","",IF(AND(INDEX(工程マスタ!$I$5:$I$154,$A101)="○",$E101&gt;=AO$3,$E101&lt;=AO$3+6),"▼",IF(AND($E101&gt;=AO$3,$E101&lt;=AO$3+6),$A101,"")))</f>
        <v/>
      </c>
      <c r="AP101" s="47" t="str">
        <f aca="false">IF($A101="","",IF(AND(INDEX(工程マスタ!$I$5:$I$154,$A101)="○",$E101&gt;=AP$3,$E101&lt;=AP$3+6),"▼",IF(AND($E101&gt;=AP$3,$E101&lt;=AP$3+6),$A101,"")))</f>
        <v/>
      </c>
      <c r="AQ101" s="47" t="str">
        <f aca="false">IF($A101="","",IF(AND(INDEX(工程マスタ!$I$5:$I$154,$A101)="○",$E101&gt;=AQ$3,$E101&lt;=AQ$3+6),"▼",IF(AND($E101&gt;=AQ$3,$E101&lt;=AQ$3+6),$A101,"")))</f>
        <v/>
      </c>
      <c r="AR101" s="47" t="str">
        <f aca="false">IF($A101="","",IF(AND(INDEX(工程マスタ!$I$5:$I$154,$A101)="○",$E101&gt;=AR$3,$E101&lt;=AR$3+6),"▼",IF(AND($E101&gt;=AR$3,$E101&lt;=AR$3+6),$A101,"")))</f>
        <v/>
      </c>
      <c r="AS101" s="47" t="str">
        <f aca="false">IF($A101="","",IF(AND(INDEX(工程マスタ!$I$5:$I$154,$A101)="○",$E101&gt;=AS$3,$E101&lt;=AS$3+6),"▼",IF(AND($E101&gt;=AS$3,$E101&lt;=AS$3+6),$A101,"")))</f>
        <v/>
      </c>
      <c r="AT101" s="47" t="str">
        <f aca="false">IF($A101="","",IF(AND(INDEX(工程マスタ!$I$5:$I$154,$A101)="○",$E101&gt;=AT$3,$E101&lt;=AT$3+6),"▼",IF(AND($E101&gt;=AT$3,$E101&lt;=AT$3+6),$A101,"")))</f>
        <v/>
      </c>
      <c r="AU101" s="47" t="str">
        <f aca="false">IF($A101="","",IF(AND(INDEX(工程マスタ!$I$5:$I$154,$A101)="○",$E101&gt;=AU$3,$E101&lt;=AU$3+6),"▼",IF(AND($E101&gt;=AU$3,$E101&lt;=AU$3+6),$A101,"")))</f>
        <v/>
      </c>
      <c r="AV101" s="47" t="str">
        <f aca="false">IF($A101="","",IF(AND(INDEX(工程マスタ!$I$5:$I$154,$A101)="○",$E101&gt;=AV$3,$E101&lt;=AV$3+6),"▼",IF(AND($E101&gt;=AV$3,$E101&lt;=AV$3+6),$A101,"")))</f>
        <v/>
      </c>
      <c r="AW101" s="47" t="str">
        <f aca="false">IF($A101="","",IF(AND(INDEX(工程マスタ!$I$5:$I$154,$A101)="○",$E101&gt;=AW$3,$E101&lt;=AW$3+6),"▼",IF(AND($E101&gt;=AW$3,$E101&lt;=AW$3+6),$A101,"")))</f>
        <v/>
      </c>
      <c r="AX101" s="47" t="str">
        <f aca="false">IF($A101="","",IF(AND(INDEX(工程マスタ!$I$5:$I$154,$A101)="○",$E101&gt;=AX$3,$E101&lt;=AX$3+6),"▼",IF(AND($E101&gt;=AX$3,$E101&lt;=AX$3+6),$A101,"")))</f>
        <v/>
      </c>
      <c r="AY101" s="47" t="str">
        <f aca="false">IF($A101="","",IF(AND(INDEX(工程マスタ!$I$5:$I$154,$A101)="○",$E101&gt;=AY$3,$E101&lt;=AY$3+6),"▼",IF(AND($E101&gt;=AY$3,$E101&lt;=AY$3+6),$A101,"")))</f>
        <v/>
      </c>
      <c r="AZ101" s="47" t="str">
        <f aca="false">IF($A101="","",IF(AND(INDEX(工程マスタ!$I$5:$I$154,$A101)="○",$E101&gt;=AZ$3,$E101&lt;=AZ$3+6),"▼",IF(AND($E101&gt;=AZ$3,$E101&lt;=AZ$3+6),$A101,"")))</f>
        <v/>
      </c>
      <c r="BA101" s="47" t="str">
        <f aca="false">IF($A101="","",IF(AND(INDEX(工程マスタ!$I$5:$I$154,$A101)="○",$E101&gt;=BA$3,$E101&lt;=BA$3+6),"▼",IF(AND($E101&gt;=BA$3,$E101&lt;=BA$3+6),$A101,"")))</f>
        <v/>
      </c>
      <c r="BB101" s="47" t="str">
        <f aca="false">IF($A101="","",IF(AND(INDEX(工程マスタ!$I$5:$I$154,$A101)="○",$E101&gt;=BB$3,$E101&lt;=BB$3+6),"▼",IF(AND($E101&gt;=BB$3,$E101&lt;=BB$3+6),$A101,"")))</f>
        <v/>
      </c>
      <c r="BC101" s="47" t="str">
        <f aca="false">IF($A101="","",IF(AND(INDEX(工程マスタ!$I$5:$I$154,$A101)="○",$E101&gt;=BC$3,$E101&lt;=BC$3+6),"▼",IF(AND($E101&gt;=BC$3,$E101&lt;=BC$3+6),$A101,"")))</f>
        <v/>
      </c>
      <c r="BD101" s="47" t="str">
        <f aca="false">IF($A101="","",IF(AND(INDEX(工程マスタ!$I$5:$I$154,$A101)="○",$E101&gt;=BD$3,$E101&lt;=BD$3+6),"▼",IF(AND($E101&gt;=BD$3,$E101&lt;=BD$3+6),$A101,"")))</f>
        <v/>
      </c>
      <c r="BE101" s="47" t="str">
        <f aca="false">IF($A101="","",IF(AND(INDEX(工程マスタ!$I$5:$I$154,$A101)="○",$E101&gt;=BE$3,$E101&lt;=BE$3+6),"▼",IF(AND($E101&gt;=BE$3,$E101&lt;=BE$3+6),$A101,"")))</f>
        <v/>
      </c>
      <c r="BF101" s="47" t="str">
        <f aca="false">IF($A101="","",IF(AND(INDEX(工程マスタ!$I$5:$I$154,$A101)="○",$E101&gt;=BF$3,$E101&lt;=BF$3+6),"▼",IF(AND($E101&gt;=BF$3,$E101&lt;=BF$3+6),$A101,"")))</f>
        <v/>
      </c>
      <c r="BG101" s="47" t="str">
        <f aca="false">IF($A101="","",IF(AND(INDEX(工程マスタ!$I$5:$I$154,$A101)="○",$E101&gt;=BG$3,$E101&lt;=BG$3+6),"▼",IF(AND($E101&gt;=BG$3,$E101&lt;=BG$3+6),$A101,"")))</f>
        <v/>
      </c>
      <c r="BH101" s="47" t="str">
        <f aca="false">IF($A101="","",IF(AND(INDEX(工程マスタ!$I$5:$I$154,$A101)="○",$E101&gt;=BH$3,$E101&lt;=BH$3+6),"▼",IF(AND($E101&gt;=BH$3,$E101&lt;=BH$3+6),$A101,"")))</f>
        <v/>
      </c>
      <c r="BI101" s="47" t="str">
        <f aca="false">IF($A101="","",IF(AND(INDEX(工程マスタ!$I$5:$I$154,$A101)="○",$E101&gt;=BI$3,$E101&lt;=BI$3+6),"▼",IF(AND($E101&gt;=BI$3,$E101&lt;=BI$3+6),$A101,"")))</f>
        <v/>
      </c>
      <c r="BJ101" s="47" t="str">
        <f aca="false">IF($A101="","",IF(AND(INDEX(工程マスタ!$I$5:$I$154,$A101)="○",$E101&gt;=BJ$3,$E101&lt;=BJ$3+6),"▼",IF(AND($E101&gt;=BJ$3,$E101&lt;=BJ$3+6),$A101,"")))</f>
        <v/>
      </c>
    </row>
    <row r="102" customFormat="false" ht="15" hidden="false" customHeight="false" outlineLevel="0" collapsed="false">
      <c r="A102" s="28" t="str">
        <f aca="false">IF(工程マスタ!$C100="","",工程マスタ!$A100)</f>
        <v/>
      </c>
      <c r="B102" s="46" t="str">
        <f aca="false">IF($A102="","",工程マスタ!$C100)</f>
        <v/>
      </c>
      <c r="C102" s="28" t="str">
        <f aca="false">IF($A102="","",MAX(1,工程マスタ!$G100))</f>
        <v/>
      </c>
      <c r="D102" s="28" t="str">
        <f aca="false">IF($A102="","",_xlfn.TEXTJOIN(",",TRUE(),工程マスタ!$N100:$P100))</f>
        <v/>
      </c>
      <c r="E102" s="29" t="str">
        <f aca="false">IF($A102="","",IF(COUNT(工程マスタ!$N100:$P100)=0,設定!$B$8,MAX(IF(工程マスタ!$N100="",0,INDEX($F$7:$F$156,工程マスタ!$N100)),IF(工程マスタ!$O100="",0,INDEX($F$7:$F$156,工程マスタ!$O100)),IF(工程マスタ!$P100="",0,INDEX($F$7:$F$156,工程マスタ!$P100)))+1))</f>
        <v/>
      </c>
      <c r="F102" s="29" t="str">
        <f aca="false">IF($A102="","",$E102+$C102-1)</f>
        <v/>
      </c>
      <c r="G102" s="29" t="str">
        <f aca="false">IF($A102="","",$H102-$C102+1)</f>
        <v/>
      </c>
      <c r="H102" s="29" t="str">
        <f aca="false" t="array" ref="H102:H102">IF($A102="","",IF(SUMPRODUCT((工程マスタ!$N$101:$N$154=$A102)*1)+SUMPRODUCT((工程マスタ!$O$101:$O$154=$A102)*1)+SUMPRODUCT((工程マスタ!$P$101:$P$154=$A102)*1)=0,MAX($F$7:$F$156),MIN(IF((工程マスタ!$N$101:$N$154=$A102)+(工程マスタ!$O$101:$O$154=$A102)+(工程マスタ!$P$101:$P$154=$A102),$G103:$G$156))-1))</f>
        <v/>
      </c>
      <c r="I102" s="28" t="str">
        <f aca="false">IF($A102="","",$G102-$E102)</f>
        <v/>
      </c>
      <c r="J102" s="28" t="str">
        <f aca="false">IF($A102="","",IF($I102&lt;=0,"●",""))</f>
        <v/>
      </c>
      <c r="K102" s="47" t="str">
        <f aca="false">IF($A102="","",IF(AND(INDEX(工程マスタ!$I$5:$I$154,$A102)="○",$E102&gt;=K$3,$E102&lt;=K$3+6),"▼",IF(AND($E102&gt;=K$3,$E102&lt;=K$3+6),$A102,"")))</f>
        <v/>
      </c>
      <c r="L102" s="47" t="str">
        <f aca="false">IF($A102="","",IF(AND(INDEX(工程マスタ!$I$5:$I$154,$A102)="○",$E102&gt;=L$3,$E102&lt;=L$3+6),"▼",IF(AND($E102&gt;=L$3,$E102&lt;=L$3+6),$A102,"")))</f>
        <v/>
      </c>
      <c r="M102" s="47" t="str">
        <f aca="false">IF($A102="","",IF(AND(INDEX(工程マスタ!$I$5:$I$154,$A102)="○",$E102&gt;=M$3,$E102&lt;=M$3+6),"▼",IF(AND($E102&gt;=M$3,$E102&lt;=M$3+6),$A102,"")))</f>
        <v/>
      </c>
      <c r="N102" s="47" t="str">
        <f aca="false">IF($A102="","",IF(AND(INDEX(工程マスタ!$I$5:$I$154,$A102)="○",$E102&gt;=N$3,$E102&lt;=N$3+6),"▼",IF(AND($E102&gt;=N$3,$E102&lt;=N$3+6),$A102,"")))</f>
        <v/>
      </c>
      <c r="O102" s="47" t="str">
        <f aca="false">IF($A102="","",IF(AND(INDEX(工程マスタ!$I$5:$I$154,$A102)="○",$E102&gt;=O$3,$E102&lt;=O$3+6),"▼",IF(AND($E102&gt;=O$3,$E102&lt;=O$3+6),$A102,"")))</f>
        <v/>
      </c>
      <c r="P102" s="47" t="str">
        <f aca="false">IF($A102="","",IF(AND(INDEX(工程マスタ!$I$5:$I$154,$A102)="○",$E102&gt;=P$3,$E102&lt;=P$3+6),"▼",IF(AND($E102&gt;=P$3,$E102&lt;=P$3+6),$A102,"")))</f>
        <v/>
      </c>
      <c r="Q102" s="47" t="str">
        <f aca="false">IF($A102="","",IF(AND(INDEX(工程マスタ!$I$5:$I$154,$A102)="○",$E102&gt;=Q$3,$E102&lt;=Q$3+6),"▼",IF(AND($E102&gt;=Q$3,$E102&lt;=Q$3+6),$A102,"")))</f>
        <v/>
      </c>
      <c r="R102" s="47" t="str">
        <f aca="false">IF($A102="","",IF(AND(INDEX(工程マスタ!$I$5:$I$154,$A102)="○",$E102&gt;=R$3,$E102&lt;=R$3+6),"▼",IF(AND($E102&gt;=R$3,$E102&lt;=R$3+6),$A102,"")))</f>
        <v/>
      </c>
      <c r="S102" s="47" t="str">
        <f aca="false">IF($A102="","",IF(AND(INDEX(工程マスタ!$I$5:$I$154,$A102)="○",$E102&gt;=S$3,$E102&lt;=S$3+6),"▼",IF(AND($E102&gt;=S$3,$E102&lt;=S$3+6),$A102,"")))</f>
        <v/>
      </c>
      <c r="T102" s="47" t="str">
        <f aca="false">IF($A102="","",IF(AND(INDEX(工程マスタ!$I$5:$I$154,$A102)="○",$E102&gt;=T$3,$E102&lt;=T$3+6),"▼",IF(AND($E102&gt;=T$3,$E102&lt;=T$3+6),$A102,"")))</f>
        <v/>
      </c>
      <c r="U102" s="47" t="str">
        <f aca="false">IF($A102="","",IF(AND(INDEX(工程マスタ!$I$5:$I$154,$A102)="○",$E102&gt;=U$3,$E102&lt;=U$3+6),"▼",IF(AND($E102&gt;=U$3,$E102&lt;=U$3+6),$A102,"")))</f>
        <v/>
      </c>
      <c r="V102" s="47" t="str">
        <f aca="false">IF($A102="","",IF(AND(INDEX(工程マスタ!$I$5:$I$154,$A102)="○",$E102&gt;=V$3,$E102&lt;=V$3+6),"▼",IF(AND($E102&gt;=V$3,$E102&lt;=V$3+6),$A102,"")))</f>
        <v/>
      </c>
      <c r="W102" s="47" t="str">
        <f aca="false">IF($A102="","",IF(AND(INDEX(工程マスタ!$I$5:$I$154,$A102)="○",$E102&gt;=W$3,$E102&lt;=W$3+6),"▼",IF(AND($E102&gt;=W$3,$E102&lt;=W$3+6),$A102,"")))</f>
        <v/>
      </c>
      <c r="X102" s="47" t="str">
        <f aca="false">IF($A102="","",IF(AND(INDEX(工程マスタ!$I$5:$I$154,$A102)="○",$E102&gt;=X$3,$E102&lt;=X$3+6),"▼",IF(AND($E102&gt;=X$3,$E102&lt;=X$3+6),$A102,"")))</f>
        <v/>
      </c>
      <c r="Y102" s="47" t="str">
        <f aca="false">IF($A102="","",IF(AND(INDEX(工程マスタ!$I$5:$I$154,$A102)="○",$E102&gt;=Y$3,$E102&lt;=Y$3+6),"▼",IF(AND($E102&gt;=Y$3,$E102&lt;=Y$3+6),$A102,"")))</f>
        <v/>
      </c>
      <c r="Z102" s="47" t="str">
        <f aca="false">IF($A102="","",IF(AND(INDEX(工程マスタ!$I$5:$I$154,$A102)="○",$E102&gt;=Z$3,$E102&lt;=Z$3+6),"▼",IF(AND($E102&gt;=Z$3,$E102&lt;=Z$3+6),$A102,"")))</f>
        <v/>
      </c>
      <c r="AA102" s="47" t="str">
        <f aca="false">IF($A102="","",IF(AND(INDEX(工程マスタ!$I$5:$I$154,$A102)="○",$E102&gt;=AA$3,$E102&lt;=AA$3+6),"▼",IF(AND($E102&gt;=AA$3,$E102&lt;=AA$3+6),$A102,"")))</f>
        <v/>
      </c>
      <c r="AB102" s="47" t="str">
        <f aca="false">IF($A102="","",IF(AND(INDEX(工程マスタ!$I$5:$I$154,$A102)="○",$E102&gt;=AB$3,$E102&lt;=AB$3+6),"▼",IF(AND($E102&gt;=AB$3,$E102&lt;=AB$3+6),$A102,"")))</f>
        <v/>
      </c>
      <c r="AC102" s="47" t="str">
        <f aca="false">IF($A102="","",IF(AND(INDEX(工程マスタ!$I$5:$I$154,$A102)="○",$E102&gt;=AC$3,$E102&lt;=AC$3+6),"▼",IF(AND($E102&gt;=AC$3,$E102&lt;=AC$3+6),$A102,"")))</f>
        <v/>
      </c>
      <c r="AD102" s="47" t="str">
        <f aca="false">IF($A102="","",IF(AND(INDEX(工程マスタ!$I$5:$I$154,$A102)="○",$E102&gt;=AD$3,$E102&lt;=AD$3+6),"▼",IF(AND($E102&gt;=AD$3,$E102&lt;=AD$3+6),$A102,"")))</f>
        <v/>
      </c>
      <c r="AE102" s="47" t="str">
        <f aca="false">IF($A102="","",IF(AND(INDEX(工程マスタ!$I$5:$I$154,$A102)="○",$E102&gt;=AE$3,$E102&lt;=AE$3+6),"▼",IF(AND($E102&gt;=AE$3,$E102&lt;=AE$3+6),$A102,"")))</f>
        <v/>
      </c>
      <c r="AF102" s="47" t="str">
        <f aca="false">IF($A102="","",IF(AND(INDEX(工程マスタ!$I$5:$I$154,$A102)="○",$E102&gt;=AF$3,$E102&lt;=AF$3+6),"▼",IF(AND($E102&gt;=AF$3,$E102&lt;=AF$3+6),$A102,"")))</f>
        <v/>
      </c>
      <c r="AG102" s="47" t="str">
        <f aca="false">IF($A102="","",IF(AND(INDEX(工程マスタ!$I$5:$I$154,$A102)="○",$E102&gt;=AG$3,$E102&lt;=AG$3+6),"▼",IF(AND($E102&gt;=AG$3,$E102&lt;=AG$3+6),$A102,"")))</f>
        <v/>
      </c>
      <c r="AH102" s="47" t="str">
        <f aca="false">IF($A102="","",IF(AND(INDEX(工程マスタ!$I$5:$I$154,$A102)="○",$E102&gt;=AH$3,$E102&lt;=AH$3+6),"▼",IF(AND($E102&gt;=AH$3,$E102&lt;=AH$3+6),$A102,"")))</f>
        <v/>
      </c>
      <c r="AI102" s="47" t="str">
        <f aca="false">IF($A102="","",IF(AND(INDEX(工程マスタ!$I$5:$I$154,$A102)="○",$E102&gt;=AI$3,$E102&lt;=AI$3+6),"▼",IF(AND($E102&gt;=AI$3,$E102&lt;=AI$3+6),$A102,"")))</f>
        <v/>
      </c>
      <c r="AJ102" s="47" t="str">
        <f aca="false">IF($A102="","",IF(AND(INDEX(工程マスタ!$I$5:$I$154,$A102)="○",$E102&gt;=AJ$3,$E102&lt;=AJ$3+6),"▼",IF(AND($E102&gt;=AJ$3,$E102&lt;=AJ$3+6),$A102,"")))</f>
        <v/>
      </c>
      <c r="AK102" s="47" t="str">
        <f aca="false">IF($A102="","",IF(AND(INDEX(工程マスタ!$I$5:$I$154,$A102)="○",$E102&gt;=AK$3,$E102&lt;=AK$3+6),"▼",IF(AND($E102&gt;=AK$3,$E102&lt;=AK$3+6),$A102,"")))</f>
        <v/>
      </c>
      <c r="AL102" s="47" t="str">
        <f aca="false">IF($A102="","",IF(AND(INDEX(工程マスタ!$I$5:$I$154,$A102)="○",$E102&gt;=AL$3,$E102&lt;=AL$3+6),"▼",IF(AND($E102&gt;=AL$3,$E102&lt;=AL$3+6),$A102,"")))</f>
        <v/>
      </c>
      <c r="AM102" s="47" t="str">
        <f aca="false">IF($A102="","",IF(AND(INDEX(工程マスタ!$I$5:$I$154,$A102)="○",$E102&gt;=AM$3,$E102&lt;=AM$3+6),"▼",IF(AND($E102&gt;=AM$3,$E102&lt;=AM$3+6),$A102,"")))</f>
        <v/>
      </c>
      <c r="AN102" s="47" t="str">
        <f aca="false">IF($A102="","",IF(AND(INDEX(工程マスタ!$I$5:$I$154,$A102)="○",$E102&gt;=AN$3,$E102&lt;=AN$3+6),"▼",IF(AND($E102&gt;=AN$3,$E102&lt;=AN$3+6),$A102,"")))</f>
        <v/>
      </c>
      <c r="AO102" s="47" t="str">
        <f aca="false">IF($A102="","",IF(AND(INDEX(工程マスタ!$I$5:$I$154,$A102)="○",$E102&gt;=AO$3,$E102&lt;=AO$3+6),"▼",IF(AND($E102&gt;=AO$3,$E102&lt;=AO$3+6),$A102,"")))</f>
        <v/>
      </c>
      <c r="AP102" s="47" t="str">
        <f aca="false">IF($A102="","",IF(AND(INDEX(工程マスタ!$I$5:$I$154,$A102)="○",$E102&gt;=AP$3,$E102&lt;=AP$3+6),"▼",IF(AND($E102&gt;=AP$3,$E102&lt;=AP$3+6),$A102,"")))</f>
        <v/>
      </c>
      <c r="AQ102" s="47" t="str">
        <f aca="false">IF($A102="","",IF(AND(INDEX(工程マスタ!$I$5:$I$154,$A102)="○",$E102&gt;=AQ$3,$E102&lt;=AQ$3+6),"▼",IF(AND($E102&gt;=AQ$3,$E102&lt;=AQ$3+6),$A102,"")))</f>
        <v/>
      </c>
      <c r="AR102" s="47" t="str">
        <f aca="false">IF($A102="","",IF(AND(INDEX(工程マスタ!$I$5:$I$154,$A102)="○",$E102&gt;=AR$3,$E102&lt;=AR$3+6),"▼",IF(AND($E102&gt;=AR$3,$E102&lt;=AR$3+6),$A102,"")))</f>
        <v/>
      </c>
      <c r="AS102" s="47" t="str">
        <f aca="false">IF($A102="","",IF(AND(INDEX(工程マスタ!$I$5:$I$154,$A102)="○",$E102&gt;=AS$3,$E102&lt;=AS$3+6),"▼",IF(AND($E102&gt;=AS$3,$E102&lt;=AS$3+6),$A102,"")))</f>
        <v/>
      </c>
      <c r="AT102" s="47" t="str">
        <f aca="false">IF($A102="","",IF(AND(INDEX(工程マスタ!$I$5:$I$154,$A102)="○",$E102&gt;=AT$3,$E102&lt;=AT$3+6),"▼",IF(AND($E102&gt;=AT$3,$E102&lt;=AT$3+6),$A102,"")))</f>
        <v/>
      </c>
      <c r="AU102" s="47" t="str">
        <f aca="false">IF($A102="","",IF(AND(INDEX(工程マスタ!$I$5:$I$154,$A102)="○",$E102&gt;=AU$3,$E102&lt;=AU$3+6),"▼",IF(AND($E102&gt;=AU$3,$E102&lt;=AU$3+6),$A102,"")))</f>
        <v/>
      </c>
      <c r="AV102" s="47" t="str">
        <f aca="false">IF($A102="","",IF(AND(INDEX(工程マスタ!$I$5:$I$154,$A102)="○",$E102&gt;=AV$3,$E102&lt;=AV$3+6),"▼",IF(AND($E102&gt;=AV$3,$E102&lt;=AV$3+6),$A102,"")))</f>
        <v/>
      </c>
      <c r="AW102" s="47" t="str">
        <f aca="false">IF($A102="","",IF(AND(INDEX(工程マスタ!$I$5:$I$154,$A102)="○",$E102&gt;=AW$3,$E102&lt;=AW$3+6),"▼",IF(AND($E102&gt;=AW$3,$E102&lt;=AW$3+6),$A102,"")))</f>
        <v/>
      </c>
      <c r="AX102" s="47" t="str">
        <f aca="false">IF($A102="","",IF(AND(INDEX(工程マスタ!$I$5:$I$154,$A102)="○",$E102&gt;=AX$3,$E102&lt;=AX$3+6),"▼",IF(AND($E102&gt;=AX$3,$E102&lt;=AX$3+6),$A102,"")))</f>
        <v/>
      </c>
      <c r="AY102" s="47" t="str">
        <f aca="false">IF($A102="","",IF(AND(INDEX(工程マスタ!$I$5:$I$154,$A102)="○",$E102&gt;=AY$3,$E102&lt;=AY$3+6),"▼",IF(AND($E102&gt;=AY$3,$E102&lt;=AY$3+6),$A102,"")))</f>
        <v/>
      </c>
      <c r="AZ102" s="47" t="str">
        <f aca="false">IF($A102="","",IF(AND(INDEX(工程マスタ!$I$5:$I$154,$A102)="○",$E102&gt;=AZ$3,$E102&lt;=AZ$3+6),"▼",IF(AND($E102&gt;=AZ$3,$E102&lt;=AZ$3+6),$A102,"")))</f>
        <v/>
      </c>
      <c r="BA102" s="47" t="str">
        <f aca="false">IF($A102="","",IF(AND(INDEX(工程マスタ!$I$5:$I$154,$A102)="○",$E102&gt;=BA$3,$E102&lt;=BA$3+6),"▼",IF(AND($E102&gt;=BA$3,$E102&lt;=BA$3+6),$A102,"")))</f>
        <v/>
      </c>
      <c r="BB102" s="47" t="str">
        <f aca="false">IF($A102="","",IF(AND(INDEX(工程マスタ!$I$5:$I$154,$A102)="○",$E102&gt;=BB$3,$E102&lt;=BB$3+6),"▼",IF(AND($E102&gt;=BB$3,$E102&lt;=BB$3+6),$A102,"")))</f>
        <v/>
      </c>
      <c r="BC102" s="47" t="str">
        <f aca="false">IF($A102="","",IF(AND(INDEX(工程マスタ!$I$5:$I$154,$A102)="○",$E102&gt;=BC$3,$E102&lt;=BC$3+6),"▼",IF(AND($E102&gt;=BC$3,$E102&lt;=BC$3+6),$A102,"")))</f>
        <v/>
      </c>
      <c r="BD102" s="47" t="str">
        <f aca="false">IF($A102="","",IF(AND(INDEX(工程マスタ!$I$5:$I$154,$A102)="○",$E102&gt;=BD$3,$E102&lt;=BD$3+6),"▼",IF(AND($E102&gt;=BD$3,$E102&lt;=BD$3+6),$A102,"")))</f>
        <v/>
      </c>
      <c r="BE102" s="47" t="str">
        <f aca="false">IF($A102="","",IF(AND(INDEX(工程マスタ!$I$5:$I$154,$A102)="○",$E102&gt;=BE$3,$E102&lt;=BE$3+6),"▼",IF(AND($E102&gt;=BE$3,$E102&lt;=BE$3+6),$A102,"")))</f>
        <v/>
      </c>
      <c r="BF102" s="47" t="str">
        <f aca="false">IF($A102="","",IF(AND(INDEX(工程マスタ!$I$5:$I$154,$A102)="○",$E102&gt;=BF$3,$E102&lt;=BF$3+6),"▼",IF(AND($E102&gt;=BF$3,$E102&lt;=BF$3+6),$A102,"")))</f>
        <v/>
      </c>
      <c r="BG102" s="47" t="str">
        <f aca="false">IF($A102="","",IF(AND(INDEX(工程マスタ!$I$5:$I$154,$A102)="○",$E102&gt;=BG$3,$E102&lt;=BG$3+6),"▼",IF(AND($E102&gt;=BG$3,$E102&lt;=BG$3+6),$A102,"")))</f>
        <v/>
      </c>
      <c r="BH102" s="47" t="str">
        <f aca="false">IF($A102="","",IF(AND(INDEX(工程マスタ!$I$5:$I$154,$A102)="○",$E102&gt;=BH$3,$E102&lt;=BH$3+6),"▼",IF(AND($E102&gt;=BH$3,$E102&lt;=BH$3+6),$A102,"")))</f>
        <v/>
      </c>
      <c r="BI102" s="47" t="str">
        <f aca="false">IF($A102="","",IF(AND(INDEX(工程マスタ!$I$5:$I$154,$A102)="○",$E102&gt;=BI$3,$E102&lt;=BI$3+6),"▼",IF(AND($E102&gt;=BI$3,$E102&lt;=BI$3+6),$A102,"")))</f>
        <v/>
      </c>
      <c r="BJ102" s="47" t="str">
        <f aca="false">IF($A102="","",IF(AND(INDEX(工程マスタ!$I$5:$I$154,$A102)="○",$E102&gt;=BJ$3,$E102&lt;=BJ$3+6),"▼",IF(AND($E102&gt;=BJ$3,$E102&lt;=BJ$3+6),$A102,"")))</f>
        <v/>
      </c>
    </row>
    <row r="103" customFormat="false" ht="15" hidden="false" customHeight="false" outlineLevel="0" collapsed="false">
      <c r="A103" s="28" t="str">
        <f aca="false">IF(工程マスタ!$C101="","",工程マスタ!$A101)</f>
        <v/>
      </c>
      <c r="B103" s="46" t="str">
        <f aca="false">IF($A103="","",工程マスタ!$C101)</f>
        <v/>
      </c>
      <c r="C103" s="28" t="str">
        <f aca="false">IF($A103="","",MAX(1,工程マスタ!$G101))</f>
        <v/>
      </c>
      <c r="D103" s="28" t="str">
        <f aca="false">IF($A103="","",_xlfn.TEXTJOIN(",",TRUE(),工程マスタ!$N101:$P101))</f>
        <v/>
      </c>
      <c r="E103" s="29" t="str">
        <f aca="false">IF($A103="","",IF(COUNT(工程マスタ!$N101:$P101)=0,設定!$B$8,MAX(IF(工程マスタ!$N101="",0,INDEX($F$7:$F$156,工程マスタ!$N101)),IF(工程マスタ!$O101="",0,INDEX($F$7:$F$156,工程マスタ!$O101)),IF(工程マスタ!$P101="",0,INDEX($F$7:$F$156,工程マスタ!$P101)))+1))</f>
        <v/>
      </c>
      <c r="F103" s="29" t="str">
        <f aca="false">IF($A103="","",$E103+$C103-1)</f>
        <v/>
      </c>
      <c r="G103" s="29" t="str">
        <f aca="false">IF($A103="","",$H103-$C103+1)</f>
        <v/>
      </c>
      <c r="H103" s="29" t="str">
        <f aca="false" t="array" ref="H103:H103">IF($A103="","",IF(SUMPRODUCT((工程マスタ!$N$102:$N$154=$A103)*1)+SUMPRODUCT((工程マスタ!$O$102:$O$154=$A103)*1)+SUMPRODUCT((工程マスタ!$P$102:$P$154=$A103)*1)=0,MAX($F$7:$F$156),MIN(IF((工程マスタ!$N$102:$N$154=$A103)+(工程マスタ!$O$102:$O$154=$A103)+(工程マスタ!$P$102:$P$154=$A103),$G104:$G$156))-1))</f>
        <v/>
      </c>
      <c r="I103" s="28" t="str">
        <f aca="false">IF($A103="","",$G103-$E103)</f>
        <v/>
      </c>
      <c r="J103" s="28" t="str">
        <f aca="false">IF($A103="","",IF($I103&lt;=0,"●",""))</f>
        <v/>
      </c>
      <c r="K103" s="47" t="str">
        <f aca="false">IF($A103="","",IF(AND(INDEX(工程マスタ!$I$5:$I$154,$A103)="○",$E103&gt;=K$3,$E103&lt;=K$3+6),"▼",IF(AND($E103&gt;=K$3,$E103&lt;=K$3+6),$A103,"")))</f>
        <v/>
      </c>
      <c r="L103" s="47" t="str">
        <f aca="false">IF($A103="","",IF(AND(INDEX(工程マスタ!$I$5:$I$154,$A103)="○",$E103&gt;=L$3,$E103&lt;=L$3+6),"▼",IF(AND($E103&gt;=L$3,$E103&lt;=L$3+6),$A103,"")))</f>
        <v/>
      </c>
      <c r="M103" s="47" t="str">
        <f aca="false">IF($A103="","",IF(AND(INDEX(工程マスタ!$I$5:$I$154,$A103)="○",$E103&gt;=M$3,$E103&lt;=M$3+6),"▼",IF(AND($E103&gt;=M$3,$E103&lt;=M$3+6),$A103,"")))</f>
        <v/>
      </c>
      <c r="N103" s="47" t="str">
        <f aca="false">IF($A103="","",IF(AND(INDEX(工程マスタ!$I$5:$I$154,$A103)="○",$E103&gt;=N$3,$E103&lt;=N$3+6),"▼",IF(AND($E103&gt;=N$3,$E103&lt;=N$3+6),$A103,"")))</f>
        <v/>
      </c>
      <c r="O103" s="47" t="str">
        <f aca="false">IF($A103="","",IF(AND(INDEX(工程マスタ!$I$5:$I$154,$A103)="○",$E103&gt;=O$3,$E103&lt;=O$3+6),"▼",IF(AND($E103&gt;=O$3,$E103&lt;=O$3+6),$A103,"")))</f>
        <v/>
      </c>
      <c r="P103" s="47" t="str">
        <f aca="false">IF($A103="","",IF(AND(INDEX(工程マスタ!$I$5:$I$154,$A103)="○",$E103&gt;=P$3,$E103&lt;=P$3+6),"▼",IF(AND($E103&gt;=P$3,$E103&lt;=P$3+6),$A103,"")))</f>
        <v/>
      </c>
      <c r="Q103" s="47" t="str">
        <f aca="false">IF($A103="","",IF(AND(INDEX(工程マスタ!$I$5:$I$154,$A103)="○",$E103&gt;=Q$3,$E103&lt;=Q$3+6),"▼",IF(AND($E103&gt;=Q$3,$E103&lt;=Q$3+6),$A103,"")))</f>
        <v/>
      </c>
      <c r="R103" s="47" t="str">
        <f aca="false">IF($A103="","",IF(AND(INDEX(工程マスタ!$I$5:$I$154,$A103)="○",$E103&gt;=R$3,$E103&lt;=R$3+6),"▼",IF(AND($E103&gt;=R$3,$E103&lt;=R$3+6),$A103,"")))</f>
        <v/>
      </c>
      <c r="S103" s="47" t="str">
        <f aca="false">IF($A103="","",IF(AND(INDEX(工程マスタ!$I$5:$I$154,$A103)="○",$E103&gt;=S$3,$E103&lt;=S$3+6),"▼",IF(AND($E103&gt;=S$3,$E103&lt;=S$3+6),$A103,"")))</f>
        <v/>
      </c>
      <c r="T103" s="47" t="str">
        <f aca="false">IF($A103="","",IF(AND(INDEX(工程マスタ!$I$5:$I$154,$A103)="○",$E103&gt;=T$3,$E103&lt;=T$3+6),"▼",IF(AND($E103&gt;=T$3,$E103&lt;=T$3+6),$A103,"")))</f>
        <v/>
      </c>
      <c r="U103" s="47" t="str">
        <f aca="false">IF($A103="","",IF(AND(INDEX(工程マスタ!$I$5:$I$154,$A103)="○",$E103&gt;=U$3,$E103&lt;=U$3+6),"▼",IF(AND($E103&gt;=U$3,$E103&lt;=U$3+6),$A103,"")))</f>
        <v/>
      </c>
      <c r="V103" s="47" t="str">
        <f aca="false">IF($A103="","",IF(AND(INDEX(工程マスタ!$I$5:$I$154,$A103)="○",$E103&gt;=V$3,$E103&lt;=V$3+6),"▼",IF(AND($E103&gt;=V$3,$E103&lt;=V$3+6),$A103,"")))</f>
        <v/>
      </c>
      <c r="W103" s="47" t="str">
        <f aca="false">IF($A103="","",IF(AND(INDEX(工程マスタ!$I$5:$I$154,$A103)="○",$E103&gt;=W$3,$E103&lt;=W$3+6),"▼",IF(AND($E103&gt;=W$3,$E103&lt;=W$3+6),$A103,"")))</f>
        <v/>
      </c>
      <c r="X103" s="47" t="str">
        <f aca="false">IF($A103="","",IF(AND(INDEX(工程マスタ!$I$5:$I$154,$A103)="○",$E103&gt;=X$3,$E103&lt;=X$3+6),"▼",IF(AND($E103&gt;=X$3,$E103&lt;=X$3+6),$A103,"")))</f>
        <v/>
      </c>
      <c r="Y103" s="47" t="str">
        <f aca="false">IF($A103="","",IF(AND(INDEX(工程マスタ!$I$5:$I$154,$A103)="○",$E103&gt;=Y$3,$E103&lt;=Y$3+6),"▼",IF(AND($E103&gt;=Y$3,$E103&lt;=Y$3+6),$A103,"")))</f>
        <v/>
      </c>
      <c r="Z103" s="47" t="str">
        <f aca="false">IF($A103="","",IF(AND(INDEX(工程マスタ!$I$5:$I$154,$A103)="○",$E103&gt;=Z$3,$E103&lt;=Z$3+6),"▼",IF(AND($E103&gt;=Z$3,$E103&lt;=Z$3+6),$A103,"")))</f>
        <v/>
      </c>
      <c r="AA103" s="47" t="str">
        <f aca="false">IF($A103="","",IF(AND(INDEX(工程マスタ!$I$5:$I$154,$A103)="○",$E103&gt;=AA$3,$E103&lt;=AA$3+6),"▼",IF(AND($E103&gt;=AA$3,$E103&lt;=AA$3+6),$A103,"")))</f>
        <v/>
      </c>
      <c r="AB103" s="47" t="str">
        <f aca="false">IF($A103="","",IF(AND(INDEX(工程マスタ!$I$5:$I$154,$A103)="○",$E103&gt;=AB$3,$E103&lt;=AB$3+6),"▼",IF(AND($E103&gt;=AB$3,$E103&lt;=AB$3+6),$A103,"")))</f>
        <v/>
      </c>
      <c r="AC103" s="47" t="str">
        <f aca="false">IF($A103="","",IF(AND(INDEX(工程マスタ!$I$5:$I$154,$A103)="○",$E103&gt;=AC$3,$E103&lt;=AC$3+6),"▼",IF(AND($E103&gt;=AC$3,$E103&lt;=AC$3+6),$A103,"")))</f>
        <v/>
      </c>
      <c r="AD103" s="47" t="str">
        <f aca="false">IF($A103="","",IF(AND(INDEX(工程マスタ!$I$5:$I$154,$A103)="○",$E103&gt;=AD$3,$E103&lt;=AD$3+6),"▼",IF(AND($E103&gt;=AD$3,$E103&lt;=AD$3+6),$A103,"")))</f>
        <v/>
      </c>
      <c r="AE103" s="47" t="str">
        <f aca="false">IF($A103="","",IF(AND(INDEX(工程マスタ!$I$5:$I$154,$A103)="○",$E103&gt;=AE$3,$E103&lt;=AE$3+6),"▼",IF(AND($E103&gt;=AE$3,$E103&lt;=AE$3+6),$A103,"")))</f>
        <v/>
      </c>
      <c r="AF103" s="47" t="str">
        <f aca="false">IF($A103="","",IF(AND(INDEX(工程マスタ!$I$5:$I$154,$A103)="○",$E103&gt;=AF$3,$E103&lt;=AF$3+6),"▼",IF(AND($E103&gt;=AF$3,$E103&lt;=AF$3+6),$A103,"")))</f>
        <v/>
      </c>
      <c r="AG103" s="47" t="str">
        <f aca="false">IF($A103="","",IF(AND(INDEX(工程マスタ!$I$5:$I$154,$A103)="○",$E103&gt;=AG$3,$E103&lt;=AG$3+6),"▼",IF(AND($E103&gt;=AG$3,$E103&lt;=AG$3+6),$A103,"")))</f>
        <v/>
      </c>
      <c r="AH103" s="47" t="str">
        <f aca="false">IF($A103="","",IF(AND(INDEX(工程マスタ!$I$5:$I$154,$A103)="○",$E103&gt;=AH$3,$E103&lt;=AH$3+6),"▼",IF(AND($E103&gt;=AH$3,$E103&lt;=AH$3+6),$A103,"")))</f>
        <v/>
      </c>
      <c r="AI103" s="47" t="str">
        <f aca="false">IF($A103="","",IF(AND(INDEX(工程マスタ!$I$5:$I$154,$A103)="○",$E103&gt;=AI$3,$E103&lt;=AI$3+6),"▼",IF(AND($E103&gt;=AI$3,$E103&lt;=AI$3+6),$A103,"")))</f>
        <v/>
      </c>
      <c r="AJ103" s="47" t="str">
        <f aca="false">IF($A103="","",IF(AND(INDEX(工程マスタ!$I$5:$I$154,$A103)="○",$E103&gt;=AJ$3,$E103&lt;=AJ$3+6),"▼",IF(AND($E103&gt;=AJ$3,$E103&lt;=AJ$3+6),$A103,"")))</f>
        <v/>
      </c>
      <c r="AK103" s="47" t="str">
        <f aca="false">IF($A103="","",IF(AND(INDEX(工程マスタ!$I$5:$I$154,$A103)="○",$E103&gt;=AK$3,$E103&lt;=AK$3+6),"▼",IF(AND($E103&gt;=AK$3,$E103&lt;=AK$3+6),$A103,"")))</f>
        <v/>
      </c>
      <c r="AL103" s="47" t="str">
        <f aca="false">IF($A103="","",IF(AND(INDEX(工程マスタ!$I$5:$I$154,$A103)="○",$E103&gt;=AL$3,$E103&lt;=AL$3+6),"▼",IF(AND($E103&gt;=AL$3,$E103&lt;=AL$3+6),$A103,"")))</f>
        <v/>
      </c>
      <c r="AM103" s="47" t="str">
        <f aca="false">IF($A103="","",IF(AND(INDEX(工程マスタ!$I$5:$I$154,$A103)="○",$E103&gt;=AM$3,$E103&lt;=AM$3+6),"▼",IF(AND($E103&gt;=AM$3,$E103&lt;=AM$3+6),$A103,"")))</f>
        <v/>
      </c>
      <c r="AN103" s="47" t="str">
        <f aca="false">IF($A103="","",IF(AND(INDEX(工程マスタ!$I$5:$I$154,$A103)="○",$E103&gt;=AN$3,$E103&lt;=AN$3+6),"▼",IF(AND($E103&gt;=AN$3,$E103&lt;=AN$3+6),$A103,"")))</f>
        <v/>
      </c>
      <c r="AO103" s="47" t="str">
        <f aca="false">IF($A103="","",IF(AND(INDEX(工程マスタ!$I$5:$I$154,$A103)="○",$E103&gt;=AO$3,$E103&lt;=AO$3+6),"▼",IF(AND($E103&gt;=AO$3,$E103&lt;=AO$3+6),$A103,"")))</f>
        <v/>
      </c>
      <c r="AP103" s="47" t="str">
        <f aca="false">IF($A103="","",IF(AND(INDEX(工程マスタ!$I$5:$I$154,$A103)="○",$E103&gt;=AP$3,$E103&lt;=AP$3+6),"▼",IF(AND($E103&gt;=AP$3,$E103&lt;=AP$3+6),$A103,"")))</f>
        <v/>
      </c>
      <c r="AQ103" s="47" t="str">
        <f aca="false">IF($A103="","",IF(AND(INDEX(工程マスタ!$I$5:$I$154,$A103)="○",$E103&gt;=AQ$3,$E103&lt;=AQ$3+6),"▼",IF(AND($E103&gt;=AQ$3,$E103&lt;=AQ$3+6),$A103,"")))</f>
        <v/>
      </c>
      <c r="AR103" s="47" t="str">
        <f aca="false">IF($A103="","",IF(AND(INDEX(工程マスタ!$I$5:$I$154,$A103)="○",$E103&gt;=AR$3,$E103&lt;=AR$3+6),"▼",IF(AND($E103&gt;=AR$3,$E103&lt;=AR$3+6),$A103,"")))</f>
        <v/>
      </c>
      <c r="AS103" s="47" t="str">
        <f aca="false">IF($A103="","",IF(AND(INDEX(工程マスタ!$I$5:$I$154,$A103)="○",$E103&gt;=AS$3,$E103&lt;=AS$3+6),"▼",IF(AND($E103&gt;=AS$3,$E103&lt;=AS$3+6),$A103,"")))</f>
        <v/>
      </c>
      <c r="AT103" s="47" t="str">
        <f aca="false">IF($A103="","",IF(AND(INDEX(工程マスタ!$I$5:$I$154,$A103)="○",$E103&gt;=AT$3,$E103&lt;=AT$3+6),"▼",IF(AND($E103&gt;=AT$3,$E103&lt;=AT$3+6),$A103,"")))</f>
        <v/>
      </c>
      <c r="AU103" s="47" t="str">
        <f aca="false">IF($A103="","",IF(AND(INDEX(工程マスタ!$I$5:$I$154,$A103)="○",$E103&gt;=AU$3,$E103&lt;=AU$3+6),"▼",IF(AND($E103&gt;=AU$3,$E103&lt;=AU$3+6),$A103,"")))</f>
        <v/>
      </c>
      <c r="AV103" s="47" t="str">
        <f aca="false">IF($A103="","",IF(AND(INDEX(工程マスタ!$I$5:$I$154,$A103)="○",$E103&gt;=AV$3,$E103&lt;=AV$3+6),"▼",IF(AND($E103&gt;=AV$3,$E103&lt;=AV$3+6),$A103,"")))</f>
        <v/>
      </c>
      <c r="AW103" s="47" t="str">
        <f aca="false">IF($A103="","",IF(AND(INDEX(工程マスタ!$I$5:$I$154,$A103)="○",$E103&gt;=AW$3,$E103&lt;=AW$3+6),"▼",IF(AND($E103&gt;=AW$3,$E103&lt;=AW$3+6),$A103,"")))</f>
        <v/>
      </c>
      <c r="AX103" s="47" t="str">
        <f aca="false">IF($A103="","",IF(AND(INDEX(工程マスタ!$I$5:$I$154,$A103)="○",$E103&gt;=AX$3,$E103&lt;=AX$3+6),"▼",IF(AND($E103&gt;=AX$3,$E103&lt;=AX$3+6),$A103,"")))</f>
        <v/>
      </c>
      <c r="AY103" s="47" t="str">
        <f aca="false">IF($A103="","",IF(AND(INDEX(工程マスタ!$I$5:$I$154,$A103)="○",$E103&gt;=AY$3,$E103&lt;=AY$3+6),"▼",IF(AND($E103&gt;=AY$3,$E103&lt;=AY$3+6),$A103,"")))</f>
        <v/>
      </c>
      <c r="AZ103" s="47" t="str">
        <f aca="false">IF($A103="","",IF(AND(INDEX(工程マスタ!$I$5:$I$154,$A103)="○",$E103&gt;=AZ$3,$E103&lt;=AZ$3+6),"▼",IF(AND($E103&gt;=AZ$3,$E103&lt;=AZ$3+6),$A103,"")))</f>
        <v/>
      </c>
      <c r="BA103" s="47" t="str">
        <f aca="false">IF($A103="","",IF(AND(INDEX(工程マスタ!$I$5:$I$154,$A103)="○",$E103&gt;=BA$3,$E103&lt;=BA$3+6),"▼",IF(AND($E103&gt;=BA$3,$E103&lt;=BA$3+6),$A103,"")))</f>
        <v/>
      </c>
      <c r="BB103" s="47" t="str">
        <f aca="false">IF($A103="","",IF(AND(INDEX(工程マスタ!$I$5:$I$154,$A103)="○",$E103&gt;=BB$3,$E103&lt;=BB$3+6),"▼",IF(AND($E103&gt;=BB$3,$E103&lt;=BB$3+6),$A103,"")))</f>
        <v/>
      </c>
      <c r="BC103" s="47" t="str">
        <f aca="false">IF($A103="","",IF(AND(INDEX(工程マスタ!$I$5:$I$154,$A103)="○",$E103&gt;=BC$3,$E103&lt;=BC$3+6),"▼",IF(AND($E103&gt;=BC$3,$E103&lt;=BC$3+6),$A103,"")))</f>
        <v/>
      </c>
      <c r="BD103" s="47" t="str">
        <f aca="false">IF($A103="","",IF(AND(INDEX(工程マスタ!$I$5:$I$154,$A103)="○",$E103&gt;=BD$3,$E103&lt;=BD$3+6),"▼",IF(AND($E103&gt;=BD$3,$E103&lt;=BD$3+6),$A103,"")))</f>
        <v/>
      </c>
      <c r="BE103" s="47" t="str">
        <f aca="false">IF($A103="","",IF(AND(INDEX(工程マスタ!$I$5:$I$154,$A103)="○",$E103&gt;=BE$3,$E103&lt;=BE$3+6),"▼",IF(AND($E103&gt;=BE$3,$E103&lt;=BE$3+6),$A103,"")))</f>
        <v/>
      </c>
      <c r="BF103" s="47" t="str">
        <f aca="false">IF($A103="","",IF(AND(INDEX(工程マスタ!$I$5:$I$154,$A103)="○",$E103&gt;=BF$3,$E103&lt;=BF$3+6),"▼",IF(AND($E103&gt;=BF$3,$E103&lt;=BF$3+6),$A103,"")))</f>
        <v/>
      </c>
      <c r="BG103" s="47" t="str">
        <f aca="false">IF($A103="","",IF(AND(INDEX(工程マスタ!$I$5:$I$154,$A103)="○",$E103&gt;=BG$3,$E103&lt;=BG$3+6),"▼",IF(AND($E103&gt;=BG$3,$E103&lt;=BG$3+6),$A103,"")))</f>
        <v/>
      </c>
      <c r="BH103" s="47" t="str">
        <f aca="false">IF($A103="","",IF(AND(INDEX(工程マスタ!$I$5:$I$154,$A103)="○",$E103&gt;=BH$3,$E103&lt;=BH$3+6),"▼",IF(AND($E103&gt;=BH$3,$E103&lt;=BH$3+6),$A103,"")))</f>
        <v/>
      </c>
      <c r="BI103" s="47" t="str">
        <f aca="false">IF($A103="","",IF(AND(INDEX(工程マスタ!$I$5:$I$154,$A103)="○",$E103&gt;=BI$3,$E103&lt;=BI$3+6),"▼",IF(AND($E103&gt;=BI$3,$E103&lt;=BI$3+6),$A103,"")))</f>
        <v/>
      </c>
      <c r="BJ103" s="47" t="str">
        <f aca="false">IF($A103="","",IF(AND(INDEX(工程マスタ!$I$5:$I$154,$A103)="○",$E103&gt;=BJ$3,$E103&lt;=BJ$3+6),"▼",IF(AND($E103&gt;=BJ$3,$E103&lt;=BJ$3+6),$A103,"")))</f>
        <v/>
      </c>
    </row>
    <row r="104" customFormat="false" ht="15" hidden="false" customHeight="false" outlineLevel="0" collapsed="false">
      <c r="A104" s="28" t="str">
        <f aca="false">IF(工程マスタ!$C102="","",工程マスタ!$A102)</f>
        <v/>
      </c>
      <c r="B104" s="46" t="str">
        <f aca="false">IF($A104="","",工程マスタ!$C102)</f>
        <v/>
      </c>
      <c r="C104" s="28" t="str">
        <f aca="false">IF($A104="","",MAX(1,工程マスタ!$G102))</f>
        <v/>
      </c>
      <c r="D104" s="28" t="str">
        <f aca="false">IF($A104="","",_xlfn.TEXTJOIN(",",TRUE(),工程マスタ!$N102:$P102))</f>
        <v/>
      </c>
      <c r="E104" s="29" t="str">
        <f aca="false">IF($A104="","",IF(COUNT(工程マスタ!$N102:$P102)=0,設定!$B$8,MAX(IF(工程マスタ!$N102="",0,INDEX($F$7:$F$156,工程マスタ!$N102)),IF(工程マスタ!$O102="",0,INDEX($F$7:$F$156,工程マスタ!$O102)),IF(工程マスタ!$P102="",0,INDEX($F$7:$F$156,工程マスタ!$P102)))+1))</f>
        <v/>
      </c>
      <c r="F104" s="29" t="str">
        <f aca="false">IF($A104="","",$E104+$C104-1)</f>
        <v/>
      </c>
      <c r="G104" s="29" t="str">
        <f aca="false">IF($A104="","",$H104-$C104+1)</f>
        <v/>
      </c>
      <c r="H104" s="29" t="str">
        <f aca="false" t="array" ref="H104:H104">IF($A104="","",IF(SUMPRODUCT((工程マスタ!$N$103:$N$154=$A104)*1)+SUMPRODUCT((工程マスタ!$O$103:$O$154=$A104)*1)+SUMPRODUCT((工程マスタ!$P$103:$P$154=$A104)*1)=0,MAX($F$7:$F$156),MIN(IF((工程マスタ!$N$103:$N$154=$A104)+(工程マスタ!$O$103:$O$154=$A104)+(工程マスタ!$P$103:$P$154=$A104),$G105:$G$156))-1))</f>
        <v/>
      </c>
      <c r="I104" s="28" t="str">
        <f aca="false">IF($A104="","",$G104-$E104)</f>
        <v/>
      </c>
      <c r="J104" s="28" t="str">
        <f aca="false">IF($A104="","",IF($I104&lt;=0,"●",""))</f>
        <v/>
      </c>
      <c r="K104" s="47" t="str">
        <f aca="false">IF($A104="","",IF(AND(INDEX(工程マスタ!$I$5:$I$154,$A104)="○",$E104&gt;=K$3,$E104&lt;=K$3+6),"▼",IF(AND($E104&gt;=K$3,$E104&lt;=K$3+6),$A104,"")))</f>
        <v/>
      </c>
      <c r="L104" s="47" t="str">
        <f aca="false">IF($A104="","",IF(AND(INDEX(工程マスタ!$I$5:$I$154,$A104)="○",$E104&gt;=L$3,$E104&lt;=L$3+6),"▼",IF(AND($E104&gt;=L$3,$E104&lt;=L$3+6),$A104,"")))</f>
        <v/>
      </c>
      <c r="M104" s="47" t="str">
        <f aca="false">IF($A104="","",IF(AND(INDEX(工程マスタ!$I$5:$I$154,$A104)="○",$E104&gt;=M$3,$E104&lt;=M$3+6),"▼",IF(AND($E104&gt;=M$3,$E104&lt;=M$3+6),$A104,"")))</f>
        <v/>
      </c>
      <c r="N104" s="47" t="str">
        <f aca="false">IF($A104="","",IF(AND(INDEX(工程マスタ!$I$5:$I$154,$A104)="○",$E104&gt;=N$3,$E104&lt;=N$3+6),"▼",IF(AND($E104&gt;=N$3,$E104&lt;=N$3+6),$A104,"")))</f>
        <v/>
      </c>
      <c r="O104" s="47" t="str">
        <f aca="false">IF($A104="","",IF(AND(INDEX(工程マスタ!$I$5:$I$154,$A104)="○",$E104&gt;=O$3,$E104&lt;=O$3+6),"▼",IF(AND($E104&gt;=O$3,$E104&lt;=O$3+6),$A104,"")))</f>
        <v/>
      </c>
      <c r="P104" s="47" t="str">
        <f aca="false">IF($A104="","",IF(AND(INDEX(工程マスタ!$I$5:$I$154,$A104)="○",$E104&gt;=P$3,$E104&lt;=P$3+6),"▼",IF(AND($E104&gt;=P$3,$E104&lt;=P$3+6),$A104,"")))</f>
        <v/>
      </c>
      <c r="Q104" s="47" t="str">
        <f aca="false">IF($A104="","",IF(AND(INDEX(工程マスタ!$I$5:$I$154,$A104)="○",$E104&gt;=Q$3,$E104&lt;=Q$3+6),"▼",IF(AND($E104&gt;=Q$3,$E104&lt;=Q$3+6),$A104,"")))</f>
        <v/>
      </c>
      <c r="R104" s="47" t="str">
        <f aca="false">IF($A104="","",IF(AND(INDEX(工程マスタ!$I$5:$I$154,$A104)="○",$E104&gt;=R$3,$E104&lt;=R$3+6),"▼",IF(AND($E104&gt;=R$3,$E104&lt;=R$3+6),$A104,"")))</f>
        <v/>
      </c>
      <c r="S104" s="47" t="str">
        <f aca="false">IF($A104="","",IF(AND(INDEX(工程マスタ!$I$5:$I$154,$A104)="○",$E104&gt;=S$3,$E104&lt;=S$3+6),"▼",IF(AND($E104&gt;=S$3,$E104&lt;=S$3+6),$A104,"")))</f>
        <v/>
      </c>
      <c r="T104" s="47" t="str">
        <f aca="false">IF($A104="","",IF(AND(INDEX(工程マスタ!$I$5:$I$154,$A104)="○",$E104&gt;=T$3,$E104&lt;=T$3+6),"▼",IF(AND($E104&gt;=T$3,$E104&lt;=T$3+6),$A104,"")))</f>
        <v/>
      </c>
      <c r="U104" s="47" t="str">
        <f aca="false">IF($A104="","",IF(AND(INDEX(工程マスタ!$I$5:$I$154,$A104)="○",$E104&gt;=U$3,$E104&lt;=U$3+6),"▼",IF(AND($E104&gt;=U$3,$E104&lt;=U$3+6),$A104,"")))</f>
        <v/>
      </c>
      <c r="V104" s="47" t="str">
        <f aca="false">IF($A104="","",IF(AND(INDEX(工程マスタ!$I$5:$I$154,$A104)="○",$E104&gt;=V$3,$E104&lt;=V$3+6),"▼",IF(AND($E104&gt;=V$3,$E104&lt;=V$3+6),$A104,"")))</f>
        <v/>
      </c>
      <c r="W104" s="47" t="str">
        <f aca="false">IF($A104="","",IF(AND(INDEX(工程マスタ!$I$5:$I$154,$A104)="○",$E104&gt;=W$3,$E104&lt;=W$3+6),"▼",IF(AND($E104&gt;=W$3,$E104&lt;=W$3+6),$A104,"")))</f>
        <v/>
      </c>
      <c r="X104" s="47" t="str">
        <f aca="false">IF($A104="","",IF(AND(INDEX(工程マスタ!$I$5:$I$154,$A104)="○",$E104&gt;=X$3,$E104&lt;=X$3+6),"▼",IF(AND($E104&gt;=X$3,$E104&lt;=X$3+6),$A104,"")))</f>
        <v/>
      </c>
      <c r="Y104" s="47" t="str">
        <f aca="false">IF($A104="","",IF(AND(INDEX(工程マスタ!$I$5:$I$154,$A104)="○",$E104&gt;=Y$3,$E104&lt;=Y$3+6),"▼",IF(AND($E104&gt;=Y$3,$E104&lt;=Y$3+6),$A104,"")))</f>
        <v/>
      </c>
      <c r="Z104" s="47" t="str">
        <f aca="false">IF($A104="","",IF(AND(INDEX(工程マスタ!$I$5:$I$154,$A104)="○",$E104&gt;=Z$3,$E104&lt;=Z$3+6),"▼",IF(AND($E104&gt;=Z$3,$E104&lt;=Z$3+6),$A104,"")))</f>
        <v/>
      </c>
      <c r="AA104" s="47" t="str">
        <f aca="false">IF($A104="","",IF(AND(INDEX(工程マスタ!$I$5:$I$154,$A104)="○",$E104&gt;=AA$3,$E104&lt;=AA$3+6),"▼",IF(AND($E104&gt;=AA$3,$E104&lt;=AA$3+6),$A104,"")))</f>
        <v/>
      </c>
      <c r="AB104" s="47" t="str">
        <f aca="false">IF($A104="","",IF(AND(INDEX(工程マスタ!$I$5:$I$154,$A104)="○",$E104&gt;=AB$3,$E104&lt;=AB$3+6),"▼",IF(AND($E104&gt;=AB$3,$E104&lt;=AB$3+6),$A104,"")))</f>
        <v/>
      </c>
      <c r="AC104" s="47" t="str">
        <f aca="false">IF($A104="","",IF(AND(INDEX(工程マスタ!$I$5:$I$154,$A104)="○",$E104&gt;=AC$3,$E104&lt;=AC$3+6),"▼",IF(AND($E104&gt;=AC$3,$E104&lt;=AC$3+6),$A104,"")))</f>
        <v/>
      </c>
      <c r="AD104" s="47" t="str">
        <f aca="false">IF($A104="","",IF(AND(INDEX(工程マスタ!$I$5:$I$154,$A104)="○",$E104&gt;=AD$3,$E104&lt;=AD$3+6),"▼",IF(AND($E104&gt;=AD$3,$E104&lt;=AD$3+6),$A104,"")))</f>
        <v/>
      </c>
      <c r="AE104" s="47" t="str">
        <f aca="false">IF($A104="","",IF(AND(INDEX(工程マスタ!$I$5:$I$154,$A104)="○",$E104&gt;=AE$3,$E104&lt;=AE$3+6),"▼",IF(AND($E104&gt;=AE$3,$E104&lt;=AE$3+6),$A104,"")))</f>
        <v/>
      </c>
      <c r="AF104" s="47" t="str">
        <f aca="false">IF($A104="","",IF(AND(INDEX(工程マスタ!$I$5:$I$154,$A104)="○",$E104&gt;=AF$3,$E104&lt;=AF$3+6),"▼",IF(AND($E104&gt;=AF$3,$E104&lt;=AF$3+6),$A104,"")))</f>
        <v/>
      </c>
      <c r="AG104" s="47" t="str">
        <f aca="false">IF($A104="","",IF(AND(INDEX(工程マスタ!$I$5:$I$154,$A104)="○",$E104&gt;=AG$3,$E104&lt;=AG$3+6),"▼",IF(AND($E104&gt;=AG$3,$E104&lt;=AG$3+6),$A104,"")))</f>
        <v/>
      </c>
      <c r="AH104" s="47" t="str">
        <f aca="false">IF($A104="","",IF(AND(INDEX(工程マスタ!$I$5:$I$154,$A104)="○",$E104&gt;=AH$3,$E104&lt;=AH$3+6),"▼",IF(AND($E104&gt;=AH$3,$E104&lt;=AH$3+6),$A104,"")))</f>
        <v/>
      </c>
      <c r="AI104" s="47" t="str">
        <f aca="false">IF($A104="","",IF(AND(INDEX(工程マスタ!$I$5:$I$154,$A104)="○",$E104&gt;=AI$3,$E104&lt;=AI$3+6),"▼",IF(AND($E104&gt;=AI$3,$E104&lt;=AI$3+6),$A104,"")))</f>
        <v/>
      </c>
      <c r="AJ104" s="47" t="str">
        <f aca="false">IF($A104="","",IF(AND(INDEX(工程マスタ!$I$5:$I$154,$A104)="○",$E104&gt;=AJ$3,$E104&lt;=AJ$3+6),"▼",IF(AND($E104&gt;=AJ$3,$E104&lt;=AJ$3+6),$A104,"")))</f>
        <v/>
      </c>
      <c r="AK104" s="47" t="str">
        <f aca="false">IF($A104="","",IF(AND(INDEX(工程マスタ!$I$5:$I$154,$A104)="○",$E104&gt;=AK$3,$E104&lt;=AK$3+6),"▼",IF(AND($E104&gt;=AK$3,$E104&lt;=AK$3+6),$A104,"")))</f>
        <v/>
      </c>
      <c r="AL104" s="47" t="str">
        <f aca="false">IF($A104="","",IF(AND(INDEX(工程マスタ!$I$5:$I$154,$A104)="○",$E104&gt;=AL$3,$E104&lt;=AL$3+6),"▼",IF(AND($E104&gt;=AL$3,$E104&lt;=AL$3+6),$A104,"")))</f>
        <v/>
      </c>
      <c r="AM104" s="47" t="str">
        <f aca="false">IF($A104="","",IF(AND(INDEX(工程マスタ!$I$5:$I$154,$A104)="○",$E104&gt;=AM$3,$E104&lt;=AM$3+6),"▼",IF(AND($E104&gt;=AM$3,$E104&lt;=AM$3+6),$A104,"")))</f>
        <v/>
      </c>
      <c r="AN104" s="47" t="str">
        <f aca="false">IF($A104="","",IF(AND(INDEX(工程マスタ!$I$5:$I$154,$A104)="○",$E104&gt;=AN$3,$E104&lt;=AN$3+6),"▼",IF(AND($E104&gt;=AN$3,$E104&lt;=AN$3+6),$A104,"")))</f>
        <v/>
      </c>
      <c r="AO104" s="47" t="str">
        <f aca="false">IF($A104="","",IF(AND(INDEX(工程マスタ!$I$5:$I$154,$A104)="○",$E104&gt;=AO$3,$E104&lt;=AO$3+6),"▼",IF(AND($E104&gt;=AO$3,$E104&lt;=AO$3+6),$A104,"")))</f>
        <v/>
      </c>
      <c r="AP104" s="47" t="str">
        <f aca="false">IF($A104="","",IF(AND(INDEX(工程マスタ!$I$5:$I$154,$A104)="○",$E104&gt;=AP$3,$E104&lt;=AP$3+6),"▼",IF(AND($E104&gt;=AP$3,$E104&lt;=AP$3+6),$A104,"")))</f>
        <v/>
      </c>
      <c r="AQ104" s="47" t="str">
        <f aca="false">IF($A104="","",IF(AND(INDEX(工程マスタ!$I$5:$I$154,$A104)="○",$E104&gt;=AQ$3,$E104&lt;=AQ$3+6),"▼",IF(AND($E104&gt;=AQ$3,$E104&lt;=AQ$3+6),$A104,"")))</f>
        <v/>
      </c>
      <c r="AR104" s="47" t="str">
        <f aca="false">IF($A104="","",IF(AND(INDEX(工程マスタ!$I$5:$I$154,$A104)="○",$E104&gt;=AR$3,$E104&lt;=AR$3+6),"▼",IF(AND($E104&gt;=AR$3,$E104&lt;=AR$3+6),$A104,"")))</f>
        <v/>
      </c>
      <c r="AS104" s="47" t="str">
        <f aca="false">IF($A104="","",IF(AND(INDEX(工程マスタ!$I$5:$I$154,$A104)="○",$E104&gt;=AS$3,$E104&lt;=AS$3+6),"▼",IF(AND($E104&gt;=AS$3,$E104&lt;=AS$3+6),$A104,"")))</f>
        <v/>
      </c>
      <c r="AT104" s="47" t="str">
        <f aca="false">IF($A104="","",IF(AND(INDEX(工程マスタ!$I$5:$I$154,$A104)="○",$E104&gt;=AT$3,$E104&lt;=AT$3+6),"▼",IF(AND($E104&gt;=AT$3,$E104&lt;=AT$3+6),$A104,"")))</f>
        <v/>
      </c>
      <c r="AU104" s="47" t="str">
        <f aca="false">IF($A104="","",IF(AND(INDEX(工程マスタ!$I$5:$I$154,$A104)="○",$E104&gt;=AU$3,$E104&lt;=AU$3+6),"▼",IF(AND($E104&gt;=AU$3,$E104&lt;=AU$3+6),$A104,"")))</f>
        <v/>
      </c>
      <c r="AV104" s="47" t="str">
        <f aca="false">IF($A104="","",IF(AND(INDEX(工程マスタ!$I$5:$I$154,$A104)="○",$E104&gt;=AV$3,$E104&lt;=AV$3+6),"▼",IF(AND($E104&gt;=AV$3,$E104&lt;=AV$3+6),$A104,"")))</f>
        <v/>
      </c>
      <c r="AW104" s="47" t="str">
        <f aca="false">IF($A104="","",IF(AND(INDEX(工程マスタ!$I$5:$I$154,$A104)="○",$E104&gt;=AW$3,$E104&lt;=AW$3+6),"▼",IF(AND($E104&gt;=AW$3,$E104&lt;=AW$3+6),$A104,"")))</f>
        <v/>
      </c>
      <c r="AX104" s="47" t="str">
        <f aca="false">IF($A104="","",IF(AND(INDEX(工程マスタ!$I$5:$I$154,$A104)="○",$E104&gt;=AX$3,$E104&lt;=AX$3+6),"▼",IF(AND($E104&gt;=AX$3,$E104&lt;=AX$3+6),$A104,"")))</f>
        <v/>
      </c>
      <c r="AY104" s="47" t="str">
        <f aca="false">IF($A104="","",IF(AND(INDEX(工程マスタ!$I$5:$I$154,$A104)="○",$E104&gt;=AY$3,$E104&lt;=AY$3+6),"▼",IF(AND($E104&gt;=AY$3,$E104&lt;=AY$3+6),$A104,"")))</f>
        <v/>
      </c>
      <c r="AZ104" s="47" t="str">
        <f aca="false">IF($A104="","",IF(AND(INDEX(工程マスタ!$I$5:$I$154,$A104)="○",$E104&gt;=AZ$3,$E104&lt;=AZ$3+6),"▼",IF(AND($E104&gt;=AZ$3,$E104&lt;=AZ$3+6),$A104,"")))</f>
        <v/>
      </c>
      <c r="BA104" s="47" t="str">
        <f aca="false">IF($A104="","",IF(AND(INDEX(工程マスタ!$I$5:$I$154,$A104)="○",$E104&gt;=BA$3,$E104&lt;=BA$3+6),"▼",IF(AND($E104&gt;=BA$3,$E104&lt;=BA$3+6),$A104,"")))</f>
        <v/>
      </c>
      <c r="BB104" s="47" t="str">
        <f aca="false">IF($A104="","",IF(AND(INDEX(工程マスタ!$I$5:$I$154,$A104)="○",$E104&gt;=BB$3,$E104&lt;=BB$3+6),"▼",IF(AND($E104&gt;=BB$3,$E104&lt;=BB$3+6),$A104,"")))</f>
        <v/>
      </c>
      <c r="BC104" s="47" t="str">
        <f aca="false">IF($A104="","",IF(AND(INDEX(工程マスタ!$I$5:$I$154,$A104)="○",$E104&gt;=BC$3,$E104&lt;=BC$3+6),"▼",IF(AND($E104&gt;=BC$3,$E104&lt;=BC$3+6),$A104,"")))</f>
        <v/>
      </c>
      <c r="BD104" s="47" t="str">
        <f aca="false">IF($A104="","",IF(AND(INDEX(工程マスタ!$I$5:$I$154,$A104)="○",$E104&gt;=BD$3,$E104&lt;=BD$3+6),"▼",IF(AND($E104&gt;=BD$3,$E104&lt;=BD$3+6),$A104,"")))</f>
        <v/>
      </c>
      <c r="BE104" s="47" t="str">
        <f aca="false">IF($A104="","",IF(AND(INDEX(工程マスタ!$I$5:$I$154,$A104)="○",$E104&gt;=BE$3,$E104&lt;=BE$3+6),"▼",IF(AND($E104&gt;=BE$3,$E104&lt;=BE$3+6),$A104,"")))</f>
        <v/>
      </c>
      <c r="BF104" s="47" t="str">
        <f aca="false">IF($A104="","",IF(AND(INDEX(工程マスタ!$I$5:$I$154,$A104)="○",$E104&gt;=BF$3,$E104&lt;=BF$3+6),"▼",IF(AND($E104&gt;=BF$3,$E104&lt;=BF$3+6),$A104,"")))</f>
        <v/>
      </c>
      <c r="BG104" s="47" t="str">
        <f aca="false">IF($A104="","",IF(AND(INDEX(工程マスタ!$I$5:$I$154,$A104)="○",$E104&gt;=BG$3,$E104&lt;=BG$3+6),"▼",IF(AND($E104&gt;=BG$3,$E104&lt;=BG$3+6),$A104,"")))</f>
        <v/>
      </c>
      <c r="BH104" s="47" t="str">
        <f aca="false">IF($A104="","",IF(AND(INDEX(工程マスタ!$I$5:$I$154,$A104)="○",$E104&gt;=BH$3,$E104&lt;=BH$3+6),"▼",IF(AND($E104&gt;=BH$3,$E104&lt;=BH$3+6),$A104,"")))</f>
        <v/>
      </c>
      <c r="BI104" s="47" t="str">
        <f aca="false">IF($A104="","",IF(AND(INDEX(工程マスタ!$I$5:$I$154,$A104)="○",$E104&gt;=BI$3,$E104&lt;=BI$3+6),"▼",IF(AND($E104&gt;=BI$3,$E104&lt;=BI$3+6),$A104,"")))</f>
        <v/>
      </c>
      <c r="BJ104" s="47" t="str">
        <f aca="false">IF($A104="","",IF(AND(INDEX(工程マスタ!$I$5:$I$154,$A104)="○",$E104&gt;=BJ$3,$E104&lt;=BJ$3+6),"▼",IF(AND($E104&gt;=BJ$3,$E104&lt;=BJ$3+6),$A104,"")))</f>
        <v/>
      </c>
    </row>
    <row r="105" customFormat="false" ht="15" hidden="false" customHeight="false" outlineLevel="0" collapsed="false">
      <c r="A105" s="28" t="str">
        <f aca="false">IF(工程マスタ!$C103="","",工程マスタ!$A103)</f>
        <v/>
      </c>
      <c r="B105" s="46" t="str">
        <f aca="false">IF($A105="","",工程マスタ!$C103)</f>
        <v/>
      </c>
      <c r="C105" s="28" t="str">
        <f aca="false">IF($A105="","",MAX(1,工程マスタ!$G103))</f>
        <v/>
      </c>
      <c r="D105" s="28" t="str">
        <f aca="false">IF($A105="","",_xlfn.TEXTJOIN(",",TRUE(),工程マスタ!$N103:$P103))</f>
        <v/>
      </c>
      <c r="E105" s="29" t="str">
        <f aca="false">IF($A105="","",IF(COUNT(工程マスタ!$N103:$P103)=0,設定!$B$8,MAX(IF(工程マスタ!$N103="",0,INDEX($F$7:$F$156,工程マスタ!$N103)),IF(工程マスタ!$O103="",0,INDEX($F$7:$F$156,工程マスタ!$O103)),IF(工程マスタ!$P103="",0,INDEX($F$7:$F$156,工程マスタ!$P103)))+1))</f>
        <v/>
      </c>
      <c r="F105" s="29" t="str">
        <f aca="false">IF($A105="","",$E105+$C105-1)</f>
        <v/>
      </c>
      <c r="G105" s="29" t="str">
        <f aca="false">IF($A105="","",$H105-$C105+1)</f>
        <v/>
      </c>
      <c r="H105" s="29" t="str">
        <f aca="false" t="array" ref="H105:H105">IF($A105="","",IF(SUMPRODUCT((工程マスタ!$N$104:$N$154=$A105)*1)+SUMPRODUCT((工程マスタ!$O$104:$O$154=$A105)*1)+SUMPRODUCT((工程マスタ!$P$104:$P$154=$A105)*1)=0,MAX($F$7:$F$156),MIN(IF((工程マスタ!$N$104:$N$154=$A105)+(工程マスタ!$O$104:$O$154=$A105)+(工程マスタ!$P$104:$P$154=$A105),$G106:$G$156))-1))</f>
        <v/>
      </c>
      <c r="I105" s="28" t="str">
        <f aca="false">IF($A105="","",$G105-$E105)</f>
        <v/>
      </c>
      <c r="J105" s="28" t="str">
        <f aca="false">IF($A105="","",IF($I105&lt;=0,"●",""))</f>
        <v/>
      </c>
      <c r="K105" s="47" t="str">
        <f aca="false">IF($A105="","",IF(AND(INDEX(工程マスタ!$I$5:$I$154,$A105)="○",$E105&gt;=K$3,$E105&lt;=K$3+6),"▼",IF(AND($E105&gt;=K$3,$E105&lt;=K$3+6),$A105,"")))</f>
        <v/>
      </c>
      <c r="L105" s="47" t="str">
        <f aca="false">IF($A105="","",IF(AND(INDEX(工程マスタ!$I$5:$I$154,$A105)="○",$E105&gt;=L$3,$E105&lt;=L$3+6),"▼",IF(AND($E105&gt;=L$3,$E105&lt;=L$3+6),$A105,"")))</f>
        <v/>
      </c>
      <c r="M105" s="47" t="str">
        <f aca="false">IF($A105="","",IF(AND(INDEX(工程マスタ!$I$5:$I$154,$A105)="○",$E105&gt;=M$3,$E105&lt;=M$3+6),"▼",IF(AND($E105&gt;=M$3,$E105&lt;=M$3+6),$A105,"")))</f>
        <v/>
      </c>
      <c r="N105" s="47" t="str">
        <f aca="false">IF($A105="","",IF(AND(INDEX(工程マスタ!$I$5:$I$154,$A105)="○",$E105&gt;=N$3,$E105&lt;=N$3+6),"▼",IF(AND($E105&gt;=N$3,$E105&lt;=N$3+6),$A105,"")))</f>
        <v/>
      </c>
      <c r="O105" s="47" t="str">
        <f aca="false">IF($A105="","",IF(AND(INDEX(工程マスタ!$I$5:$I$154,$A105)="○",$E105&gt;=O$3,$E105&lt;=O$3+6),"▼",IF(AND($E105&gt;=O$3,$E105&lt;=O$3+6),$A105,"")))</f>
        <v/>
      </c>
      <c r="P105" s="47" t="str">
        <f aca="false">IF($A105="","",IF(AND(INDEX(工程マスタ!$I$5:$I$154,$A105)="○",$E105&gt;=P$3,$E105&lt;=P$3+6),"▼",IF(AND($E105&gt;=P$3,$E105&lt;=P$3+6),$A105,"")))</f>
        <v/>
      </c>
      <c r="Q105" s="47" t="str">
        <f aca="false">IF($A105="","",IF(AND(INDEX(工程マスタ!$I$5:$I$154,$A105)="○",$E105&gt;=Q$3,$E105&lt;=Q$3+6),"▼",IF(AND($E105&gt;=Q$3,$E105&lt;=Q$3+6),$A105,"")))</f>
        <v/>
      </c>
      <c r="R105" s="47" t="str">
        <f aca="false">IF($A105="","",IF(AND(INDEX(工程マスタ!$I$5:$I$154,$A105)="○",$E105&gt;=R$3,$E105&lt;=R$3+6),"▼",IF(AND($E105&gt;=R$3,$E105&lt;=R$3+6),$A105,"")))</f>
        <v/>
      </c>
      <c r="S105" s="47" t="str">
        <f aca="false">IF($A105="","",IF(AND(INDEX(工程マスタ!$I$5:$I$154,$A105)="○",$E105&gt;=S$3,$E105&lt;=S$3+6),"▼",IF(AND($E105&gt;=S$3,$E105&lt;=S$3+6),$A105,"")))</f>
        <v/>
      </c>
      <c r="T105" s="47" t="str">
        <f aca="false">IF($A105="","",IF(AND(INDEX(工程マスタ!$I$5:$I$154,$A105)="○",$E105&gt;=T$3,$E105&lt;=T$3+6),"▼",IF(AND($E105&gt;=T$3,$E105&lt;=T$3+6),$A105,"")))</f>
        <v/>
      </c>
      <c r="U105" s="47" t="str">
        <f aca="false">IF($A105="","",IF(AND(INDEX(工程マスタ!$I$5:$I$154,$A105)="○",$E105&gt;=U$3,$E105&lt;=U$3+6),"▼",IF(AND($E105&gt;=U$3,$E105&lt;=U$3+6),$A105,"")))</f>
        <v/>
      </c>
      <c r="V105" s="47" t="str">
        <f aca="false">IF($A105="","",IF(AND(INDEX(工程マスタ!$I$5:$I$154,$A105)="○",$E105&gt;=V$3,$E105&lt;=V$3+6),"▼",IF(AND($E105&gt;=V$3,$E105&lt;=V$3+6),$A105,"")))</f>
        <v/>
      </c>
      <c r="W105" s="47" t="str">
        <f aca="false">IF($A105="","",IF(AND(INDEX(工程マスタ!$I$5:$I$154,$A105)="○",$E105&gt;=W$3,$E105&lt;=W$3+6),"▼",IF(AND($E105&gt;=W$3,$E105&lt;=W$3+6),$A105,"")))</f>
        <v/>
      </c>
      <c r="X105" s="47" t="str">
        <f aca="false">IF($A105="","",IF(AND(INDEX(工程マスタ!$I$5:$I$154,$A105)="○",$E105&gt;=X$3,$E105&lt;=X$3+6),"▼",IF(AND($E105&gt;=X$3,$E105&lt;=X$3+6),$A105,"")))</f>
        <v/>
      </c>
      <c r="Y105" s="47" t="str">
        <f aca="false">IF($A105="","",IF(AND(INDEX(工程マスタ!$I$5:$I$154,$A105)="○",$E105&gt;=Y$3,$E105&lt;=Y$3+6),"▼",IF(AND($E105&gt;=Y$3,$E105&lt;=Y$3+6),$A105,"")))</f>
        <v/>
      </c>
      <c r="Z105" s="47" t="str">
        <f aca="false">IF($A105="","",IF(AND(INDEX(工程マスタ!$I$5:$I$154,$A105)="○",$E105&gt;=Z$3,$E105&lt;=Z$3+6),"▼",IF(AND($E105&gt;=Z$3,$E105&lt;=Z$3+6),$A105,"")))</f>
        <v/>
      </c>
      <c r="AA105" s="47" t="str">
        <f aca="false">IF($A105="","",IF(AND(INDEX(工程マスタ!$I$5:$I$154,$A105)="○",$E105&gt;=AA$3,$E105&lt;=AA$3+6),"▼",IF(AND($E105&gt;=AA$3,$E105&lt;=AA$3+6),$A105,"")))</f>
        <v/>
      </c>
      <c r="AB105" s="47" t="str">
        <f aca="false">IF($A105="","",IF(AND(INDEX(工程マスタ!$I$5:$I$154,$A105)="○",$E105&gt;=AB$3,$E105&lt;=AB$3+6),"▼",IF(AND($E105&gt;=AB$3,$E105&lt;=AB$3+6),$A105,"")))</f>
        <v/>
      </c>
      <c r="AC105" s="47" t="str">
        <f aca="false">IF($A105="","",IF(AND(INDEX(工程マスタ!$I$5:$I$154,$A105)="○",$E105&gt;=AC$3,$E105&lt;=AC$3+6),"▼",IF(AND($E105&gt;=AC$3,$E105&lt;=AC$3+6),$A105,"")))</f>
        <v/>
      </c>
      <c r="AD105" s="47" t="str">
        <f aca="false">IF($A105="","",IF(AND(INDEX(工程マスタ!$I$5:$I$154,$A105)="○",$E105&gt;=AD$3,$E105&lt;=AD$3+6),"▼",IF(AND($E105&gt;=AD$3,$E105&lt;=AD$3+6),$A105,"")))</f>
        <v/>
      </c>
      <c r="AE105" s="47" t="str">
        <f aca="false">IF($A105="","",IF(AND(INDEX(工程マスタ!$I$5:$I$154,$A105)="○",$E105&gt;=AE$3,$E105&lt;=AE$3+6),"▼",IF(AND($E105&gt;=AE$3,$E105&lt;=AE$3+6),$A105,"")))</f>
        <v/>
      </c>
      <c r="AF105" s="47" t="str">
        <f aca="false">IF($A105="","",IF(AND(INDEX(工程マスタ!$I$5:$I$154,$A105)="○",$E105&gt;=AF$3,$E105&lt;=AF$3+6),"▼",IF(AND($E105&gt;=AF$3,$E105&lt;=AF$3+6),$A105,"")))</f>
        <v/>
      </c>
      <c r="AG105" s="47" t="str">
        <f aca="false">IF($A105="","",IF(AND(INDEX(工程マスタ!$I$5:$I$154,$A105)="○",$E105&gt;=AG$3,$E105&lt;=AG$3+6),"▼",IF(AND($E105&gt;=AG$3,$E105&lt;=AG$3+6),$A105,"")))</f>
        <v/>
      </c>
      <c r="AH105" s="47" t="str">
        <f aca="false">IF($A105="","",IF(AND(INDEX(工程マスタ!$I$5:$I$154,$A105)="○",$E105&gt;=AH$3,$E105&lt;=AH$3+6),"▼",IF(AND($E105&gt;=AH$3,$E105&lt;=AH$3+6),$A105,"")))</f>
        <v/>
      </c>
      <c r="AI105" s="47" t="str">
        <f aca="false">IF($A105="","",IF(AND(INDEX(工程マスタ!$I$5:$I$154,$A105)="○",$E105&gt;=AI$3,$E105&lt;=AI$3+6),"▼",IF(AND($E105&gt;=AI$3,$E105&lt;=AI$3+6),$A105,"")))</f>
        <v/>
      </c>
      <c r="AJ105" s="47" t="str">
        <f aca="false">IF($A105="","",IF(AND(INDEX(工程マスタ!$I$5:$I$154,$A105)="○",$E105&gt;=AJ$3,$E105&lt;=AJ$3+6),"▼",IF(AND($E105&gt;=AJ$3,$E105&lt;=AJ$3+6),$A105,"")))</f>
        <v/>
      </c>
      <c r="AK105" s="47" t="str">
        <f aca="false">IF($A105="","",IF(AND(INDEX(工程マスタ!$I$5:$I$154,$A105)="○",$E105&gt;=AK$3,$E105&lt;=AK$3+6),"▼",IF(AND($E105&gt;=AK$3,$E105&lt;=AK$3+6),$A105,"")))</f>
        <v/>
      </c>
      <c r="AL105" s="47" t="str">
        <f aca="false">IF($A105="","",IF(AND(INDEX(工程マスタ!$I$5:$I$154,$A105)="○",$E105&gt;=AL$3,$E105&lt;=AL$3+6),"▼",IF(AND($E105&gt;=AL$3,$E105&lt;=AL$3+6),$A105,"")))</f>
        <v/>
      </c>
      <c r="AM105" s="47" t="str">
        <f aca="false">IF($A105="","",IF(AND(INDEX(工程マスタ!$I$5:$I$154,$A105)="○",$E105&gt;=AM$3,$E105&lt;=AM$3+6),"▼",IF(AND($E105&gt;=AM$3,$E105&lt;=AM$3+6),$A105,"")))</f>
        <v/>
      </c>
      <c r="AN105" s="47" t="str">
        <f aca="false">IF($A105="","",IF(AND(INDEX(工程マスタ!$I$5:$I$154,$A105)="○",$E105&gt;=AN$3,$E105&lt;=AN$3+6),"▼",IF(AND($E105&gt;=AN$3,$E105&lt;=AN$3+6),$A105,"")))</f>
        <v/>
      </c>
      <c r="AO105" s="47" t="str">
        <f aca="false">IF($A105="","",IF(AND(INDEX(工程マスタ!$I$5:$I$154,$A105)="○",$E105&gt;=AO$3,$E105&lt;=AO$3+6),"▼",IF(AND($E105&gt;=AO$3,$E105&lt;=AO$3+6),$A105,"")))</f>
        <v/>
      </c>
      <c r="AP105" s="47" t="str">
        <f aca="false">IF($A105="","",IF(AND(INDEX(工程マスタ!$I$5:$I$154,$A105)="○",$E105&gt;=AP$3,$E105&lt;=AP$3+6),"▼",IF(AND($E105&gt;=AP$3,$E105&lt;=AP$3+6),$A105,"")))</f>
        <v/>
      </c>
      <c r="AQ105" s="47" t="str">
        <f aca="false">IF($A105="","",IF(AND(INDEX(工程マスタ!$I$5:$I$154,$A105)="○",$E105&gt;=AQ$3,$E105&lt;=AQ$3+6),"▼",IF(AND($E105&gt;=AQ$3,$E105&lt;=AQ$3+6),$A105,"")))</f>
        <v/>
      </c>
      <c r="AR105" s="47" t="str">
        <f aca="false">IF($A105="","",IF(AND(INDEX(工程マスタ!$I$5:$I$154,$A105)="○",$E105&gt;=AR$3,$E105&lt;=AR$3+6),"▼",IF(AND($E105&gt;=AR$3,$E105&lt;=AR$3+6),$A105,"")))</f>
        <v/>
      </c>
      <c r="AS105" s="47" t="str">
        <f aca="false">IF($A105="","",IF(AND(INDEX(工程マスタ!$I$5:$I$154,$A105)="○",$E105&gt;=AS$3,$E105&lt;=AS$3+6),"▼",IF(AND($E105&gt;=AS$3,$E105&lt;=AS$3+6),$A105,"")))</f>
        <v/>
      </c>
      <c r="AT105" s="47" t="str">
        <f aca="false">IF($A105="","",IF(AND(INDEX(工程マスタ!$I$5:$I$154,$A105)="○",$E105&gt;=AT$3,$E105&lt;=AT$3+6),"▼",IF(AND($E105&gt;=AT$3,$E105&lt;=AT$3+6),$A105,"")))</f>
        <v/>
      </c>
      <c r="AU105" s="47" t="str">
        <f aca="false">IF($A105="","",IF(AND(INDEX(工程マスタ!$I$5:$I$154,$A105)="○",$E105&gt;=AU$3,$E105&lt;=AU$3+6),"▼",IF(AND($E105&gt;=AU$3,$E105&lt;=AU$3+6),$A105,"")))</f>
        <v/>
      </c>
      <c r="AV105" s="47" t="str">
        <f aca="false">IF($A105="","",IF(AND(INDEX(工程マスタ!$I$5:$I$154,$A105)="○",$E105&gt;=AV$3,$E105&lt;=AV$3+6),"▼",IF(AND($E105&gt;=AV$3,$E105&lt;=AV$3+6),$A105,"")))</f>
        <v/>
      </c>
      <c r="AW105" s="47" t="str">
        <f aca="false">IF($A105="","",IF(AND(INDEX(工程マスタ!$I$5:$I$154,$A105)="○",$E105&gt;=AW$3,$E105&lt;=AW$3+6),"▼",IF(AND($E105&gt;=AW$3,$E105&lt;=AW$3+6),$A105,"")))</f>
        <v/>
      </c>
      <c r="AX105" s="47" t="str">
        <f aca="false">IF($A105="","",IF(AND(INDEX(工程マスタ!$I$5:$I$154,$A105)="○",$E105&gt;=AX$3,$E105&lt;=AX$3+6),"▼",IF(AND($E105&gt;=AX$3,$E105&lt;=AX$3+6),$A105,"")))</f>
        <v/>
      </c>
      <c r="AY105" s="47" t="str">
        <f aca="false">IF($A105="","",IF(AND(INDEX(工程マスタ!$I$5:$I$154,$A105)="○",$E105&gt;=AY$3,$E105&lt;=AY$3+6),"▼",IF(AND($E105&gt;=AY$3,$E105&lt;=AY$3+6),$A105,"")))</f>
        <v/>
      </c>
      <c r="AZ105" s="47" t="str">
        <f aca="false">IF($A105="","",IF(AND(INDEX(工程マスタ!$I$5:$I$154,$A105)="○",$E105&gt;=AZ$3,$E105&lt;=AZ$3+6),"▼",IF(AND($E105&gt;=AZ$3,$E105&lt;=AZ$3+6),$A105,"")))</f>
        <v/>
      </c>
      <c r="BA105" s="47" t="str">
        <f aca="false">IF($A105="","",IF(AND(INDEX(工程マスタ!$I$5:$I$154,$A105)="○",$E105&gt;=BA$3,$E105&lt;=BA$3+6),"▼",IF(AND($E105&gt;=BA$3,$E105&lt;=BA$3+6),$A105,"")))</f>
        <v/>
      </c>
      <c r="BB105" s="47" t="str">
        <f aca="false">IF($A105="","",IF(AND(INDEX(工程マスタ!$I$5:$I$154,$A105)="○",$E105&gt;=BB$3,$E105&lt;=BB$3+6),"▼",IF(AND($E105&gt;=BB$3,$E105&lt;=BB$3+6),$A105,"")))</f>
        <v/>
      </c>
      <c r="BC105" s="47" t="str">
        <f aca="false">IF($A105="","",IF(AND(INDEX(工程マスタ!$I$5:$I$154,$A105)="○",$E105&gt;=BC$3,$E105&lt;=BC$3+6),"▼",IF(AND($E105&gt;=BC$3,$E105&lt;=BC$3+6),$A105,"")))</f>
        <v/>
      </c>
      <c r="BD105" s="47" t="str">
        <f aca="false">IF($A105="","",IF(AND(INDEX(工程マスタ!$I$5:$I$154,$A105)="○",$E105&gt;=BD$3,$E105&lt;=BD$3+6),"▼",IF(AND($E105&gt;=BD$3,$E105&lt;=BD$3+6),$A105,"")))</f>
        <v/>
      </c>
      <c r="BE105" s="47" t="str">
        <f aca="false">IF($A105="","",IF(AND(INDEX(工程マスタ!$I$5:$I$154,$A105)="○",$E105&gt;=BE$3,$E105&lt;=BE$3+6),"▼",IF(AND($E105&gt;=BE$3,$E105&lt;=BE$3+6),$A105,"")))</f>
        <v/>
      </c>
      <c r="BF105" s="47" t="str">
        <f aca="false">IF($A105="","",IF(AND(INDEX(工程マスタ!$I$5:$I$154,$A105)="○",$E105&gt;=BF$3,$E105&lt;=BF$3+6),"▼",IF(AND($E105&gt;=BF$3,$E105&lt;=BF$3+6),$A105,"")))</f>
        <v/>
      </c>
      <c r="BG105" s="47" t="str">
        <f aca="false">IF($A105="","",IF(AND(INDEX(工程マスタ!$I$5:$I$154,$A105)="○",$E105&gt;=BG$3,$E105&lt;=BG$3+6),"▼",IF(AND($E105&gt;=BG$3,$E105&lt;=BG$3+6),$A105,"")))</f>
        <v/>
      </c>
      <c r="BH105" s="47" t="str">
        <f aca="false">IF($A105="","",IF(AND(INDEX(工程マスタ!$I$5:$I$154,$A105)="○",$E105&gt;=BH$3,$E105&lt;=BH$3+6),"▼",IF(AND($E105&gt;=BH$3,$E105&lt;=BH$3+6),$A105,"")))</f>
        <v/>
      </c>
      <c r="BI105" s="47" t="str">
        <f aca="false">IF($A105="","",IF(AND(INDEX(工程マスタ!$I$5:$I$154,$A105)="○",$E105&gt;=BI$3,$E105&lt;=BI$3+6),"▼",IF(AND($E105&gt;=BI$3,$E105&lt;=BI$3+6),$A105,"")))</f>
        <v/>
      </c>
      <c r="BJ105" s="47" t="str">
        <f aca="false">IF($A105="","",IF(AND(INDEX(工程マスタ!$I$5:$I$154,$A105)="○",$E105&gt;=BJ$3,$E105&lt;=BJ$3+6),"▼",IF(AND($E105&gt;=BJ$3,$E105&lt;=BJ$3+6),$A105,"")))</f>
        <v/>
      </c>
    </row>
    <row r="106" customFormat="false" ht="15" hidden="false" customHeight="false" outlineLevel="0" collapsed="false">
      <c r="A106" s="28" t="str">
        <f aca="false">IF(工程マスタ!$C104="","",工程マスタ!$A104)</f>
        <v/>
      </c>
      <c r="B106" s="46" t="str">
        <f aca="false">IF($A106="","",工程マスタ!$C104)</f>
        <v/>
      </c>
      <c r="C106" s="28" t="str">
        <f aca="false">IF($A106="","",MAX(1,工程マスタ!$G104))</f>
        <v/>
      </c>
      <c r="D106" s="28" t="str">
        <f aca="false">IF($A106="","",_xlfn.TEXTJOIN(",",TRUE(),工程マスタ!$N104:$P104))</f>
        <v/>
      </c>
      <c r="E106" s="29" t="str">
        <f aca="false">IF($A106="","",IF(COUNT(工程マスタ!$N104:$P104)=0,設定!$B$8,MAX(IF(工程マスタ!$N104="",0,INDEX($F$7:$F$156,工程マスタ!$N104)),IF(工程マスタ!$O104="",0,INDEX($F$7:$F$156,工程マスタ!$O104)),IF(工程マスタ!$P104="",0,INDEX($F$7:$F$156,工程マスタ!$P104)))+1))</f>
        <v/>
      </c>
      <c r="F106" s="29" t="str">
        <f aca="false">IF($A106="","",$E106+$C106-1)</f>
        <v/>
      </c>
      <c r="G106" s="29" t="str">
        <f aca="false">IF($A106="","",$H106-$C106+1)</f>
        <v/>
      </c>
      <c r="H106" s="29" t="str">
        <f aca="false" t="array" ref="H106:H106">IF($A106="","",IF(SUMPRODUCT((工程マスタ!$N$105:$N$154=$A106)*1)+SUMPRODUCT((工程マスタ!$O$105:$O$154=$A106)*1)+SUMPRODUCT((工程マスタ!$P$105:$P$154=$A106)*1)=0,MAX($F$7:$F$156),MIN(IF((工程マスタ!$N$105:$N$154=$A106)+(工程マスタ!$O$105:$O$154=$A106)+(工程マスタ!$P$105:$P$154=$A106),$G107:$G$156))-1))</f>
        <v/>
      </c>
      <c r="I106" s="28" t="str">
        <f aca="false">IF($A106="","",$G106-$E106)</f>
        <v/>
      </c>
      <c r="J106" s="28" t="str">
        <f aca="false">IF($A106="","",IF($I106&lt;=0,"●",""))</f>
        <v/>
      </c>
      <c r="K106" s="47" t="str">
        <f aca="false">IF($A106="","",IF(AND(INDEX(工程マスタ!$I$5:$I$154,$A106)="○",$E106&gt;=K$3,$E106&lt;=K$3+6),"▼",IF(AND($E106&gt;=K$3,$E106&lt;=K$3+6),$A106,"")))</f>
        <v/>
      </c>
      <c r="L106" s="47" t="str">
        <f aca="false">IF($A106="","",IF(AND(INDEX(工程マスタ!$I$5:$I$154,$A106)="○",$E106&gt;=L$3,$E106&lt;=L$3+6),"▼",IF(AND($E106&gt;=L$3,$E106&lt;=L$3+6),$A106,"")))</f>
        <v/>
      </c>
      <c r="M106" s="47" t="str">
        <f aca="false">IF($A106="","",IF(AND(INDEX(工程マスタ!$I$5:$I$154,$A106)="○",$E106&gt;=M$3,$E106&lt;=M$3+6),"▼",IF(AND($E106&gt;=M$3,$E106&lt;=M$3+6),$A106,"")))</f>
        <v/>
      </c>
      <c r="N106" s="47" t="str">
        <f aca="false">IF($A106="","",IF(AND(INDEX(工程マスタ!$I$5:$I$154,$A106)="○",$E106&gt;=N$3,$E106&lt;=N$3+6),"▼",IF(AND($E106&gt;=N$3,$E106&lt;=N$3+6),$A106,"")))</f>
        <v/>
      </c>
      <c r="O106" s="47" t="str">
        <f aca="false">IF($A106="","",IF(AND(INDEX(工程マスタ!$I$5:$I$154,$A106)="○",$E106&gt;=O$3,$E106&lt;=O$3+6),"▼",IF(AND($E106&gt;=O$3,$E106&lt;=O$3+6),$A106,"")))</f>
        <v/>
      </c>
      <c r="P106" s="47" t="str">
        <f aca="false">IF($A106="","",IF(AND(INDEX(工程マスタ!$I$5:$I$154,$A106)="○",$E106&gt;=P$3,$E106&lt;=P$3+6),"▼",IF(AND($E106&gt;=P$3,$E106&lt;=P$3+6),$A106,"")))</f>
        <v/>
      </c>
      <c r="Q106" s="47" t="str">
        <f aca="false">IF($A106="","",IF(AND(INDEX(工程マスタ!$I$5:$I$154,$A106)="○",$E106&gt;=Q$3,$E106&lt;=Q$3+6),"▼",IF(AND($E106&gt;=Q$3,$E106&lt;=Q$3+6),$A106,"")))</f>
        <v/>
      </c>
      <c r="R106" s="47" t="str">
        <f aca="false">IF($A106="","",IF(AND(INDEX(工程マスタ!$I$5:$I$154,$A106)="○",$E106&gt;=R$3,$E106&lt;=R$3+6),"▼",IF(AND($E106&gt;=R$3,$E106&lt;=R$3+6),$A106,"")))</f>
        <v/>
      </c>
      <c r="S106" s="47" t="str">
        <f aca="false">IF($A106="","",IF(AND(INDEX(工程マスタ!$I$5:$I$154,$A106)="○",$E106&gt;=S$3,$E106&lt;=S$3+6),"▼",IF(AND($E106&gt;=S$3,$E106&lt;=S$3+6),$A106,"")))</f>
        <v/>
      </c>
      <c r="T106" s="47" t="str">
        <f aca="false">IF($A106="","",IF(AND(INDEX(工程マスタ!$I$5:$I$154,$A106)="○",$E106&gt;=T$3,$E106&lt;=T$3+6),"▼",IF(AND($E106&gt;=T$3,$E106&lt;=T$3+6),$A106,"")))</f>
        <v/>
      </c>
      <c r="U106" s="47" t="str">
        <f aca="false">IF($A106="","",IF(AND(INDEX(工程マスタ!$I$5:$I$154,$A106)="○",$E106&gt;=U$3,$E106&lt;=U$3+6),"▼",IF(AND($E106&gt;=U$3,$E106&lt;=U$3+6),$A106,"")))</f>
        <v/>
      </c>
      <c r="V106" s="47" t="str">
        <f aca="false">IF($A106="","",IF(AND(INDEX(工程マスタ!$I$5:$I$154,$A106)="○",$E106&gt;=V$3,$E106&lt;=V$3+6),"▼",IF(AND($E106&gt;=V$3,$E106&lt;=V$3+6),$A106,"")))</f>
        <v/>
      </c>
      <c r="W106" s="47" t="str">
        <f aca="false">IF($A106="","",IF(AND(INDEX(工程マスタ!$I$5:$I$154,$A106)="○",$E106&gt;=W$3,$E106&lt;=W$3+6),"▼",IF(AND($E106&gt;=W$3,$E106&lt;=W$3+6),$A106,"")))</f>
        <v/>
      </c>
      <c r="X106" s="47" t="str">
        <f aca="false">IF($A106="","",IF(AND(INDEX(工程マスタ!$I$5:$I$154,$A106)="○",$E106&gt;=X$3,$E106&lt;=X$3+6),"▼",IF(AND($E106&gt;=X$3,$E106&lt;=X$3+6),$A106,"")))</f>
        <v/>
      </c>
      <c r="Y106" s="47" t="str">
        <f aca="false">IF($A106="","",IF(AND(INDEX(工程マスタ!$I$5:$I$154,$A106)="○",$E106&gt;=Y$3,$E106&lt;=Y$3+6),"▼",IF(AND($E106&gt;=Y$3,$E106&lt;=Y$3+6),$A106,"")))</f>
        <v/>
      </c>
      <c r="Z106" s="47" t="str">
        <f aca="false">IF($A106="","",IF(AND(INDEX(工程マスタ!$I$5:$I$154,$A106)="○",$E106&gt;=Z$3,$E106&lt;=Z$3+6),"▼",IF(AND($E106&gt;=Z$3,$E106&lt;=Z$3+6),$A106,"")))</f>
        <v/>
      </c>
      <c r="AA106" s="47" t="str">
        <f aca="false">IF($A106="","",IF(AND(INDEX(工程マスタ!$I$5:$I$154,$A106)="○",$E106&gt;=AA$3,$E106&lt;=AA$3+6),"▼",IF(AND($E106&gt;=AA$3,$E106&lt;=AA$3+6),$A106,"")))</f>
        <v/>
      </c>
      <c r="AB106" s="47" t="str">
        <f aca="false">IF($A106="","",IF(AND(INDEX(工程マスタ!$I$5:$I$154,$A106)="○",$E106&gt;=AB$3,$E106&lt;=AB$3+6),"▼",IF(AND($E106&gt;=AB$3,$E106&lt;=AB$3+6),$A106,"")))</f>
        <v/>
      </c>
      <c r="AC106" s="47" t="str">
        <f aca="false">IF($A106="","",IF(AND(INDEX(工程マスタ!$I$5:$I$154,$A106)="○",$E106&gt;=AC$3,$E106&lt;=AC$3+6),"▼",IF(AND($E106&gt;=AC$3,$E106&lt;=AC$3+6),$A106,"")))</f>
        <v/>
      </c>
      <c r="AD106" s="47" t="str">
        <f aca="false">IF($A106="","",IF(AND(INDEX(工程マスタ!$I$5:$I$154,$A106)="○",$E106&gt;=AD$3,$E106&lt;=AD$3+6),"▼",IF(AND($E106&gt;=AD$3,$E106&lt;=AD$3+6),$A106,"")))</f>
        <v/>
      </c>
      <c r="AE106" s="47" t="str">
        <f aca="false">IF($A106="","",IF(AND(INDEX(工程マスタ!$I$5:$I$154,$A106)="○",$E106&gt;=AE$3,$E106&lt;=AE$3+6),"▼",IF(AND($E106&gt;=AE$3,$E106&lt;=AE$3+6),$A106,"")))</f>
        <v/>
      </c>
      <c r="AF106" s="47" t="str">
        <f aca="false">IF($A106="","",IF(AND(INDEX(工程マスタ!$I$5:$I$154,$A106)="○",$E106&gt;=AF$3,$E106&lt;=AF$3+6),"▼",IF(AND($E106&gt;=AF$3,$E106&lt;=AF$3+6),$A106,"")))</f>
        <v/>
      </c>
      <c r="AG106" s="47" t="str">
        <f aca="false">IF($A106="","",IF(AND(INDEX(工程マスタ!$I$5:$I$154,$A106)="○",$E106&gt;=AG$3,$E106&lt;=AG$3+6),"▼",IF(AND($E106&gt;=AG$3,$E106&lt;=AG$3+6),$A106,"")))</f>
        <v/>
      </c>
      <c r="AH106" s="47" t="str">
        <f aca="false">IF($A106="","",IF(AND(INDEX(工程マスタ!$I$5:$I$154,$A106)="○",$E106&gt;=AH$3,$E106&lt;=AH$3+6),"▼",IF(AND($E106&gt;=AH$3,$E106&lt;=AH$3+6),$A106,"")))</f>
        <v/>
      </c>
      <c r="AI106" s="47" t="str">
        <f aca="false">IF($A106="","",IF(AND(INDEX(工程マスタ!$I$5:$I$154,$A106)="○",$E106&gt;=AI$3,$E106&lt;=AI$3+6),"▼",IF(AND($E106&gt;=AI$3,$E106&lt;=AI$3+6),$A106,"")))</f>
        <v/>
      </c>
      <c r="AJ106" s="47" t="str">
        <f aca="false">IF($A106="","",IF(AND(INDEX(工程マスタ!$I$5:$I$154,$A106)="○",$E106&gt;=AJ$3,$E106&lt;=AJ$3+6),"▼",IF(AND($E106&gt;=AJ$3,$E106&lt;=AJ$3+6),$A106,"")))</f>
        <v/>
      </c>
      <c r="AK106" s="47" t="str">
        <f aca="false">IF($A106="","",IF(AND(INDEX(工程マスタ!$I$5:$I$154,$A106)="○",$E106&gt;=AK$3,$E106&lt;=AK$3+6),"▼",IF(AND($E106&gt;=AK$3,$E106&lt;=AK$3+6),$A106,"")))</f>
        <v/>
      </c>
      <c r="AL106" s="47" t="str">
        <f aca="false">IF($A106="","",IF(AND(INDEX(工程マスタ!$I$5:$I$154,$A106)="○",$E106&gt;=AL$3,$E106&lt;=AL$3+6),"▼",IF(AND($E106&gt;=AL$3,$E106&lt;=AL$3+6),$A106,"")))</f>
        <v/>
      </c>
      <c r="AM106" s="47" t="str">
        <f aca="false">IF($A106="","",IF(AND(INDEX(工程マスタ!$I$5:$I$154,$A106)="○",$E106&gt;=AM$3,$E106&lt;=AM$3+6),"▼",IF(AND($E106&gt;=AM$3,$E106&lt;=AM$3+6),$A106,"")))</f>
        <v/>
      </c>
      <c r="AN106" s="47" t="str">
        <f aca="false">IF($A106="","",IF(AND(INDEX(工程マスタ!$I$5:$I$154,$A106)="○",$E106&gt;=AN$3,$E106&lt;=AN$3+6),"▼",IF(AND($E106&gt;=AN$3,$E106&lt;=AN$3+6),$A106,"")))</f>
        <v/>
      </c>
      <c r="AO106" s="47" t="str">
        <f aca="false">IF($A106="","",IF(AND(INDEX(工程マスタ!$I$5:$I$154,$A106)="○",$E106&gt;=AO$3,$E106&lt;=AO$3+6),"▼",IF(AND($E106&gt;=AO$3,$E106&lt;=AO$3+6),$A106,"")))</f>
        <v/>
      </c>
      <c r="AP106" s="47" t="str">
        <f aca="false">IF($A106="","",IF(AND(INDEX(工程マスタ!$I$5:$I$154,$A106)="○",$E106&gt;=AP$3,$E106&lt;=AP$3+6),"▼",IF(AND($E106&gt;=AP$3,$E106&lt;=AP$3+6),$A106,"")))</f>
        <v/>
      </c>
      <c r="AQ106" s="47" t="str">
        <f aca="false">IF($A106="","",IF(AND(INDEX(工程マスタ!$I$5:$I$154,$A106)="○",$E106&gt;=AQ$3,$E106&lt;=AQ$3+6),"▼",IF(AND($E106&gt;=AQ$3,$E106&lt;=AQ$3+6),$A106,"")))</f>
        <v/>
      </c>
      <c r="AR106" s="47" t="str">
        <f aca="false">IF($A106="","",IF(AND(INDEX(工程マスタ!$I$5:$I$154,$A106)="○",$E106&gt;=AR$3,$E106&lt;=AR$3+6),"▼",IF(AND($E106&gt;=AR$3,$E106&lt;=AR$3+6),$A106,"")))</f>
        <v/>
      </c>
      <c r="AS106" s="47" t="str">
        <f aca="false">IF($A106="","",IF(AND(INDEX(工程マスタ!$I$5:$I$154,$A106)="○",$E106&gt;=AS$3,$E106&lt;=AS$3+6),"▼",IF(AND($E106&gt;=AS$3,$E106&lt;=AS$3+6),$A106,"")))</f>
        <v/>
      </c>
      <c r="AT106" s="47" t="str">
        <f aca="false">IF($A106="","",IF(AND(INDEX(工程マスタ!$I$5:$I$154,$A106)="○",$E106&gt;=AT$3,$E106&lt;=AT$3+6),"▼",IF(AND($E106&gt;=AT$3,$E106&lt;=AT$3+6),$A106,"")))</f>
        <v/>
      </c>
      <c r="AU106" s="47" t="str">
        <f aca="false">IF($A106="","",IF(AND(INDEX(工程マスタ!$I$5:$I$154,$A106)="○",$E106&gt;=AU$3,$E106&lt;=AU$3+6),"▼",IF(AND($E106&gt;=AU$3,$E106&lt;=AU$3+6),$A106,"")))</f>
        <v/>
      </c>
      <c r="AV106" s="47" t="str">
        <f aca="false">IF($A106="","",IF(AND(INDEX(工程マスタ!$I$5:$I$154,$A106)="○",$E106&gt;=AV$3,$E106&lt;=AV$3+6),"▼",IF(AND($E106&gt;=AV$3,$E106&lt;=AV$3+6),$A106,"")))</f>
        <v/>
      </c>
      <c r="AW106" s="47" t="str">
        <f aca="false">IF($A106="","",IF(AND(INDEX(工程マスタ!$I$5:$I$154,$A106)="○",$E106&gt;=AW$3,$E106&lt;=AW$3+6),"▼",IF(AND($E106&gt;=AW$3,$E106&lt;=AW$3+6),$A106,"")))</f>
        <v/>
      </c>
      <c r="AX106" s="47" t="str">
        <f aca="false">IF($A106="","",IF(AND(INDEX(工程マスタ!$I$5:$I$154,$A106)="○",$E106&gt;=AX$3,$E106&lt;=AX$3+6),"▼",IF(AND($E106&gt;=AX$3,$E106&lt;=AX$3+6),$A106,"")))</f>
        <v/>
      </c>
      <c r="AY106" s="47" t="str">
        <f aca="false">IF($A106="","",IF(AND(INDEX(工程マスタ!$I$5:$I$154,$A106)="○",$E106&gt;=AY$3,$E106&lt;=AY$3+6),"▼",IF(AND($E106&gt;=AY$3,$E106&lt;=AY$3+6),$A106,"")))</f>
        <v/>
      </c>
      <c r="AZ106" s="47" t="str">
        <f aca="false">IF($A106="","",IF(AND(INDEX(工程マスタ!$I$5:$I$154,$A106)="○",$E106&gt;=AZ$3,$E106&lt;=AZ$3+6),"▼",IF(AND($E106&gt;=AZ$3,$E106&lt;=AZ$3+6),$A106,"")))</f>
        <v/>
      </c>
      <c r="BA106" s="47" t="str">
        <f aca="false">IF($A106="","",IF(AND(INDEX(工程マスタ!$I$5:$I$154,$A106)="○",$E106&gt;=BA$3,$E106&lt;=BA$3+6),"▼",IF(AND($E106&gt;=BA$3,$E106&lt;=BA$3+6),$A106,"")))</f>
        <v/>
      </c>
      <c r="BB106" s="47" t="str">
        <f aca="false">IF($A106="","",IF(AND(INDEX(工程マスタ!$I$5:$I$154,$A106)="○",$E106&gt;=BB$3,$E106&lt;=BB$3+6),"▼",IF(AND($E106&gt;=BB$3,$E106&lt;=BB$3+6),$A106,"")))</f>
        <v/>
      </c>
      <c r="BC106" s="47" t="str">
        <f aca="false">IF($A106="","",IF(AND(INDEX(工程マスタ!$I$5:$I$154,$A106)="○",$E106&gt;=BC$3,$E106&lt;=BC$3+6),"▼",IF(AND($E106&gt;=BC$3,$E106&lt;=BC$3+6),$A106,"")))</f>
        <v/>
      </c>
      <c r="BD106" s="47" t="str">
        <f aca="false">IF($A106="","",IF(AND(INDEX(工程マスタ!$I$5:$I$154,$A106)="○",$E106&gt;=BD$3,$E106&lt;=BD$3+6),"▼",IF(AND($E106&gt;=BD$3,$E106&lt;=BD$3+6),$A106,"")))</f>
        <v/>
      </c>
      <c r="BE106" s="47" t="str">
        <f aca="false">IF($A106="","",IF(AND(INDEX(工程マスタ!$I$5:$I$154,$A106)="○",$E106&gt;=BE$3,$E106&lt;=BE$3+6),"▼",IF(AND($E106&gt;=BE$3,$E106&lt;=BE$3+6),$A106,"")))</f>
        <v/>
      </c>
      <c r="BF106" s="47" t="str">
        <f aca="false">IF($A106="","",IF(AND(INDEX(工程マスタ!$I$5:$I$154,$A106)="○",$E106&gt;=BF$3,$E106&lt;=BF$3+6),"▼",IF(AND($E106&gt;=BF$3,$E106&lt;=BF$3+6),$A106,"")))</f>
        <v/>
      </c>
      <c r="BG106" s="47" t="str">
        <f aca="false">IF($A106="","",IF(AND(INDEX(工程マスタ!$I$5:$I$154,$A106)="○",$E106&gt;=BG$3,$E106&lt;=BG$3+6),"▼",IF(AND($E106&gt;=BG$3,$E106&lt;=BG$3+6),$A106,"")))</f>
        <v/>
      </c>
      <c r="BH106" s="47" t="str">
        <f aca="false">IF($A106="","",IF(AND(INDEX(工程マスタ!$I$5:$I$154,$A106)="○",$E106&gt;=BH$3,$E106&lt;=BH$3+6),"▼",IF(AND($E106&gt;=BH$3,$E106&lt;=BH$3+6),$A106,"")))</f>
        <v/>
      </c>
      <c r="BI106" s="47" t="str">
        <f aca="false">IF($A106="","",IF(AND(INDEX(工程マスタ!$I$5:$I$154,$A106)="○",$E106&gt;=BI$3,$E106&lt;=BI$3+6),"▼",IF(AND($E106&gt;=BI$3,$E106&lt;=BI$3+6),$A106,"")))</f>
        <v/>
      </c>
      <c r="BJ106" s="47" t="str">
        <f aca="false">IF($A106="","",IF(AND(INDEX(工程マスタ!$I$5:$I$154,$A106)="○",$E106&gt;=BJ$3,$E106&lt;=BJ$3+6),"▼",IF(AND($E106&gt;=BJ$3,$E106&lt;=BJ$3+6),$A106,"")))</f>
        <v/>
      </c>
    </row>
    <row r="107" customFormat="false" ht="15" hidden="false" customHeight="false" outlineLevel="0" collapsed="false">
      <c r="A107" s="28" t="str">
        <f aca="false">IF(工程マスタ!$C105="","",工程マスタ!$A105)</f>
        <v/>
      </c>
      <c r="B107" s="46" t="str">
        <f aca="false">IF($A107="","",工程マスタ!$C105)</f>
        <v/>
      </c>
      <c r="C107" s="28" t="str">
        <f aca="false">IF($A107="","",MAX(1,工程マスタ!$G105))</f>
        <v/>
      </c>
      <c r="D107" s="28" t="str">
        <f aca="false">IF($A107="","",_xlfn.TEXTJOIN(",",TRUE(),工程マスタ!$N105:$P105))</f>
        <v/>
      </c>
      <c r="E107" s="29" t="str">
        <f aca="false">IF($A107="","",IF(COUNT(工程マスタ!$N105:$P105)=0,設定!$B$8,MAX(IF(工程マスタ!$N105="",0,INDEX($F$7:$F$156,工程マスタ!$N105)),IF(工程マスタ!$O105="",0,INDEX($F$7:$F$156,工程マスタ!$O105)),IF(工程マスタ!$P105="",0,INDEX($F$7:$F$156,工程マスタ!$P105)))+1))</f>
        <v/>
      </c>
      <c r="F107" s="29" t="str">
        <f aca="false">IF($A107="","",$E107+$C107-1)</f>
        <v/>
      </c>
      <c r="G107" s="29" t="str">
        <f aca="false">IF($A107="","",$H107-$C107+1)</f>
        <v/>
      </c>
      <c r="H107" s="29" t="str">
        <f aca="false" t="array" ref="H107:H107">IF($A107="","",IF(SUMPRODUCT((工程マスタ!$N$106:$N$154=$A107)*1)+SUMPRODUCT((工程マスタ!$O$106:$O$154=$A107)*1)+SUMPRODUCT((工程マスタ!$P$106:$P$154=$A107)*1)=0,MAX($F$7:$F$156),MIN(IF((工程マスタ!$N$106:$N$154=$A107)+(工程マスタ!$O$106:$O$154=$A107)+(工程マスタ!$P$106:$P$154=$A107),$G108:$G$156))-1))</f>
        <v/>
      </c>
      <c r="I107" s="28" t="str">
        <f aca="false">IF($A107="","",$G107-$E107)</f>
        <v/>
      </c>
      <c r="J107" s="28" t="str">
        <f aca="false">IF($A107="","",IF($I107&lt;=0,"●",""))</f>
        <v/>
      </c>
      <c r="K107" s="47" t="str">
        <f aca="false">IF($A107="","",IF(AND(INDEX(工程マスタ!$I$5:$I$154,$A107)="○",$E107&gt;=K$3,$E107&lt;=K$3+6),"▼",IF(AND($E107&gt;=K$3,$E107&lt;=K$3+6),$A107,"")))</f>
        <v/>
      </c>
      <c r="L107" s="47" t="str">
        <f aca="false">IF($A107="","",IF(AND(INDEX(工程マスタ!$I$5:$I$154,$A107)="○",$E107&gt;=L$3,$E107&lt;=L$3+6),"▼",IF(AND($E107&gt;=L$3,$E107&lt;=L$3+6),$A107,"")))</f>
        <v/>
      </c>
      <c r="M107" s="47" t="str">
        <f aca="false">IF($A107="","",IF(AND(INDEX(工程マスタ!$I$5:$I$154,$A107)="○",$E107&gt;=M$3,$E107&lt;=M$3+6),"▼",IF(AND($E107&gt;=M$3,$E107&lt;=M$3+6),$A107,"")))</f>
        <v/>
      </c>
      <c r="N107" s="47" t="str">
        <f aca="false">IF($A107="","",IF(AND(INDEX(工程マスタ!$I$5:$I$154,$A107)="○",$E107&gt;=N$3,$E107&lt;=N$3+6),"▼",IF(AND($E107&gt;=N$3,$E107&lt;=N$3+6),$A107,"")))</f>
        <v/>
      </c>
      <c r="O107" s="47" t="str">
        <f aca="false">IF($A107="","",IF(AND(INDEX(工程マスタ!$I$5:$I$154,$A107)="○",$E107&gt;=O$3,$E107&lt;=O$3+6),"▼",IF(AND($E107&gt;=O$3,$E107&lt;=O$3+6),$A107,"")))</f>
        <v/>
      </c>
      <c r="P107" s="47" t="str">
        <f aca="false">IF($A107="","",IF(AND(INDEX(工程マスタ!$I$5:$I$154,$A107)="○",$E107&gt;=P$3,$E107&lt;=P$3+6),"▼",IF(AND($E107&gt;=P$3,$E107&lt;=P$3+6),$A107,"")))</f>
        <v/>
      </c>
      <c r="Q107" s="47" t="str">
        <f aca="false">IF($A107="","",IF(AND(INDEX(工程マスタ!$I$5:$I$154,$A107)="○",$E107&gt;=Q$3,$E107&lt;=Q$3+6),"▼",IF(AND($E107&gt;=Q$3,$E107&lt;=Q$3+6),$A107,"")))</f>
        <v/>
      </c>
      <c r="R107" s="47" t="str">
        <f aca="false">IF($A107="","",IF(AND(INDEX(工程マスタ!$I$5:$I$154,$A107)="○",$E107&gt;=R$3,$E107&lt;=R$3+6),"▼",IF(AND($E107&gt;=R$3,$E107&lt;=R$3+6),$A107,"")))</f>
        <v/>
      </c>
      <c r="S107" s="47" t="str">
        <f aca="false">IF($A107="","",IF(AND(INDEX(工程マスタ!$I$5:$I$154,$A107)="○",$E107&gt;=S$3,$E107&lt;=S$3+6),"▼",IF(AND($E107&gt;=S$3,$E107&lt;=S$3+6),$A107,"")))</f>
        <v/>
      </c>
      <c r="T107" s="47" t="str">
        <f aca="false">IF($A107="","",IF(AND(INDEX(工程マスタ!$I$5:$I$154,$A107)="○",$E107&gt;=T$3,$E107&lt;=T$3+6),"▼",IF(AND($E107&gt;=T$3,$E107&lt;=T$3+6),$A107,"")))</f>
        <v/>
      </c>
      <c r="U107" s="47" t="str">
        <f aca="false">IF($A107="","",IF(AND(INDEX(工程マスタ!$I$5:$I$154,$A107)="○",$E107&gt;=U$3,$E107&lt;=U$3+6),"▼",IF(AND($E107&gt;=U$3,$E107&lt;=U$3+6),$A107,"")))</f>
        <v/>
      </c>
      <c r="V107" s="47" t="str">
        <f aca="false">IF($A107="","",IF(AND(INDEX(工程マスタ!$I$5:$I$154,$A107)="○",$E107&gt;=V$3,$E107&lt;=V$3+6),"▼",IF(AND($E107&gt;=V$3,$E107&lt;=V$3+6),$A107,"")))</f>
        <v/>
      </c>
      <c r="W107" s="47" t="str">
        <f aca="false">IF($A107="","",IF(AND(INDEX(工程マスタ!$I$5:$I$154,$A107)="○",$E107&gt;=W$3,$E107&lt;=W$3+6),"▼",IF(AND($E107&gt;=W$3,$E107&lt;=W$3+6),$A107,"")))</f>
        <v/>
      </c>
      <c r="X107" s="47" t="str">
        <f aca="false">IF($A107="","",IF(AND(INDEX(工程マスタ!$I$5:$I$154,$A107)="○",$E107&gt;=X$3,$E107&lt;=X$3+6),"▼",IF(AND($E107&gt;=X$3,$E107&lt;=X$3+6),$A107,"")))</f>
        <v/>
      </c>
      <c r="Y107" s="47" t="str">
        <f aca="false">IF($A107="","",IF(AND(INDEX(工程マスタ!$I$5:$I$154,$A107)="○",$E107&gt;=Y$3,$E107&lt;=Y$3+6),"▼",IF(AND($E107&gt;=Y$3,$E107&lt;=Y$3+6),$A107,"")))</f>
        <v/>
      </c>
      <c r="Z107" s="47" t="str">
        <f aca="false">IF($A107="","",IF(AND(INDEX(工程マスタ!$I$5:$I$154,$A107)="○",$E107&gt;=Z$3,$E107&lt;=Z$3+6),"▼",IF(AND($E107&gt;=Z$3,$E107&lt;=Z$3+6),$A107,"")))</f>
        <v/>
      </c>
      <c r="AA107" s="47" t="str">
        <f aca="false">IF($A107="","",IF(AND(INDEX(工程マスタ!$I$5:$I$154,$A107)="○",$E107&gt;=AA$3,$E107&lt;=AA$3+6),"▼",IF(AND($E107&gt;=AA$3,$E107&lt;=AA$3+6),$A107,"")))</f>
        <v/>
      </c>
      <c r="AB107" s="47" t="str">
        <f aca="false">IF($A107="","",IF(AND(INDEX(工程マスタ!$I$5:$I$154,$A107)="○",$E107&gt;=AB$3,$E107&lt;=AB$3+6),"▼",IF(AND($E107&gt;=AB$3,$E107&lt;=AB$3+6),$A107,"")))</f>
        <v/>
      </c>
      <c r="AC107" s="47" t="str">
        <f aca="false">IF($A107="","",IF(AND(INDEX(工程マスタ!$I$5:$I$154,$A107)="○",$E107&gt;=AC$3,$E107&lt;=AC$3+6),"▼",IF(AND($E107&gt;=AC$3,$E107&lt;=AC$3+6),$A107,"")))</f>
        <v/>
      </c>
      <c r="AD107" s="47" t="str">
        <f aca="false">IF($A107="","",IF(AND(INDEX(工程マスタ!$I$5:$I$154,$A107)="○",$E107&gt;=AD$3,$E107&lt;=AD$3+6),"▼",IF(AND($E107&gt;=AD$3,$E107&lt;=AD$3+6),$A107,"")))</f>
        <v/>
      </c>
      <c r="AE107" s="47" t="str">
        <f aca="false">IF($A107="","",IF(AND(INDEX(工程マスタ!$I$5:$I$154,$A107)="○",$E107&gt;=AE$3,$E107&lt;=AE$3+6),"▼",IF(AND($E107&gt;=AE$3,$E107&lt;=AE$3+6),$A107,"")))</f>
        <v/>
      </c>
      <c r="AF107" s="47" t="str">
        <f aca="false">IF($A107="","",IF(AND(INDEX(工程マスタ!$I$5:$I$154,$A107)="○",$E107&gt;=AF$3,$E107&lt;=AF$3+6),"▼",IF(AND($E107&gt;=AF$3,$E107&lt;=AF$3+6),$A107,"")))</f>
        <v/>
      </c>
      <c r="AG107" s="47" t="str">
        <f aca="false">IF($A107="","",IF(AND(INDEX(工程マスタ!$I$5:$I$154,$A107)="○",$E107&gt;=AG$3,$E107&lt;=AG$3+6),"▼",IF(AND($E107&gt;=AG$3,$E107&lt;=AG$3+6),$A107,"")))</f>
        <v/>
      </c>
      <c r="AH107" s="47" t="str">
        <f aca="false">IF($A107="","",IF(AND(INDEX(工程マスタ!$I$5:$I$154,$A107)="○",$E107&gt;=AH$3,$E107&lt;=AH$3+6),"▼",IF(AND($E107&gt;=AH$3,$E107&lt;=AH$3+6),$A107,"")))</f>
        <v/>
      </c>
      <c r="AI107" s="47" t="str">
        <f aca="false">IF($A107="","",IF(AND(INDEX(工程マスタ!$I$5:$I$154,$A107)="○",$E107&gt;=AI$3,$E107&lt;=AI$3+6),"▼",IF(AND($E107&gt;=AI$3,$E107&lt;=AI$3+6),$A107,"")))</f>
        <v/>
      </c>
      <c r="AJ107" s="47" t="str">
        <f aca="false">IF($A107="","",IF(AND(INDEX(工程マスタ!$I$5:$I$154,$A107)="○",$E107&gt;=AJ$3,$E107&lt;=AJ$3+6),"▼",IF(AND($E107&gt;=AJ$3,$E107&lt;=AJ$3+6),$A107,"")))</f>
        <v/>
      </c>
      <c r="AK107" s="47" t="str">
        <f aca="false">IF($A107="","",IF(AND(INDEX(工程マスタ!$I$5:$I$154,$A107)="○",$E107&gt;=AK$3,$E107&lt;=AK$3+6),"▼",IF(AND($E107&gt;=AK$3,$E107&lt;=AK$3+6),$A107,"")))</f>
        <v/>
      </c>
      <c r="AL107" s="47" t="str">
        <f aca="false">IF($A107="","",IF(AND(INDEX(工程マスタ!$I$5:$I$154,$A107)="○",$E107&gt;=AL$3,$E107&lt;=AL$3+6),"▼",IF(AND($E107&gt;=AL$3,$E107&lt;=AL$3+6),$A107,"")))</f>
        <v/>
      </c>
      <c r="AM107" s="47" t="str">
        <f aca="false">IF($A107="","",IF(AND(INDEX(工程マスタ!$I$5:$I$154,$A107)="○",$E107&gt;=AM$3,$E107&lt;=AM$3+6),"▼",IF(AND($E107&gt;=AM$3,$E107&lt;=AM$3+6),$A107,"")))</f>
        <v/>
      </c>
      <c r="AN107" s="47" t="str">
        <f aca="false">IF($A107="","",IF(AND(INDEX(工程マスタ!$I$5:$I$154,$A107)="○",$E107&gt;=AN$3,$E107&lt;=AN$3+6),"▼",IF(AND($E107&gt;=AN$3,$E107&lt;=AN$3+6),$A107,"")))</f>
        <v/>
      </c>
      <c r="AO107" s="47" t="str">
        <f aca="false">IF($A107="","",IF(AND(INDEX(工程マスタ!$I$5:$I$154,$A107)="○",$E107&gt;=AO$3,$E107&lt;=AO$3+6),"▼",IF(AND($E107&gt;=AO$3,$E107&lt;=AO$3+6),$A107,"")))</f>
        <v/>
      </c>
      <c r="AP107" s="47" t="str">
        <f aca="false">IF($A107="","",IF(AND(INDEX(工程マスタ!$I$5:$I$154,$A107)="○",$E107&gt;=AP$3,$E107&lt;=AP$3+6),"▼",IF(AND($E107&gt;=AP$3,$E107&lt;=AP$3+6),$A107,"")))</f>
        <v/>
      </c>
      <c r="AQ107" s="47" t="str">
        <f aca="false">IF($A107="","",IF(AND(INDEX(工程マスタ!$I$5:$I$154,$A107)="○",$E107&gt;=AQ$3,$E107&lt;=AQ$3+6),"▼",IF(AND($E107&gt;=AQ$3,$E107&lt;=AQ$3+6),$A107,"")))</f>
        <v/>
      </c>
      <c r="AR107" s="47" t="str">
        <f aca="false">IF($A107="","",IF(AND(INDEX(工程マスタ!$I$5:$I$154,$A107)="○",$E107&gt;=AR$3,$E107&lt;=AR$3+6),"▼",IF(AND($E107&gt;=AR$3,$E107&lt;=AR$3+6),$A107,"")))</f>
        <v/>
      </c>
      <c r="AS107" s="47" t="str">
        <f aca="false">IF($A107="","",IF(AND(INDEX(工程マスタ!$I$5:$I$154,$A107)="○",$E107&gt;=AS$3,$E107&lt;=AS$3+6),"▼",IF(AND($E107&gt;=AS$3,$E107&lt;=AS$3+6),$A107,"")))</f>
        <v/>
      </c>
      <c r="AT107" s="47" t="str">
        <f aca="false">IF($A107="","",IF(AND(INDEX(工程マスタ!$I$5:$I$154,$A107)="○",$E107&gt;=AT$3,$E107&lt;=AT$3+6),"▼",IF(AND($E107&gt;=AT$3,$E107&lt;=AT$3+6),$A107,"")))</f>
        <v/>
      </c>
      <c r="AU107" s="47" t="str">
        <f aca="false">IF($A107="","",IF(AND(INDEX(工程マスタ!$I$5:$I$154,$A107)="○",$E107&gt;=AU$3,$E107&lt;=AU$3+6),"▼",IF(AND($E107&gt;=AU$3,$E107&lt;=AU$3+6),$A107,"")))</f>
        <v/>
      </c>
      <c r="AV107" s="47" t="str">
        <f aca="false">IF($A107="","",IF(AND(INDEX(工程マスタ!$I$5:$I$154,$A107)="○",$E107&gt;=AV$3,$E107&lt;=AV$3+6),"▼",IF(AND($E107&gt;=AV$3,$E107&lt;=AV$3+6),$A107,"")))</f>
        <v/>
      </c>
      <c r="AW107" s="47" t="str">
        <f aca="false">IF($A107="","",IF(AND(INDEX(工程マスタ!$I$5:$I$154,$A107)="○",$E107&gt;=AW$3,$E107&lt;=AW$3+6),"▼",IF(AND($E107&gt;=AW$3,$E107&lt;=AW$3+6),$A107,"")))</f>
        <v/>
      </c>
      <c r="AX107" s="47" t="str">
        <f aca="false">IF($A107="","",IF(AND(INDEX(工程マスタ!$I$5:$I$154,$A107)="○",$E107&gt;=AX$3,$E107&lt;=AX$3+6),"▼",IF(AND($E107&gt;=AX$3,$E107&lt;=AX$3+6),$A107,"")))</f>
        <v/>
      </c>
      <c r="AY107" s="47" t="str">
        <f aca="false">IF($A107="","",IF(AND(INDEX(工程マスタ!$I$5:$I$154,$A107)="○",$E107&gt;=AY$3,$E107&lt;=AY$3+6),"▼",IF(AND($E107&gt;=AY$3,$E107&lt;=AY$3+6),$A107,"")))</f>
        <v/>
      </c>
      <c r="AZ107" s="47" t="str">
        <f aca="false">IF($A107="","",IF(AND(INDEX(工程マスタ!$I$5:$I$154,$A107)="○",$E107&gt;=AZ$3,$E107&lt;=AZ$3+6),"▼",IF(AND($E107&gt;=AZ$3,$E107&lt;=AZ$3+6),$A107,"")))</f>
        <v/>
      </c>
      <c r="BA107" s="47" t="str">
        <f aca="false">IF($A107="","",IF(AND(INDEX(工程マスタ!$I$5:$I$154,$A107)="○",$E107&gt;=BA$3,$E107&lt;=BA$3+6),"▼",IF(AND($E107&gt;=BA$3,$E107&lt;=BA$3+6),$A107,"")))</f>
        <v/>
      </c>
      <c r="BB107" s="47" t="str">
        <f aca="false">IF($A107="","",IF(AND(INDEX(工程マスタ!$I$5:$I$154,$A107)="○",$E107&gt;=BB$3,$E107&lt;=BB$3+6),"▼",IF(AND($E107&gt;=BB$3,$E107&lt;=BB$3+6),$A107,"")))</f>
        <v/>
      </c>
      <c r="BC107" s="47" t="str">
        <f aca="false">IF($A107="","",IF(AND(INDEX(工程マスタ!$I$5:$I$154,$A107)="○",$E107&gt;=BC$3,$E107&lt;=BC$3+6),"▼",IF(AND($E107&gt;=BC$3,$E107&lt;=BC$3+6),$A107,"")))</f>
        <v/>
      </c>
      <c r="BD107" s="47" t="str">
        <f aca="false">IF($A107="","",IF(AND(INDEX(工程マスタ!$I$5:$I$154,$A107)="○",$E107&gt;=BD$3,$E107&lt;=BD$3+6),"▼",IF(AND($E107&gt;=BD$3,$E107&lt;=BD$3+6),$A107,"")))</f>
        <v/>
      </c>
      <c r="BE107" s="47" t="str">
        <f aca="false">IF($A107="","",IF(AND(INDEX(工程マスタ!$I$5:$I$154,$A107)="○",$E107&gt;=BE$3,$E107&lt;=BE$3+6),"▼",IF(AND($E107&gt;=BE$3,$E107&lt;=BE$3+6),$A107,"")))</f>
        <v/>
      </c>
      <c r="BF107" s="47" t="str">
        <f aca="false">IF($A107="","",IF(AND(INDEX(工程マスタ!$I$5:$I$154,$A107)="○",$E107&gt;=BF$3,$E107&lt;=BF$3+6),"▼",IF(AND($E107&gt;=BF$3,$E107&lt;=BF$3+6),$A107,"")))</f>
        <v/>
      </c>
      <c r="BG107" s="47" t="str">
        <f aca="false">IF($A107="","",IF(AND(INDEX(工程マスタ!$I$5:$I$154,$A107)="○",$E107&gt;=BG$3,$E107&lt;=BG$3+6),"▼",IF(AND($E107&gt;=BG$3,$E107&lt;=BG$3+6),$A107,"")))</f>
        <v/>
      </c>
      <c r="BH107" s="47" t="str">
        <f aca="false">IF($A107="","",IF(AND(INDEX(工程マスタ!$I$5:$I$154,$A107)="○",$E107&gt;=BH$3,$E107&lt;=BH$3+6),"▼",IF(AND($E107&gt;=BH$3,$E107&lt;=BH$3+6),$A107,"")))</f>
        <v/>
      </c>
      <c r="BI107" s="47" t="str">
        <f aca="false">IF($A107="","",IF(AND(INDEX(工程マスタ!$I$5:$I$154,$A107)="○",$E107&gt;=BI$3,$E107&lt;=BI$3+6),"▼",IF(AND($E107&gt;=BI$3,$E107&lt;=BI$3+6),$A107,"")))</f>
        <v/>
      </c>
      <c r="BJ107" s="47" t="str">
        <f aca="false">IF($A107="","",IF(AND(INDEX(工程マスタ!$I$5:$I$154,$A107)="○",$E107&gt;=BJ$3,$E107&lt;=BJ$3+6),"▼",IF(AND($E107&gt;=BJ$3,$E107&lt;=BJ$3+6),$A107,"")))</f>
        <v/>
      </c>
    </row>
    <row r="108" customFormat="false" ht="15" hidden="false" customHeight="false" outlineLevel="0" collapsed="false">
      <c r="A108" s="28" t="str">
        <f aca="false">IF(工程マスタ!$C106="","",工程マスタ!$A106)</f>
        <v/>
      </c>
      <c r="B108" s="46" t="str">
        <f aca="false">IF($A108="","",工程マスタ!$C106)</f>
        <v/>
      </c>
      <c r="C108" s="28" t="str">
        <f aca="false">IF($A108="","",MAX(1,工程マスタ!$G106))</f>
        <v/>
      </c>
      <c r="D108" s="28" t="str">
        <f aca="false">IF($A108="","",_xlfn.TEXTJOIN(",",TRUE(),工程マスタ!$N106:$P106))</f>
        <v/>
      </c>
      <c r="E108" s="29" t="str">
        <f aca="false">IF($A108="","",IF(COUNT(工程マスタ!$N106:$P106)=0,設定!$B$8,MAX(IF(工程マスタ!$N106="",0,INDEX($F$7:$F$156,工程マスタ!$N106)),IF(工程マスタ!$O106="",0,INDEX($F$7:$F$156,工程マスタ!$O106)),IF(工程マスタ!$P106="",0,INDEX($F$7:$F$156,工程マスタ!$P106)))+1))</f>
        <v/>
      </c>
      <c r="F108" s="29" t="str">
        <f aca="false">IF($A108="","",$E108+$C108-1)</f>
        <v/>
      </c>
      <c r="G108" s="29" t="str">
        <f aca="false">IF($A108="","",$H108-$C108+1)</f>
        <v/>
      </c>
      <c r="H108" s="29" t="str">
        <f aca="false" t="array" ref="H108:H108">IF($A108="","",IF(SUMPRODUCT((工程マスタ!$N$107:$N$154=$A108)*1)+SUMPRODUCT((工程マスタ!$O$107:$O$154=$A108)*1)+SUMPRODUCT((工程マスタ!$P$107:$P$154=$A108)*1)=0,MAX($F$7:$F$156),MIN(IF((工程マスタ!$N$107:$N$154=$A108)+(工程マスタ!$O$107:$O$154=$A108)+(工程マスタ!$P$107:$P$154=$A108),$G109:$G$156))-1))</f>
        <v/>
      </c>
      <c r="I108" s="28" t="str">
        <f aca="false">IF($A108="","",$G108-$E108)</f>
        <v/>
      </c>
      <c r="J108" s="28" t="str">
        <f aca="false">IF($A108="","",IF($I108&lt;=0,"●",""))</f>
        <v/>
      </c>
      <c r="K108" s="47" t="str">
        <f aca="false">IF($A108="","",IF(AND(INDEX(工程マスタ!$I$5:$I$154,$A108)="○",$E108&gt;=K$3,$E108&lt;=K$3+6),"▼",IF(AND($E108&gt;=K$3,$E108&lt;=K$3+6),$A108,"")))</f>
        <v/>
      </c>
      <c r="L108" s="47" t="str">
        <f aca="false">IF($A108="","",IF(AND(INDEX(工程マスタ!$I$5:$I$154,$A108)="○",$E108&gt;=L$3,$E108&lt;=L$3+6),"▼",IF(AND($E108&gt;=L$3,$E108&lt;=L$3+6),$A108,"")))</f>
        <v/>
      </c>
      <c r="M108" s="47" t="str">
        <f aca="false">IF($A108="","",IF(AND(INDEX(工程マスタ!$I$5:$I$154,$A108)="○",$E108&gt;=M$3,$E108&lt;=M$3+6),"▼",IF(AND($E108&gt;=M$3,$E108&lt;=M$3+6),$A108,"")))</f>
        <v/>
      </c>
      <c r="N108" s="47" t="str">
        <f aca="false">IF($A108="","",IF(AND(INDEX(工程マスタ!$I$5:$I$154,$A108)="○",$E108&gt;=N$3,$E108&lt;=N$3+6),"▼",IF(AND($E108&gt;=N$3,$E108&lt;=N$3+6),$A108,"")))</f>
        <v/>
      </c>
      <c r="O108" s="47" t="str">
        <f aca="false">IF($A108="","",IF(AND(INDEX(工程マスタ!$I$5:$I$154,$A108)="○",$E108&gt;=O$3,$E108&lt;=O$3+6),"▼",IF(AND($E108&gt;=O$3,$E108&lt;=O$3+6),$A108,"")))</f>
        <v/>
      </c>
      <c r="P108" s="47" t="str">
        <f aca="false">IF($A108="","",IF(AND(INDEX(工程マスタ!$I$5:$I$154,$A108)="○",$E108&gt;=P$3,$E108&lt;=P$3+6),"▼",IF(AND($E108&gt;=P$3,$E108&lt;=P$3+6),$A108,"")))</f>
        <v/>
      </c>
      <c r="Q108" s="47" t="str">
        <f aca="false">IF($A108="","",IF(AND(INDEX(工程マスタ!$I$5:$I$154,$A108)="○",$E108&gt;=Q$3,$E108&lt;=Q$3+6),"▼",IF(AND($E108&gt;=Q$3,$E108&lt;=Q$3+6),$A108,"")))</f>
        <v/>
      </c>
      <c r="R108" s="47" t="str">
        <f aca="false">IF($A108="","",IF(AND(INDEX(工程マスタ!$I$5:$I$154,$A108)="○",$E108&gt;=R$3,$E108&lt;=R$3+6),"▼",IF(AND($E108&gt;=R$3,$E108&lt;=R$3+6),$A108,"")))</f>
        <v/>
      </c>
      <c r="S108" s="47" t="str">
        <f aca="false">IF($A108="","",IF(AND(INDEX(工程マスタ!$I$5:$I$154,$A108)="○",$E108&gt;=S$3,$E108&lt;=S$3+6),"▼",IF(AND($E108&gt;=S$3,$E108&lt;=S$3+6),$A108,"")))</f>
        <v/>
      </c>
      <c r="T108" s="47" t="str">
        <f aca="false">IF($A108="","",IF(AND(INDEX(工程マスタ!$I$5:$I$154,$A108)="○",$E108&gt;=T$3,$E108&lt;=T$3+6),"▼",IF(AND($E108&gt;=T$3,$E108&lt;=T$3+6),$A108,"")))</f>
        <v/>
      </c>
      <c r="U108" s="47" t="str">
        <f aca="false">IF($A108="","",IF(AND(INDEX(工程マスタ!$I$5:$I$154,$A108)="○",$E108&gt;=U$3,$E108&lt;=U$3+6),"▼",IF(AND($E108&gt;=U$3,$E108&lt;=U$3+6),$A108,"")))</f>
        <v/>
      </c>
      <c r="V108" s="47" t="str">
        <f aca="false">IF($A108="","",IF(AND(INDEX(工程マスタ!$I$5:$I$154,$A108)="○",$E108&gt;=V$3,$E108&lt;=V$3+6),"▼",IF(AND($E108&gt;=V$3,$E108&lt;=V$3+6),$A108,"")))</f>
        <v/>
      </c>
      <c r="W108" s="47" t="str">
        <f aca="false">IF($A108="","",IF(AND(INDEX(工程マスタ!$I$5:$I$154,$A108)="○",$E108&gt;=W$3,$E108&lt;=W$3+6),"▼",IF(AND($E108&gt;=W$3,$E108&lt;=W$3+6),$A108,"")))</f>
        <v/>
      </c>
      <c r="X108" s="47" t="str">
        <f aca="false">IF($A108="","",IF(AND(INDEX(工程マスタ!$I$5:$I$154,$A108)="○",$E108&gt;=X$3,$E108&lt;=X$3+6),"▼",IF(AND($E108&gt;=X$3,$E108&lt;=X$3+6),$A108,"")))</f>
        <v/>
      </c>
      <c r="Y108" s="47" t="str">
        <f aca="false">IF($A108="","",IF(AND(INDEX(工程マスタ!$I$5:$I$154,$A108)="○",$E108&gt;=Y$3,$E108&lt;=Y$3+6),"▼",IF(AND($E108&gt;=Y$3,$E108&lt;=Y$3+6),$A108,"")))</f>
        <v/>
      </c>
      <c r="Z108" s="47" t="str">
        <f aca="false">IF($A108="","",IF(AND(INDEX(工程マスタ!$I$5:$I$154,$A108)="○",$E108&gt;=Z$3,$E108&lt;=Z$3+6),"▼",IF(AND($E108&gt;=Z$3,$E108&lt;=Z$3+6),$A108,"")))</f>
        <v/>
      </c>
      <c r="AA108" s="47" t="str">
        <f aca="false">IF($A108="","",IF(AND(INDEX(工程マスタ!$I$5:$I$154,$A108)="○",$E108&gt;=AA$3,$E108&lt;=AA$3+6),"▼",IF(AND($E108&gt;=AA$3,$E108&lt;=AA$3+6),$A108,"")))</f>
        <v/>
      </c>
      <c r="AB108" s="47" t="str">
        <f aca="false">IF($A108="","",IF(AND(INDEX(工程マスタ!$I$5:$I$154,$A108)="○",$E108&gt;=AB$3,$E108&lt;=AB$3+6),"▼",IF(AND($E108&gt;=AB$3,$E108&lt;=AB$3+6),$A108,"")))</f>
        <v/>
      </c>
      <c r="AC108" s="47" t="str">
        <f aca="false">IF($A108="","",IF(AND(INDEX(工程マスタ!$I$5:$I$154,$A108)="○",$E108&gt;=AC$3,$E108&lt;=AC$3+6),"▼",IF(AND($E108&gt;=AC$3,$E108&lt;=AC$3+6),$A108,"")))</f>
        <v/>
      </c>
      <c r="AD108" s="47" t="str">
        <f aca="false">IF($A108="","",IF(AND(INDEX(工程マスタ!$I$5:$I$154,$A108)="○",$E108&gt;=AD$3,$E108&lt;=AD$3+6),"▼",IF(AND($E108&gt;=AD$3,$E108&lt;=AD$3+6),$A108,"")))</f>
        <v/>
      </c>
      <c r="AE108" s="47" t="str">
        <f aca="false">IF($A108="","",IF(AND(INDEX(工程マスタ!$I$5:$I$154,$A108)="○",$E108&gt;=AE$3,$E108&lt;=AE$3+6),"▼",IF(AND($E108&gt;=AE$3,$E108&lt;=AE$3+6),$A108,"")))</f>
        <v/>
      </c>
      <c r="AF108" s="47" t="str">
        <f aca="false">IF($A108="","",IF(AND(INDEX(工程マスタ!$I$5:$I$154,$A108)="○",$E108&gt;=AF$3,$E108&lt;=AF$3+6),"▼",IF(AND($E108&gt;=AF$3,$E108&lt;=AF$3+6),$A108,"")))</f>
        <v/>
      </c>
      <c r="AG108" s="47" t="str">
        <f aca="false">IF($A108="","",IF(AND(INDEX(工程マスタ!$I$5:$I$154,$A108)="○",$E108&gt;=AG$3,$E108&lt;=AG$3+6),"▼",IF(AND($E108&gt;=AG$3,$E108&lt;=AG$3+6),$A108,"")))</f>
        <v/>
      </c>
      <c r="AH108" s="47" t="str">
        <f aca="false">IF($A108="","",IF(AND(INDEX(工程マスタ!$I$5:$I$154,$A108)="○",$E108&gt;=AH$3,$E108&lt;=AH$3+6),"▼",IF(AND($E108&gt;=AH$3,$E108&lt;=AH$3+6),$A108,"")))</f>
        <v/>
      </c>
      <c r="AI108" s="47" t="str">
        <f aca="false">IF($A108="","",IF(AND(INDEX(工程マスタ!$I$5:$I$154,$A108)="○",$E108&gt;=AI$3,$E108&lt;=AI$3+6),"▼",IF(AND($E108&gt;=AI$3,$E108&lt;=AI$3+6),$A108,"")))</f>
        <v/>
      </c>
      <c r="AJ108" s="47" t="str">
        <f aca="false">IF($A108="","",IF(AND(INDEX(工程マスタ!$I$5:$I$154,$A108)="○",$E108&gt;=AJ$3,$E108&lt;=AJ$3+6),"▼",IF(AND($E108&gt;=AJ$3,$E108&lt;=AJ$3+6),$A108,"")))</f>
        <v/>
      </c>
      <c r="AK108" s="47" t="str">
        <f aca="false">IF($A108="","",IF(AND(INDEX(工程マスタ!$I$5:$I$154,$A108)="○",$E108&gt;=AK$3,$E108&lt;=AK$3+6),"▼",IF(AND($E108&gt;=AK$3,$E108&lt;=AK$3+6),$A108,"")))</f>
        <v/>
      </c>
      <c r="AL108" s="47" t="str">
        <f aca="false">IF($A108="","",IF(AND(INDEX(工程マスタ!$I$5:$I$154,$A108)="○",$E108&gt;=AL$3,$E108&lt;=AL$3+6),"▼",IF(AND($E108&gt;=AL$3,$E108&lt;=AL$3+6),$A108,"")))</f>
        <v/>
      </c>
      <c r="AM108" s="47" t="str">
        <f aca="false">IF($A108="","",IF(AND(INDEX(工程マスタ!$I$5:$I$154,$A108)="○",$E108&gt;=AM$3,$E108&lt;=AM$3+6),"▼",IF(AND($E108&gt;=AM$3,$E108&lt;=AM$3+6),$A108,"")))</f>
        <v/>
      </c>
      <c r="AN108" s="47" t="str">
        <f aca="false">IF($A108="","",IF(AND(INDEX(工程マスタ!$I$5:$I$154,$A108)="○",$E108&gt;=AN$3,$E108&lt;=AN$3+6),"▼",IF(AND($E108&gt;=AN$3,$E108&lt;=AN$3+6),$A108,"")))</f>
        <v/>
      </c>
      <c r="AO108" s="47" t="str">
        <f aca="false">IF($A108="","",IF(AND(INDEX(工程マスタ!$I$5:$I$154,$A108)="○",$E108&gt;=AO$3,$E108&lt;=AO$3+6),"▼",IF(AND($E108&gt;=AO$3,$E108&lt;=AO$3+6),$A108,"")))</f>
        <v/>
      </c>
      <c r="AP108" s="47" t="str">
        <f aca="false">IF($A108="","",IF(AND(INDEX(工程マスタ!$I$5:$I$154,$A108)="○",$E108&gt;=AP$3,$E108&lt;=AP$3+6),"▼",IF(AND($E108&gt;=AP$3,$E108&lt;=AP$3+6),$A108,"")))</f>
        <v/>
      </c>
      <c r="AQ108" s="47" t="str">
        <f aca="false">IF($A108="","",IF(AND(INDEX(工程マスタ!$I$5:$I$154,$A108)="○",$E108&gt;=AQ$3,$E108&lt;=AQ$3+6),"▼",IF(AND($E108&gt;=AQ$3,$E108&lt;=AQ$3+6),$A108,"")))</f>
        <v/>
      </c>
      <c r="AR108" s="47" t="str">
        <f aca="false">IF($A108="","",IF(AND(INDEX(工程マスタ!$I$5:$I$154,$A108)="○",$E108&gt;=AR$3,$E108&lt;=AR$3+6),"▼",IF(AND($E108&gt;=AR$3,$E108&lt;=AR$3+6),$A108,"")))</f>
        <v/>
      </c>
      <c r="AS108" s="47" t="str">
        <f aca="false">IF($A108="","",IF(AND(INDEX(工程マスタ!$I$5:$I$154,$A108)="○",$E108&gt;=AS$3,$E108&lt;=AS$3+6),"▼",IF(AND($E108&gt;=AS$3,$E108&lt;=AS$3+6),$A108,"")))</f>
        <v/>
      </c>
      <c r="AT108" s="47" t="str">
        <f aca="false">IF($A108="","",IF(AND(INDEX(工程マスタ!$I$5:$I$154,$A108)="○",$E108&gt;=AT$3,$E108&lt;=AT$3+6),"▼",IF(AND($E108&gt;=AT$3,$E108&lt;=AT$3+6),$A108,"")))</f>
        <v/>
      </c>
      <c r="AU108" s="47" t="str">
        <f aca="false">IF($A108="","",IF(AND(INDEX(工程マスタ!$I$5:$I$154,$A108)="○",$E108&gt;=AU$3,$E108&lt;=AU$3+6),"▼",IF(AND($E108&gt;=AU$3,$E108&lt;=AU$3+6),$A108,"")))</f>
        <v/>
      </c>
      <c r="AV108" s="47" t="str">
        <f aca="false">IF($A108="","",IF(AND(INDEX(工程マスタ!$I$5:$I$154,$A108)="○",$E108&gt;=AV$3,$E108&lt;=AV$3+6),"▼",IF(AND($E108&gt;=AV$3,$E108&lt;=AV$3+6),$A108,"")))</f>
        <v/>
      </c>
      <c r="AW108" s="47" t="str">
        <f aca="false">IF($A108="","",IF(AND(INDEX(工程マスタ!$I$5:$I$154,$A108)="○",$E108&gt;=AW$3,$E108&lt;=AW$3+6),"▼",IF(AND($E108&gt;=AW$3,$E108&lt;=AW$3+6),$A108,"")))</f>
        <v/>
      </c>
      <c r="AX108" s="47" t="str">
        <f aca="false">IF($A108="","",IF(AND(INDEX(工程マスタ!$I$5:$I$154,$A108)="○",$E108&gt;=AX$3,$E108&lt;=AX$3+6),"▼",IF(AND($E108&gt;=AX$3,$E108&lt;=AX$3+6),$A108,"")))</f>
        <v/>
      </c>
      <c r="AY108" s="47" t="str">
        <f aca="false">IF($A108="","",IF(AND(INDEX(工程マスタ!$I$5:$I$154,$A108)="○",$E108&gt;=AY$3,$E108&lt;=AY$3+6),"▼",IF(AND($E108&gt;=AY$3,$E108&lt;=AY$3+6),$A108,"")))</f>
        <v/>
      </c>
      <c r="AZ108" s="47" t="str">
        <f aca="false">IF($A108="","",IF(AND(INDEX(工程マスタ!$I$5:$I$154,$A108)="○",$E108&gt;=AZ$3,$E108&lt;=AZ$3+6),"▼",IF(AND($E108&gt;=AZ$3,$E108&lt;=AZ$3+6),$A108,"")))</f>
        <v/>
      </c>
      <c r="BA108" s="47" t="str">
        <f aca="false">IF($A108="","",IF(AND(INDEX(工程マスタ!$I$5:$I$154,$A108)="○",$E108&gt;=BA$3,$E108&lt;=BA$3+6),"▼",IF(AND($E108&gt;=BA$3,$E108&lt;=BA$3+6),$A108,"")))</f>
        <v/>
      </c>
      <c r="BB108" s="47" t="str">
        <f aca="false">IF($A108="","",IF(AND(INDEX(工程マスタ!$I$5:$I$154,$A108)="○",$E108&gt;=BB$3,$E108&lt;=BB$3+6),"▼",IF(AND($E108&gt;=BB$3,$E108&lt;=BB$3+6),$A108,"")))</f>
        <v/>
      </c>
      <c r="BC108" s="47" t="str">
        <f aca="false">IF($A108="","",IF(AND(INDEX(工程マスタ!$I$5:$I$154,$A108)="○",$E108&gt;=BC$3,$E108&lt;=BC$3+6),"▼",IF(AND($E108&gt;=BC$3,$E108&lt;=BC$3+6),$A108,"")))</f>
        <v/>
      </c>
      <c r="BD108" s="47" t="str">
        <f aca="false">IF($A108="","",IF(AND(INDEX(工程マスタ!$I$5:$I$154,$A108)="○",$E108&gt;=BD$3,$E108&lt;=BD$3+6),"▼",IF(AND($E108&gt;=BD$3,$E108&lt;=BD$3+6),$A108,"")))</f>
        <v/>
      </c>
      <c r="BE108" s="47" t="str">
        <f aca="false">IF($A108="","",IF(AND(INDEX(工程マスタ!$I$5:$I$154,$A108)="○",$E108&gt;=BE$3,$E108&lt;=BE$3+6),"▼",IF(AND($E108&gt;=BE$3,$E108&lt;=BE$3+6),$A108,"")))</f>
        <v/>
      </c>
      <c r="BF108" s="47" t="str">
        <f aca="false">IF($A108="","",IF(AND(INDEX(工程マスタ!$I$5:$I$154,$A108)="○",$E108&gt;=BF$3,$E108&lt;=BF$3+6),"▼",IF(AND($E108&gt;=BF$3,$E108&lt;=BF$3+6),$A108,"")))</f>
        <v/>
      </c>
      <c r="BG108" s="47" t="str">
        <f aca="false">IF($A108="","",IF(AND(INDEX(工程マスタ!$I$5:$I$154,$A108)="○",$E108&gt;=BG$3,$E108&lt;=BG$3+6),"▼",IF(AND($E108&gt;=BG$3,$E108&lt;=BG$3+6),$A108,"")))</f>
        <v/>
      </c>
      <c r="BH108" s="47" t="str">
        <f aca="false">IF($A108="","",IF(AND(INDEX(工程マスタ!$I$5:$I$154,$A108)="○",$E108&gt;=BH$3,$E108&lt;=BH$3+6),"▼",IF(AND($E108&gt;=BH$3,$E108&lt;=BH$3+6),$A108,"")))</f>
        <v/>
      </c>
      <c r="BI108" s="47" t="str">
        <f aca="false">IF($A108="","",IF(AND(INDEX(工程マスタ!$I$5:$I$154,$A108)="○",$E108&gt;=BI$3,$E108&lt;=BI$3+6),"▼",IF(AND($E108&gt;=BI$3,$E108&lt;=BI$3+6),$A108,"")))</f>
        <v/>
      </c>
      <c r="BJ108" s="47" t="str">
        <f aca="false">IF($A108="","",IF(AND(INDEX(工程マスタ!$I$5:$I$154,$A108)="○",$E108&gt;=BJ$3,$E108&lt;=BJ$3+6),"▼",IF(AND($E108&gt;=BJ$3,$E108&lt;=BJ$3+6),$A108,"")))</f>
        <v/>
      </c>
    </row>
    <row r="109" customFormat="false" ht="15" hidden="false" customHeight="false" outlineLevel="0" collapsed="false">
      <c r="A109" s="28" t="str">
        <f aca="false">IF(工程マスタ!$C107="","",工程マスタ!$A107)</f>
        <v/>
      </c>
      <c r="B109" s="46" t="str">
        <f aca="false">IF($A109="","",工程マスタ!$C107)</f>
        <v/>
      </c>
      <c r="C109" s="28" t="str">
        <f aca="false">IF($A109="","",MAX(1,工程マスタ!$G107))</f>
        <v/>
      </c>
      <c r="D109" s="28" t="str">
        <f aca="false">IF($A109="","",_xlfn.TEXTJOIN(",",TRUE(),工程マスタ!$N107:$P107))</f>
        <v/>
      </c>
      <c r="E109" s="29" t="str">
        <f aca="false">IF($A109="","",IF(COUNT(工程マスタ!$N107:$P107)=0,設定!$B$8,MAX(IF(工程マスタ!$N107="",0,INDEX($F$7:$F$156,工程マスタ!$N107)),IF(工程マスタ!$O107="",0,INDEX($F$7:$F$156,工程マスタ!$O107)),IF(工程マスタ!$P107="",0,INDEX($F$7:$F$156,工程マスタ!$P107)))+1))</f>
        <v/>
      </c>
      <c r="F109" s="29" t="str">
        <f aca="false">IF($A109="","",$E109+$C109-1)</f>
        <v/>
      </c>
      <c r="G109" s="29" t="str">
        <f aca="false">IF($A109="","",$H109-$C109+1)</f>
        <v/>
      </c>
      <c r="H109" s="29" t="str">
        <f aca="false" t="array" ref="H109:H109">IF($A109="","",IF(SUMPRODUCT((工程マスタ!$N$108:$N$154=$A109)*1)+SUMPRODUCT((工程マスタ!$O$108:$O$154=$A109)*1)+SUMPRODUCT((工程マスタ!$P$108:$P$154=$A109)*1)=0,MAX($F$7:$F$156),MIN(IF((工程マスタ!$N$108:$N$154=$A109)+(工程マスタ!$O$108:$O$154=$A109)+(工程マスタ!$P$108:$P$154=$A109),$G110:$G$156))-1))</f>
        <v/>
      </c>
      <c r="I109" s="28" t="str">
        <f aca="false">IF($A109="","",$G109-$E109)</f>
        <v/>
      </c>
      <c r="J109" s="28" t="str">
        <f aca="false">IF($A109="","",IF($I109&lt;=0,"●",""))</f>
        <v/>
      </c>
      <c r="K109" s="47" t="str">
        <f aca="false">IF($A109="","",IF(AND(INDEX(工程マスタ!$I$5:$I$154,$A109)="○",$E109&gt;=K$3,$E109&lt;=K$3+6),"▼",IF(AND($E109&gt;=K$3,$E109&lt;=K$3+6),$A109,"")))</f>
        <v/>
      </c>
      <c r="L109" s="47" t="str">
        <f aca="false">IF($A109="","",IF(AND(INDEX(工程マスタ!$I$5:$I$154,$A109)="○",$E109&gt;=L$3,$E109&lt;=L$3+6),"▼",IF(AND($E109&gt;=L$3,$E109&lt;=L$3+6),$A109,"")))</f>
        <v/>
      </c>
      <c r="M109" s="47" t="str">
        <f aca="false">IF($A109="","",IF(AND(INDEX(工程マスタ!$I$5:$I$154,$A109)="○",$E109&gt;=M$3,$E109&lt;=M$3+6),"▼",IF(AND($E109&gt;=M$3,$E109&lt;=M$3+6),$A109,"")))</f>
        <v/>
      </c>
      <c r="N109" s="47" t="str">
        <f aca="false">IF($A109="","",IF(AND(INDEX(工程マスタ!$I$5:$I$154,$A109)="○",$E109&gt;=N$3,$E109&lt;=N$3+6),"▼",IF(AND($E109&gt;=N$3,$E109&lt;=N$3+6),$A109,"")))</f>
        <v/>
      </c>
      <c r="O109" s="47" t="str">
        <f aca="false">IF($A109="","",IF(AND(INDEX(工程マスタ!$I$5:$I$154,$A109)="○",$E109&gt;=O$3,$E109&lt;=O$3+6),"▼",IF(AND($E109&gt;=O$3,$E109&lt;=O$3+6),$A109,"")))</f>
        <v/>
      </c>
      <c r="P109" s="47" t="str">
        <f aca="false">IF($A109="","",IF(AND(INDEX(工程マスタ!$I$5:$I$154,$A109)="○",$E109&gt;=P$3,$E109&lt;=P$3+6),"▼",IF(AND($E109&gt;=P$3,$E109&lt;=P$3+6),$A109,"")))</f>
        <v/>
      </c>
      <c r="Q109" s="47" t="str">
        <f aca="false">IF($A109="","",IF(AND(INDEX(工程マスタ!$I$5:$I$154,$A109)="○",$E109&gt;=Q$3,$E109&lt;=Q$3+6),"▼",IF(AND($E109&gt;=Q$3,$E109&lt;=Q$3+6),$A109,"")))</f>
        <v/>
      </c>
      <c r="R109" s="47" t="str">
        <f aca="false">IF($A109="","",IF(AND(INDEX(工程マスタ!$I$5:$I$154,$A109)="○",$E109&gt;=R$3,$E109&lt;=R$3+6),"▼",IF(AND($E109&gt;=R$3,$E109&lt;=R$3+6),$A109,"")))</f>
        <v/>
      </c>
      <c r="S109" s="47" t="str">
        <f aca="false">IF($A109="","",IF(AND(INDEX(工程マスタ!$I$5:$I$154,$A109)="○",$E109&gt;=S$3,$E109&lt;=S$3+6),"▼",IF(AND($E109&gt;=S$3,$E109&lt;=S$3+6),$A109,"")))</f>
        <v/>
      </c>
      <c r="T109" s="47" t="str">
        <f aca="false">IF($A109="","",IF(AND(INDEX(工程マスタ!$I$5:$I$154,$A109)="○",$E109&gt;=T$3,$E109&lt;=T$3+6),"▼",IF(AND($E109&gt;=T$3,$E109&lt;=T$3+6),$A109,"")))</f>
        <v/>
      </c>
      <c r="U109" s="47" t="str">
        <f aca="false">IF($A109="","",IF(AND(INDEX(工程マスタ!$I$5:$I$154,$A109)="○",$E109&gt;=U$3,$E109&lt;=U$3+6),"▼",IF(AND($E109&gt;=U$3,$E109&lt;=U$3+6),$A109,"")))</f>
        <v/>
      </c>
      <c r="V109" s="47" t="str">
        <f aca="false">IF($A109="","",IF(AND(INDEX(工程マスタ!$I$5:$I$154,$A109)="○",$E109&gt;=V$3,$E109&lt;=V$3+6),"▼",IF(AND($E109&gt;=V$3,$E109&lt;=V$3+6),$A109,"")))</f>
        <v/>
      </c>
      <c r="W109" s="47" t="str">
        <f aca="false">IF($A109="","",IF(AND(INDEX(工程マスタ!$I$5:$I$154,$A109)="○",$E109&gt;=W$3,$E109&lt;=W$3+6),"▼",IF(AND($E109&gt;=W$3,$E109&lt;=W$3+6),$A109,"")))</f>
        <v/>
      </c>
      <c r="X109" s="47" t="str">
        <f aca="false">IF($A109="","",IF(AND(INDEX(工程マスタ!$I$5:$I$154,$A109)="○",$E109&gt;=X$3,$E109&lt;=X$3+6),"▼",IF(AND($E109&gt;=X$3,$E109&lt;=X$3+6),$A109,"")))</f>
        <v/>
      </c>
      <c r="Y109" s="47" t="str">
        <f aca="false">IF($A109="","",IF(AND(INDEX(工程マスタ!$I$5:$I$154,$A109)="○",$E109&gt;=Y$3,$E109&lt;=Y$3+6),"▼",IF(AND($E109&gt;=Y$3,$E109&lt;=Y$3+6),$A109,"")))</f>
        <v/>
      </c>
      <c r="Z109" s="47" t="str">
        <f aca="false">IF($A109="","",IF(AND(INDEX(工程マスタ!$I$5:$I$154,$A109)="○",$E109&gt;=Z$3,$E109&lt;=Z$3+6),"▼",IF(AND($E109&gt;=Z$3,$E109&lt;=Z$3+6),$A109,"")))</f>
        <v/>
      </c>
      <c r="AA109" s="47" t="str">
        <f aca="false">IF($A109="","",IF(AND(INDEX(工程マスタ!$I$5:$I$154,$A109)="○",$E109&gt;=AA$3,$E109&lt;=AA$3+6),"▼",IF(AND($E109&gt;=AA$3,$E109&lt;=AA$3+6),$A109,"")))</f>
        <v/>
      </c>
      <c r="AB109" s="47" t="str">
        <f aca="false">IF($A109="","",IF(AND(INDEX(工程マスタ!$I$5:$I$154,$A109)="○",$E109&gt;=AB$3,$E109&lt;=AB$3+6),"▼",IF(AND($E109&gt;=AB$3,$E109&lt;=AB$3+6),$A109,"")))</f>
        <v/>
      </c>
      <c r="AC109" s="47" t="str">
        <f aca="false">IF($A109="","",IF(AND(INDEX(工程マスタ!$I$5:$I$154,$A109)="○",$E109&gt;=AC$3,$E109&lt;=AC$3+6),"▼",IF(AND($E109&gt;=AC$3,$E109&lt;=AC$3+6),$A109,"")))</f>
        <v/>
      </c>
      <c r="AD109" s="47" t="str">
        <f aca="false">IF($A109="","",IF(AND(INDEX(工程マスタ!$I$5:$I$154,$A109)="○",$E109&gt;=AD$3,$E109&lt;=AD$3+6),"▼",IF(AND($E109&gt;=AD$3,$E109&lt;=AD$3+6),$A109,"")))</f>
        <v/>
      </c>
      <c r="AE109" s="47" t="str">
        <f aca="false">IF($A109="","",IF(AND(INDEX(工程マスタ!$I$5:$I$154,$A109)="○",$E109&gt;=AE$3,$E109&lt;=AE$3+6),"▼",IF(AND($E109&gt;=AE$3,$E109&lt;=AE$3+6),$A109,"")))</f>
        <v/>
      </c>
      <c r="AF109" s="47" t="str">
        <f aca="false">IF($A109="","",IF(AND(INDEX(工程マスタ!$I$5:$I$154,$A109)="○",$E109&gt;=AF$3,$E109&lt;=AF$3+6),"▼",IF(AND($E109&gt;=AF$3,$E109&lt;=AF$3+6),$A109,"")))</f>
        <v/>
      </c>
      <c r="AG109" s="47" t="str">
        <f aca="false">IF($A109="","",IF(AND(INDEX(工程マスタ!$I$5:$I$154,$A109)="○",$E109&gt;=AG$3,$E109&lt;=AG$3+6),"▼",IF(AND($E109&gt;=AG$3,$E109&lt;=AG$3+6),$A109,"")))</f>
        <v/>
      </c>
      <c r="AH109" s="47" t="str">
        <f aca="false">IF($A109="","",IF(AND(INDEX(工程マスタ!$I$5:$I$154,$A109)="○",$E109&gt;=AH$3,$E109&lt;=AH$3+6),"▼",IF(AND($E109&gt;=AH$3,$E109&lt;=AH$3+6),$A109,"")))</f>
        <v/>
      </c>
      <c r="AI109" s="47" t="str">
        <f aca="false">IF($A109="","",IF(AND(INDEX(工程マスタ!$I$5:$I$154,$A109)="○",$E109&gt;=AI$3,$E109&lt;=AI$3+6),"▼",IF(AND($E109&gt;=AI$3,$E109&lt;=AI$3+6),$A109,"")))</f>
        <v/>
      </c>
      <c r="AJ109" s="47" t="str">
        <f aca="false">IF($A109="","",IF(AND(INDEX(工程マスタ!$I$5:$I$154,$A109)="○",$E109&gt;=AJ$3,$E109&lt;=AJ$3+6),"▼",IF(AND($E109&gt;=AJ$3,$E109&lt;=AJ$3+6),$A109,"")))</f>
        <v/>
      </c>
      <c r="AK109" s="47" t="str">
        <f aca="false">IF($A109="","",IF(AND(INDEX(工程マスタ!$I$5:$I$154,$A109)="○",$E109&gt;=AK$3,$E109&lt;=AK$3+6),"▼",IF(AND($E109&gt;=AK$3,$E109&lt;=AK$3+6),$A109,"")))</f>
        <v/>
      </c>
      <c r="AL109" s="47" t="str">
        <f aca="false">IF($A109="","",IF(AND(INDEX(工程マスタ!$I$5:$I$154,$A109)="○",$E109&gt;=AL$3,$E109&lt;=AL$3+6),"▼",IF(AND($E109&gt;=AL$3,$E109&lt;=AL$3+6),$A109,"")))</f>
        <v/>
      </c>
      <c r="AM109" s="47" t="str">
        <f aca="false">IF($A109="","",IF(AND(INDEX(工程マスタ!$I$5:$I$154,$A109)="○",$E109&gt;=AM$3,$E109&lt;=AM$3+6),"▼",IF(AND($E109&gt;=AM$3,$E109&lt;=AM$3+6),$A109,"")))</f>
        <v/>
      </c>
      <c r="AN109" s="47" t="str">
        <f aca="false">IF($A109="","",IF(AND(INDEX(工程マスタ!$I$5:$I$154,$A109)="○",$E109&gt;=AN$3,$E109&lt;=AN$3+6),"▼",IF(AND($E109&gt;=AN$3,$E109&lt;=AN$3+6),$A109,"")))</f>
        <v/>
      </c>
      <c r="AO109" s="47" t="str">
        <f aca="false">IF($A109="","",IF(AND(INDEX(工程マスタ!$I$5:$I$154,$A109)="○",$E109&gt;=AO$3,$E109&lt;=AO$3+6),"▼",IF(AND($E109&gt;=AO$3,$E109&lt;=AO$3+6),$A109,"")))</f>
        <v/>
      </c>
      <c r="AP109" s="47" t="str">
        <f aca="false">IF($A109="","",IF(AND(INDEX(工程マスタ!$I$5:$I$154,$A109)="○",$E109&gt;=AP$3,$E109&lt;=AP$3+6),"▼",IF(AND($E109&gt;=AP$3,$E109&lt;=AP$3+6),$A109,"")))</f>
        <v/>
      </c>
      <c r="AQ109" s="47" t="str">
        <f aca="false">IF($A109="","",IF(AND(INDEX(工程マスタ!$I$5:$I$154,$A109)="○",$E109&gt;=AQ$3,$E109&lt;=AQ$3+6),"▼",IF(AND($E109&gt;=AQ$3,$E109&lt;=AQ$3+6),$A109,"")))</f>
        <v/>
      </c>
      <c r="AR109" s="47" t="str">
        <f aca="false">IF($A109="","",IF(AND(INDEX(工程マスタ!$I$5:$I$154,$A109)="○",$E109&gt;=AR$3,$E109&lt;=AR$3+6),"▼",IF(AND($E109&gt;=AR$3,$E109&lt;=AR$3+6),$A109,"")))</f>
        <v/>
      </c>
      <c r="AS109" s="47" t="str">
        <f aca="false">IF($A109="","",IF(AND(INDEX(工程マスタ!$I$5:$I$154,$A109)="○",$E109&gt;=AS$3,$E109&lt;=AS$3+6),"▼",IF(AND($E109&gt;=AS$3,$E109&lt;=AS$3+6),$A109,"")))</f>
        <v/>
      </c>
      <c r="AT109" s="47" t="str">
        <f aca="false">IF($A109="","",IF(AND(INDEX(工程マスタ!$I$5:$I$154,$A109)="○",$E109&gt;=AT$3,$E109&lt;=AT$3+6),"▼",IF(AND($E109&gt;=AT$3,$E109&lt;=AT$3+6),$A109,"")))</f>
        <v/>
      </c>
      <c r="AU109" s="47" t="str">
        <f aca="false">IF($A109="","",IF(AND(INDEX(工程マスタ!$I$5:$I$154,$A109)="○",$E109&gt;=AU$3,$E109&lt;=AU$3+6),"▼",IF(AND($E109&gt;=AU$3,$E109&lt;=AU$3+6),$A109,"")))</f>
        <v/>
      </c>
      <c r="AV109" s="47" t="str">
        <f aca="false">IF($A109="","",IF(AND(INDEX(工程マスタ!$I$5:$I$154,$A109)="○",$E109&gt;=AV$3,$E109&lt;=AV$3+6),"▼",IF(AND($E109&gt;=AV$3,$E109&lt;=AV$3+6),$A109,"")))</f>
        <v/>
      </c>
      <c r="AW109" s="47" t="str">
        <f aca="false">IF($A109="","",IF(AND(INDEX(工程マスタ!$I$5:$I$154,$A109)="○",$E109&gt;=AW$3,$E109&lt;=AW$3+6),"▼",IF(AND($E109&gt;=AW$3,$E109&lt;=AW$3+6),$A109,"")))</f>
        <v/>
      </c>
      <c r="AX109" s="47" t="str">
        <f aca="false">IF($A109="","",IF(AND(INDEX(工程マスタ!$I$5:$I$154,$A109)="○",$E109&gt;=AX$3,$E109&lt;=AX$3+6),"▼",IF(AND($E109&gt;=AX$3,$E109&lt;=AX$3+6),$A109,"")))</f>
        <v/>
      </c>
      <c r="AY109" s="47" t="str">
        <f aca="false">IF($A109="","",IF(AND(INDEX(工程マスタ!$I$5:$I$154,$A109)="○",$E109&gt;=AY$3,$E109&lt;=AY$3+6),"▼",IF(AND($E109&gt;=AY$3,$E109&lt;=AY$3+6),$A109,"")))</f>
        <v/>
      </c>
      <c r="AZ109" s="47" t="str">
        <f aca="false">IF($A109="","",IF(AND(INDEX(工程マスタ!$I$5:$I$154,$A109)="○",$E109&gt;=AZ$3,$E109&lt;=AZ$3+6),"▼",IF(AND($E109&gt;=AZ$3,$E109&lt;=AZ$3+6),$A109,"")))</f>
        <v/>
      </c>
      <c r="BA109" s="47" t="str">
        <f aca="false">IF($A109="","",IF(AND(INDEX(工程マスタ!$I$5:$I$154,$A109)="○",$E109&gt;=BA$3,$E109&lt;=BA$3+6),"▼",IF(AND($E109&gt;=BA$3,$E109&lt;=BA$3+6),$A109,"")))</f>
        <v/>
      </c>
      <c r="BB109" s="47" t="str">
        <f aca="false">IF($A109="","",IF(AND(INDEX(工程マスタ!$I$5:$I$154,$A109)="○",$E109&gt;=BB$3,$E109&lt;=BB$3+6),"▼",IF(AND($E109&gt;=BB$3,$E109&lt;=BB$3+6),$A109,"")))</f>
        <v/>
      </c>
      <c r="BC109" s="47" t="str">
        <f aca="false">IF($A109="","",IF(AND(INDEX(工程マスタ!$I$5:$I$154,$A109)="○",$E109&gt;=BC$3,$E109&lt;=BC$3+6),"▼",IF(AND($E109&gt;=BC$3,$E109&lt;=BC$3+6),$A109,"")))</f>
        <v/>
      </c>
      <c r="BD109" s="47" t="str">
        <f aca="false">IF($A109="","",IF(AND(INDEX(工程マスタ!$I$5:$I$154,$A109)="○",$E109&gt;=BD$3,$E109&lt;=BD$3+6),"▼",IF(AND($E109&gt;=BD$3,$E109&lt;=BD$3+6),$A109,"")))</f>
        <v/>
      </c>
      <c r="BE109" s="47" t="str">
        <f aca="false">IF($A109="","",IF(AND(INDEX(工程マスタ!$I$5:$I$154,$A109)="○",$E109&gt;=BE$3,$E109&lt;=BE$3+6),"▼",IF(AND($E109&gt;=BE$3,$E109&lt;=BE$3+6),$A109,"")))</f>
        <v/>
      </c>
      <c r="BF109" s="47" t="str">
        <f aca="false">IF($A109="","",IF(AND(INDEX(工程マスタ!$I$5:$I$154,$A109)="○",$E109&gt;=BF$3,$E109&lt;=BF$3+6),"▼",IF(AND($E109&gt;=BF$3,$E109&lt;=BF$3+6),$A109,"")))</f>
        <v/>
      </c>
      <c r="BG109" s="47" t="str">
        <f aca="false">IF($A109="","",IF(AND(INDEX(工程マスタ!$I$5:$I$154,$A109)="○",$E109&gt;=BG$3,$E109&lt;=BG$3+6),"▼",IF(AND($E109&gt;=BG$3,$E109&lt;=BG$3+6),$A109,"")))</f>
        <v/>
      </c>
      <c r="BH109" s="47" t="str">
        <f aca="false">IF($A109="","",IF(AND(INDEX(工程マスタ!$I$5:$I$154,$A109)="○",$E109&gt;=BH$3,$E109&lt;=BH$3+6),"▼",IF(AND($E109&gt;=BH$3,$E109&lt;=BH$3+6),$A109,"")))</f>
        <v/>
      </c>
      <c r="BI109" s="47" t="str">
        <f aca="false">IF($A109="","",IF(AND(INDEX(工程マスタ!$I$5:$I$154,$A109)="○",$E109&gt;=BI$3,$E109&lt;=BI$3+6),"▼",IF(AND($E109&gt;=BI$3,$E109&lt;=BI$3+6),$A109,"")))</f>
        <v/>
      </c>
      <c r="BJ109" s="47" t="str">
        <f aca="false">IF($A109="","",IF(AND(INDEX(工程マスタ!$I$5:$I$154,$A109)="○",$E109&gt;=BJ$3,$E109&lt;=BJ$3+6),"▼",IF(AND($E109&gt;=BJ$3,$E109&lt;=BJ$3+6),$A109,"")))</f>
        <v/>
      </c>
    </row>
    <row r="110" customFormat="false" ht="15" hidden="false" customHeight="false" outlineLevel="0" collapsed="false">
      <c r="A110" s="28" t="str">
        <f aca="false">IF(工程マスタ!$C108="","",工程マスタ!$A108)</f>
        <v/>
      </c>
      <c r="B110" s="46" t="str">
        <f aca="false">IF($A110="","",工程マスタ!$C108)</f>
        <v/>
      </c>
      <c r="C110" s="28" t="str">
        <f aca="false">IF($A110="","",MAX(1,工程マスタ!$G108))</f>
        <v/>
      </c>
      <c r="D110" s="28" t="str">
        <f aca="false">IF($A110="","",_xlfn.TEXTJOIN(",",TRUE(),工程マスタ!$N108:$P108))</f>
        <v/>
      </c>
      <c r="E110" s="29" t="str">
        <f aca="false">IF($A110="","",IF(COUNT(工程マスタ!$N108:$P108)=0,設定!$B$8,MAX(IF(工程マスタ!$N108="",0,INDEX($F$7:$F$156,工程マスタ!$N108)),IF(工程マスタ!$O108="",0,INDEX($F$7:$F$156,工程マスタ!$O108)),IF(工程マスタ!$P108="",0,INDEX($F$7:$F$156,工程マスタ!$P108)))+1))</f>
        <v/>
      </c>
      <c r="F110" s="29" t="str">
        <f aca="false">IF($A110="","",$E110+$C110-1)</f>
        <v/>
      </c>
      <c r="G110" s="29" t="str">
        <f aca="false">IF($A110="","",$H110-$C110+1)</f>
        <v/>
      </c>
      <c r="H110" s="29" t="str">
        <f aca="false" t="array" ref="H110:H110">IF($A110="","",IF(SUMPRODUCT((工程マスタ!$N$109:$N$154=$A110)*1)+SUMPRODUCT((工程マスタ!$O$109:$O$154=$A110)*1)+SUMPRODUCT((工程マスタ!$P$109:$P$154=$A110)*1)=0,MAX($F$7:$F$156),MIN(IF((工程マスタ!$N$109:$N$154=$A110)+(工程マスタ!$O$109:$O$154=$A110)+(工程マスタ!$P$109:$P$154=$A110),$G111:$G$156))-1))</f>
        <v/>
      </c>
      <c r="I110" s="28" t="str">
        <f aca="false">IF($A110="","",$G110-$E110)</f>
        <v/>
      </c>
      <c r="J110" s="28" t="str">
        <f aca="false">IF($A110="","",IF($I110&lt;=0,"●",""))</f>
        <v/>
      </c>
      <c r="K110" s="47" t="str">
        <f aca="false">IF($A110="","",IF(AND(INDEX(工程マスタ!$I$5:$I$154,$A110)="○",$E110&gt;=K$3,$E110&lt;=K$3+6),"▼",IF(AND($E110&gt;=K$3,$E110&lt;=K$3+6),$A110,"")))</f>
        <v/>
      </c>
      <c r="L110" s="47" t="str">
        <f aca="false">IF($A110="","",IF(AND(INDEX(工程マスタ!$I$5:$I$154,$A110)="○",$E110&gt;=L$3,$E110&lt;=L$3+6),"▼",IF(AND($E110&gt;=L$3,$E110&lt;=L$3+6),$A110,"")))</f>
        <v/>
      </c>
      <c r="M110" s="47" t="str">
        <f aca="false">IF($A110="","",IF(AND(INDEX(工程マスタ!$I$5:$I$154,$A110)="○",$E110&gt;=M$3,$E110&lt;=M$3+6),"▼",IF(AND($E110&gt;=M$3,$E110&lt;=M$3+6),$A110,"")))</f>
        <v/>
      </c>
      <c r="N110" s="47" t="str">
        <f aca="false">IF($A110="","",IF(AND(INDEX(工程マスタ!$I$5:$I$154,$A110)="○",$E110&gt;=N$3,$E110&lt;=N$3+6),"▼",IF(AND($E110&gt;=N$3,$E110&lt;=N$3+6),$A110,"")))</f>
        <v/>
      </c>
      <c r="O110" s="47" t="str">
        <f aca="false">IF($A110="","",IF(AND(INDEX(工程マスタ!$I$5:$I$154,$A110)="○",$E110&gt;=O$3,$E110&lt;=O$3+6),"▼",IF(AND($E110&gt;=O$3,$E110&lt;=O$3+6),$A110,"")))</f>
        <v/>
      </c>
      <c r="P110" s="47" t="str">
        <f aca="false">IF($A110="","",IF(AND(INDEX(工程マスタ!$I$5:$I$154,$A110)="○",$E110&gt;=P$3,$E110&lt;=P$3+6),"▼",IF(AND($E110&gt;=P$3,$E110&lt;=P$3+6),$A110,"")))</f>
        <v/>
      </c>
      <c r="Q110" s="47" t="str">
        <f aca="false">IF($A110="","",IF(AND(INDEX(工程マスタ!$I$5:$I$154,$A110)="○",$E110&gt;=Q$3,$E110&lt;=Q$3+6),"▼",IF(AND($E110&gt;=Q$3,$E110&lt;=Q$3+6),$A110,"")))</f>
        <v/>
      </c>
      <c r="R110" s="47" t="str">
        <f aca="false">IF($A110="","",IF(AND(INDEX(工程マスタ!$I$5:$I$154,$A110)="○",$E110&gt;=R$3,$E110&lt;=R$3+6),"▼",IF(AND($E110&gt;=R$3,$E110&lt;=R$3+6),$A110,"")))</f>
        <v/>
      </c>
      <c r="S110" s="47" t="str">
        <f aca="false">IF($A110="","",IF(AND(INDEX(工程マスタ!$I$5:$I$154,$A110)="○",$E110&gt;=S$3,$E110&lt;=S$3+6),"▼",IF(AND($E110&gt;=S$3,$E110&lt;=S$3+6),$A110,"")))</f>
        <v/>
      </c>
      <c r="T110" s="47" t="str">
        <f aca="false">IF($A110="","",IF(AND(INDEX(工程マスタ!$I$5:$I$154,$A110)="○",$E110&gt;=T$3,$E110&lt;=T$3+6),"▼",IF(AND($E110&gt;=T$3,$E110&lt;=T$3+6),$A110,"")))</f>
        <v/>
      </c>
      <c r="U110" s="47" t="str">
        <f aca="false">IF($A110="","",IF(AND(INDEX(工程マスタ!$I$5:$I$154,$A110)="○",$E110&gt;=U$3,$E110&lt;=U$3+6),"▼",IF(AND($E110&gt;=U$3,$E110&lt;=U$3+6),$A110,"")))</f>
        <v/>
      </c>
      <c r="V110" s="47" t="str">
        <f aca="false">IF($A110="","",IF(AND(INDEX(工程マスタ!$I$5:$I$154,$A110)="○",$E110&gt;=V$3,$E110&lt;=V$3+6),"▼",IF(AND($E110&gt;=V$3,$E110&lt;=V$3+6),$A110,"")))</f>
        <v/>
      </c>
      <c r="W110" s="47" t="str">
        <f aca="false">IF($A110="","",IF(AND(INDEX(工程マスタ!$I$5:$I$154,$A110)="○",$E110&gt;=W$3,$E110&lt;=W$3+6),"▼",IF(AND($E110&gt;=W$3,$E110&lt;=W$3+6),$A110,"")))</f>
        <v/>
      </c>
      <c r="X110" s="47" t="str">
        <f aca="false">IF($A110="","",IF(AND(INDEX(工程マスタ!$I$5:$I$154,$A110)="○",$E110&gt;=X$3,$E110&lt;=X$3+6),"▼",IF(AND($E110&gt;=X$3,$E110&lt;=X$3+6),$A110,"")))</f>
        <v/>
      </c>
      <c r="Y110" s="47" t="str">
        <f aca="false">IF($A110="","",IF(AND(INDEX(工程マスタ!$I$5:$I$154,$A110)="○",$E110&gt;=Y$3,$E110&lt;=Y$3+6),"▼",IF(AND($E110&gt;=Y$3,$E110&lt;=Y$3+6),$A110,"")))</f>
        <v/>
      </c>
      <c r="Z110" s="47" t="str">
        <f aca="false">IF($A110="","",IF(AND(INDEX(工程マスタ!$I$5:$I$154,$A110)="○",$E110&gt;=Z$3,$E110&lt;=Z$3+6),"▼",IF(AND($E110&gt;=Z$3,$E110&lt;=Z$3+6),$A110,"")))</f>
        <v/>
      </c>
      <c r="AA110" s="47" t="str">
        <f aca="false">IF($A110="","",IF(AND(INDEX(工程マスタ!$I$5:$I$154,$A110)="○",$E110&gt;=AA$3,$E110&lt;=AA$3+6),"▼",IF(AND($E110&gt;=AA$3,$E110&lt;=AA$3+6),$A110,"")))</f>
        <v/>
      </c>
      <c r="AB110" s="47" t="str">
        <f aca="false">IF($A110="","",IF(AND(INDEX(工程マスタ!$I$5:$I$154,$A110)="○",$E110&gt;=AB$3,$E110&lt;=AB$3+6),"▼",IF(AND($E110&gt;=AB$3,$E110&lt;=AB$3+6),$A110,"")))</f>
        <v/>
      </c>
      <c r="AC110" s="47" t="str">
        <f aca="false">IF($A110="","",IF(AND(INDEX(工程マスタ!$I$5:$I$154,$A110)="○",$E110&gt;=AC$3,$E110&lt;=AC$3+6),"▼",IF(AND($E110&gt;=AC$3,$E110&lt;=AC$3+6),$A110,"")))</f>
        <v/>
      </c>
      <c r="AD110" s="47" t="str">
        <f aca="false">IF($A110="","",IF(AND(INDEX(工程マスタ!$I$5:$I$154,$A110)="○",$E110&gt;=AD$3,$E110&lt;=AD$3+6),"▼",IF(AND($E110&gt;=AD$3,$E110&lt;=AD$3+6),$A110,"")))</f>
        <v/>
      </c>
      <c r="AE110" s="47" t="str">
        <f aca="false">IF($A110="","",IF(AND(INDEX(工程マスタ!$I$5:$I$154,$A110)="○",$E110&gt;=AE$3,$E110&lt;=AE$3+6),"▼",IF(AND($E110&gt;=AE$3,$E110&lt;=AE$3+6),$A110,"")))</f>
        <v/>
      </c>
      <c r="AF110" s="47" t="str">
        <f aca="false">IF($A110="","",IF(AND(INDEX(工程マスタ!$I$5:$I$154,$A110)="○",$E110&gt;=AF$3,$E110&lt;=AF$3+6),"▼",IF(AND($E110&gt;=AF$3,$E110&lt;=AF$3+6),$A110,"")))</f>
        <v/>
      </c>
      <c r="AG110" s="47" t="str">
        <f aca="false">IF($A110="","",IF(AND(INDEX(工程マスタ!$I$5:$I$154,$A110)="○",$E110&gt;=AG$3,$E110&lt;=AG$3+6),"▼",IF(AND($E110&gt;=AG$3,$E110&lt;=AG$3+6),$A110,"")))</f>
        <v/>
      </c>
      <c r="AH110" s="47" t="str">
        <f aca="false">IF($A110="","",IF(AND(INDEX(工程マスタ!$I$5:$I$154,$A110)="○",$E110&gt;=AH$3,$E110&lt;=AH$3+6),"▼",IF(AND($E110&gt;=AH$3,$E110&lt;=AH$3+6),$A110,"")))</f>
        <v/>
      </c>
      <c r="AI110" s="47" t="str">
        <f aca="false">IF($A110="","",IF(AND(INDEX(工程マスタ!$I$5:$I$154,$A110)="○",$E110&gt;=AI$3,$E110&lt;=AI$3+6),"▼",IF(AND($E110&gt;=AI$3,$E110&lt;=AI$3+6),$A110,"")))</f>
        <v/>
      </c>
      <c r="AJ110" s="47" t="str">
        <f aca="false">IF($A110="","",IF(AND(INDEX(工程マスタ!$I$5:$I$154,$A110)="○",$E110&gt;=AJ$3,$E110&lt;=AJ$3+6),"▼",IF(AND($E110&gt;=AJ$3,$E110&lt;=AJ$3+6),$A110,"")))</f>
        <v/>
      </c>
      <c r="AK110" s="47" t="str">
        <f aca="false">IF($A110="","",IF(AND(INDEX(工程マスタ!$I$5:$I$154,$A110)="○",$E110&gt;=AK$3,$E110&lt;=AK$3+6),"▼",IF(AND($E110&gt;=AK$3,$E110&lt;=AK$3+6),$A110,"")))</f>
        <v/>
      </c>
      <c r="AL110" s="47" t="str">
        <f aca="false">IF($A110="","",IF(AND(INDEX(工程マスタ!$I$5:$I$154,$A110)="○",$E110&gt;=AL$3,$E110&lt;=AL$3+6),"▼",IF(AND($E110&gt;=AL$3,$E110&lt;=AL$3+6),$A110,"")))</f>
        <v/>
      </c>
      <c r="AM110" s="47" t="str">
        <f aca="false">IF($A110="","",IF(AND(INDEX(工程マスタ!$I$5:$I$154,$A110)="○",$E110&gt;=AM$3,$E110&lt;=AM$3+6),"▼",IF(AND($E110&gt;=AM$3,$E110&lt;=AM$3+6),$A110,"")))</f>
        <v/>
      </c>
      <c r="AN110" s="47" t="str">
        <f aca="false">IF($A110="","",IF(AND(INDEX(工程マスタ!$I$5:$I$154,$A110)="○",$E110&gt;=AN$3,$E110&lt;=AN$3+6),"▼",IF(AND($E110&gt;=AN$3,$E110&lt;=AN$3+6),$A110,"")))</f>
        <v/>
      </c>
      <c r="AO110" s="47" t="str">
        <f aca="false">IF($A110="","",IF(AND(INDEX(工程マスタ!$I$5:$I$154,$A110)="○",$E110&gt;=AO$3,$E110&lt;=AO$3+6),"▼",IF(AND($E110&gt;=AO$3,$E110&lt;=AO$3+6),$A110,"")))</f>
        <v/>
      </c>
      <c r="AP110" s="47" t="str">
        <f aca="false">IF($A110="","",IF(AND(INDEX(工程マスタ!$I$5:$I$154,$A110)="○",$E110&gt;=AP$3,$E110&lt;=AP$3+6),"▼",IF(AND($E110&gt;=AP$3,$E110&lt;=AP$3+6),$A110,"")))</f>
        <v/>
      </c>
      <c r="AQ110" s="47" t="str">
        <f aca="false">IF($A110="","",IF(AND(INDEX(工程マスタ!$I$5:$I$154,$A110)="○",$E110&gt;=AQ$3,$E110&lt;=AQ$3+6),"▼",IF(AND($E110&gt;=AQ$3,$E110&lt;=AQ$3+6),$A110,"")))</f>
        <v/>
      </c>
      <c r="AR110" s="47" t="str">
        <f aca="false">IF($A110="","",IF(AND(INDEX(工程マスタ!$I$5:$I$154,$A110)="○",$E110&gt;=AR$3,$E110&lt;=AR$3+6),"▼",IF(AND($E110&gt;=AR$3,$E110&lt;=AR$3+6),$A110,"")))</f>
        <v/>
      </c>
      <c r="AS110" s="47" t="str">
        <f aca="false">IF($A110="","",IF(AND(INDEX(工程マスタ!$I$5:$I$154,$A110)="○",$E110&gt;=AS$3,$E110&lt;=AS$3+6),"▼",IF(AND($E110&gt;=AS$3,$E110&lt;=AS$3+6),$A110,"")))</f>
        <v/>
      </c>
      <c r="AT110" s="47" t="str">
        <f aca="false">IF($A110="","",IF(AND(INDEX(工程マスタ!$I$5:$I$154,$A110)="○",$E110&gt;=AT$3,$E110&lt;=AT$3+6),"▼",IF(AND($E110&gt;=AT$3,$E110&lt;=AT$3+6),$A110,"")))</f>
        <v/>
      </c>
      <c r="AU110" s="47" t="str">
        <f aca="false">IF($A110="","",IF(AND(INDEX(工程マスタ!$I$5:$I$154,$A110)="○",$E110&gt;=AU$3,$E110&lt;=AU$3+6),"▼",IF(AND($E110&gt;=AU$3,$E110&lt;=AU$3+6),$A110,"")))</f>
        <v/>
      </c>
      <c r="AV110" s="47" t="str">
        <f aca="false">IF($A110="","",IF(AND(INDEX(工程マスタ!$I$5:$I$154,$A110)="○",$E110&gt;=AV$3,$E110&lt;=AV$3+6),"▼",IF(AND($E110&gt;=AV$3,$E110&lt;=AV$3+6),$A110,"")))</f>
        <v/>
      </c>
      <c r="AW110" s="47" t="str">
        <f aca="false">IF($A110="","",IF(AND(INDEX(工程マスタ!$I$5:$I$154,$A110)="○",$E110&gt;=AW$3,$E110&lt;=AW$3+6),"▼",IF(AND($E110&gt;=AW$3,$E110&lt;=AW$3+6),$A110,"")))</f>
        <v/>
      </c>
      <c r="AX110" s="47" t="str">
        <f aca="false">IF($A110="","",IF(AND(INDEX(工程マスタ!$I$5:$I$154,$A110)="○",$E110&gt;=AX$3,$E110&lt;=AX$3+6),"▼",IF(AND($E110&gt;=AX$3,$E110&lt;=AX$3+6),$A110,"")))</f>
        <v/>
      </c>
      <c r="AY110" s="47" t="str">
        <f aca="false">IF($A110="","",IF(AND(INDEX(工程マスタ!$I$5:$I$154,$A110)="○",$E110&gt;=AY$3,$E110&lt;=AY$3+6),"▼",IF(AND($E110&gt;=AY$3,$E110&lt;=AY$3+6),$A110,"")))</f>
        <v/>
      </c>
      <c r="AZ110" s="47" t="str">
        <f aca="false">IF($A110="","",IF(AND(INDEX(工程マスタ!$I$5:$I$154,$A110)="○",$E110&gt;=AZ$3,$E110&lt;=AZ$3+6),"▼",IF(AND($E110&gt;=AZ$3,$E110&lt;=AZ$3+6),$A110,"")))</f>
        <v/>
      </c>
      <c r="BA110" s="47" t="str">
        <f aca="false">IF($A110="","",IF(AND(INDEX(工程マスタ!$I$5:$I$154,$A110)="○",$E110&gt;=BA$3,$E110&lt;=BA$3+6),"▼",IF(AND($E110&gt;=BA$3,$E110&lt;=BA$3+6),$A110,"")))</f>
        <v/>
      </c>
      <c r="BB110" s="47" t="str">
        <f aca="false">IF($A110="","",IF(AND(INDEX(工程マスタ!$I$5:$I$154,$A110)="○",$E110&gt;=BB$3,$E110&lt;=BB$3+6),"▼",IF(AND($E110&gt;=BB$3,$E110&lt;=BB$3+6),$A110,"")))</f>
        <v/>
      </c>
      <c r="BC110" s="47" t="str">
        <f aca="false">IF($A110="","",IF(AND(INDEX(工程マスタ!$I$5:$I$154,$A110)="○",$E110&gt;=BC$3,$E110&lt;=BC$3+6),"▼",IF(AND($E110&gt;=BC$3,$E110&lt;=BC$3+6),$A110,"")))</f>
        <v/>
      </c>
      <c r="BD110" s="47" t="str">
        <f aca="false">IF($A110="","",IF(AND(INDEX(工程マスタ!$I$5:$I$154,$A110)="○",$E110&gt;=BD$3,$E110&lt;=BD$3+6),"▼",IF(AND($E110&gt;=BD$3,$E110&lt;=BD$3+6),$A110,"")))</f>
        <v/>
      </c>
      <c r="BE110" s="47" t="str">
        <f aca="false">IF($A110="","",IF(AND(INDEX(工程マスタ!$I$5:$I$154,$A110)="○",$E110&gt;=BE$3,$E110&lt;=BE$3+6),"▼",IF(AND($E110&gt;=BE$3,$E110&lt;=BE$3+6),$A110,"")))</f>
        <v/>
      </c>
      <c r="BF110" s="47" t="str">
        <f aca="false">IF($A110="","",IF(AND(INDEX(工程マスタ!$I$5:$I$154,$A110)="○",$E110&gt;=BF$3,$E110&lt;=BF$3+6),"▼",IF(AND($E110&gt;=BF$3,$E110&lt;=BF$3+6),$A110,"")))</f>
        <v/>
      </c>
      <c r="BG110" s="47" t="str">
        <f aca="false">IF($A110="","",IF(AND(INDEX(工程マスタ!$I$5:$I$154,$A110)="○",$E110&gt;=BG$3,$E110&lt;=BG$3+6),"▼",IF(AND($E110&gt;=BG$3,$E110&lt;=BG$3+6),$A110,"")))</f>
        <v/>
      </c>
      <c r="BH110" s="47" t="str">
        <f aca="false">IF($A110="","",IF(AND(INDEX(工程マスタ!$I$5:$I$154,$A110)="○",$E110&gt;=BH$3,$E110&lt;=BH$3+6),"▼",IF(AND($E110&gt;=BH$3,$E110&lt;=BH$3+6),$A110,"")))</f>
        <v/>
      </c>
      <c r="BI110" s="47" t="str">
        <f aca="false">IF($A110="","",IF(AND(INDEX(工程マスタ!$I$5:$I$154,$A110)="○",$E110&gt;=BI$3,$E110&lt;=BI$3+6),"▼",IF(AND($E110&gt;=BI$3,$E110&lt;=BI$3+6),$A110,"")))</f>
        <v/>
      </c>
      <c r="BJ110" s="47" t="str">
        <f aca="false">IF($A110="","",IF(AND(INDEX(工程マスタ!$I$5:$I$154,$A110)="○",$E110&gt;=BJ$3,$E110&lt;=BJ$3+6),"▼",IF(AND($E110&gt;=BJ$3,$E110&lt;=BJ$3+6),$A110,"")))</f>
        <v/>
      </c>
    </row>
    <row r="111" customFormat="false" ht="15" hidden="false" customHeight="false" outlineLevel="0" collapsed="false">
      <c r="A111" s="28" t="str">
        <f aca="false">IF(工程マスタ!$C109="","",工程マスタ!$A109)</f>
        <v/>
      </c>
      <c r="B111" s="46" t="str">
        <f aca="false">IF($A111="","",工程マスタ!$C109)</f>
        <v/>
      </c>
      <c r="C111" s="28" t="str">
        <f aca="false">IF($A111="","",MAX(1,工程マスタ!$G109))</f>
        <v/>
      </c>
      <c r="D111" s="28" t="str">
        <f aca="false">IF($A111="","",_xlfn.TEXTJOIN(",",TRUE(),工程マスタ!$N109:$P109))</f>
        <v/>
      </c>
      <c r="E111" s="29" t="str">
        <f aca="false">IF($A111="","",IF(COUNT(工程マスタ!$N109:$P109)=0,設定!$B$8,MAX(IF(工程マスタ!$N109="",0,INDEX($F$7:$F$156,工程マスタ!$N109)),IF(工程マスタ!$O109="",0,INDEX($F$7:$F$156,工程マスタ!$O109)),IF(工程マスタ!$P109="",0,INDEX($F$7:$F$156,工程マスタ!$P109)))+1))</f>
        <v/>
      </c>
      <c r="F111" s="29" t="str">
        <f aca="false">IF($A111="","",$E111+$C111-1)</f>
        <v/>
      </c>
      <c r="G111" s="29" t="str">
        <f aca="false">IF($A111="","",$H111-$C111+1)</f>
        <v/>
      </c>
      <c r="H111" s="29" t="str">
        <f aca="false" t="array" ref="H111:H111">IF($A111="","",IF(SUMPRODUCT((工程マスタ!$N$110:$N$154=$A111)*1)+SUMPRODUCT((工程マスタ!$O$110:$O$154=$A111)*1)+SUMPRODUCT((工程マスタ!$P$110:$P$154=$A111)*1)=0,MAX($F$7:$F$156),MIN(IF((工程マスタ!$N$110:$N$154=$A111)+(工程マスタ!$O$110:$O$154=$A111)+(工程マスタ!$P$110:$P$154=$A111),$G112:$G$156))-1))</f>
        <v/>
      </c>
      <c r="I111" s="28" t="str">
        <f aca="false">IF($A111="","",$G111-$E111)</f>
        <v/>
      </c>
      <c r="J111" s="28" t="str">
        <f aca="false">IF($A111="","",IF($I111&lt;=0,"●",""))</f>
        <v/>
      </c>
      <c r="K111" s="47" t="str">
        <f aca="false">IF($A111="","",IF(AND(INDEX(工程マスタ!$I$5:$I$154,$A111)="○",$E111&gt;=K$3,$E111&lt;=K$3+6),"▼",IF(AND($E111&gt;=K$3,$E111&lt;=K$3+6),$A111,"")))</f>
        <v/>
      </c>
      <c r="L111" s="47" t="str">
        <f aca="false">IF($A111="","",IF(AND(INDEX(工程マスタ!$I$5:$I$154,$A111)="○",$E111&gt;=L$3,$E111&lt;=L$3+6),"▼",IF(AND($E111&gt;=L$3,$E111&lt;=L$3+6),$A111,"")))</f>
        <v/>
      </c>
      <c r="M111" s="47" t="str">
        <f aca="false">IF($A111="","",IF(AND(INDEX(工程マスタ!$I$5:$I$154,$A111)="○",$E111&gt;=M$3,$E111&lt;=M$3+6),"▼",IF(AND($E111&gt;=M$3,$E111&lt;=M$3+6),$A111,"")))</f>
        <v/>
      </c>
      <c r="N111" s="47" t="str">
        <f aca="false">IF($A111="","",IF(AND(INDEX(工程マスタ!$I$5:$I$154,$A111)="○",$E111&gt;=N$3,$E111&lt;=N$3+6),"▼",IF(AND($E111&gt;=N$3,$E111&lt;=N$3+6),$A111,"")))</f>
        <v/>
      </c>
      <c r="O111" s="47" t="str">
        <f aca="false">IF($A111="","",IF(AND(INDEX(工程マスタ!$I$5:$I$154,$A111)="○",$E111&gt;=O$3,$E111&lt;=O$3+6),"▼",IF(AND($E111&gt;=O$3,$E111&lt;=O$3+6),$A111,"")))</f>
        <v/>
      </c>
      <c r="P111" s="47" t="str">
        <f aca="false">IF($A111="","",IF(AND(INDEX(工程マスタ!$I$5:$I$154,$A111)="○",$E111&gt;=P$3,$E111&lt;=P$3+6),"▼",IF(AND($E111&gt;=P$3,$E111&lt;=P$3+6),$A111,"")))</f>
        <v/>
      </c>
      <c r="Q111" s="47" t="str">
        <f aca="false">IF($A111="","",IF(AND(INDEX(工程マスタ!$I$5:$I$154,$A111)="○",$E111&gt;=Q$3,$E111&lt;=Q$3+6),"▼",IF(AND($E111&gt;=Q$3,$E111&lt;=Q$3+6),$A111,"")))</f>
        <v/>
      </c>
      <c r="R111" s="47" t="str">
        <f aca="false">IF($A111="","",IF(AND(INDEX(工程マスタ!$I$5:$I$154,$A111)="○",$E111&gt;=R$3,$E111&lt;=R$3+6),"▼",IF(AND($E111&gt;=R$3,$E111&lt;=R$3+6),$A111,"")))</f>
        <v/>
      </c>
      <c r="S111" s="47" t="str">
        <f aca="false">IF($A111="","",IF(AND(INDEX(工程マスタ!$I$5:$I$154,$A111)="○",$E111&gt;=S$3,$E111&lt;=S$3+6),"▼",IF(AND($E111&gt;=S$3,$E111&lt;=S$3+6),$A111,"")))</f>
        <v/>
      </c>
      <c r="T111" s="47" t="str">
        <f aca="false">IF($A111="","",IF(AND(INDEX(工程マスタ!$I$5:$I$154,$A111)="○",$E111&gt;=T$3,$E111&lt;=T$3+6),"▼",IF(AND($E111&gt;=T$3,$E111&lt;=T$3+6),$A111,"")))</f>
        <v/>
      </c>
      <c r="U111" s="47" t="str">
        <f aca="false">IF($A111="","",IF(AND(INDEX(工程マスタ!$I$5:$I$154,$A111)="○",$E111&gt;=U$3,$E111&lt;=U$3+6),"▼",IF(AND($E111&gt;=U$3,$E111&lt;=U$3+6),$A111,"")))</f>
        <v/>
      </c>
      <c r="V111" s="47" t="str">
        <f aca="false">IF($A111="","",IF(AND(INDEX(工程マスタ!$I$5:$I$154,$A111)="○",$E111&gt;=V$3,$E111&lt;=V$3+6),"▼",IF(AND($E111&gt;=V$3,$E111&lt;=V$3+6),$A111,"")))</f>
        <v/>
      </c>
      <c r="W111" s="47" t="str">
        <f aca="false">IF($A111="","",IF(AND(INDEX(工程マスタ!$I$5:$I$154,$A111)="○",$E111&gt;=W$3,$E111&lt;=W$3+6),"▼",IF(AND($E111&gt;=W$3,$E111&lt;=W$3+6),$A111,"")))</f>
        <v/>
      </c>
      <c r="X111" s="47" t="str">
        <f aca="false">IF($A111="","",IF(AND(INDEX(工程マスタ!$I$5:$I$154,$A111)="○",$E111&gt;=X$3,$E111&lt;=X$3+6),"▼",IF(AND($E111&gt;=X$3,$E111&lt;=X$3+6),$A111,"")))</f>
        <v/>
      </c>
      <c r="Y111" s="47" t="str">
        <f aca="false">IF($A111="","",IF(AND(INDEX(工程マスタ!$I$5:$I$154,$A111)="○",$E111&gt;=Y$3,$E111&lt;=Y$3+6),"▼",IF(AND($E111&gt;=Y$3,$E111&lt;=Y$3+6),$A111,"")))</f>
        <v/>
      </c>
      <c r="Z111" s="47" t="str">
        <f aca="false">IF($A111="","",IF(AND(INDEX(工程マスタ!$I$5:$I$154,$A111)="○",$E111&gt;=Z$3,$E111&lt;=Z$3+6),"▼",IF(AND($E111&gt;=Z$3,$E111&lt;=Z$3+6),$A111,"")))</f>
        <v/>
      </c>
      <c r="AA111" s="47" t="str">
        <f aca="false">IF($A111="","",IF(AND(INDEX(工程マスタ!$I$5:$I$154,$A111)="○",$E111&gt;=AA$3,$E111&lt;=AA$3+6),"▼",IF(AND($E111&gt;=AA$3,$E111&lt;=AA$3+6),$A111,"")))</f>
        <v/>
      </c>
      <c r="AB111" s="47" t="str">
        <f aca="false">IF($A111="","",IF(AND(INDEX(工程マスタ!$I$5:$I$154,$A111)="○",$E111&gt;=AB$3,$E111&lt;=AB$3+6),"▼",IF(AND($E111&gt;=AB$3,$E111&lt;=AB$3+6),$A111,"")))</f>
        <v/>
      </c>
      <c r="AC111" s="47" t="str">
        <f aca="false">IF($A111="","",IF(AND(INDEX(工程マスタ!$I$5:$I$154,$A111)="○",$E111&gt;=AC$3,$E111&lt;=AC$3+6),"▼",IF(AND($E111&gt;=AC$3,$E111&lt;=AC$3+6),$A111,"")))</f>
        <v/>
      </c>
      <c r="AD111" s="47" t="str">
        <f aca="false">IF($A111="","",IF(AND(INDEX(工程マスタ!$I$5:$I$154,$A111)="○",$E111&gt;=AD$3,$E111&lt;=AD$3+6),"▼",IF(AND($E111&gt;=AD$3,$E111&lt;=AD$3+6),$A111,"")))</f>
        <v/>
      </c>
      <c r="AE111" s="47" t="str">
        <f aca="false">IF($A111="","",IF(AND(INDEX(工程マスタ!$I$5:$I$154,$A111)="○",$E111&gt;=AE$3,$E111&lt;=AE$3+6),"▼",IF(AND($E111&gt;=AE$3,$E111&lt;=AE$3+6),$A111,"")))</f>
        <v/>
      </c>
      <c r="AF111" s="47" t="str">
        <f aca="false">IF($A111="","",IF(AND(INDEX(工程マスタ!$I$5:$I$154,$A111)="○",$E111&gt;=AF$3,$E111&lt;=AF$3+6),"▼",IF(AND($E111&gt;=AF$3,$E111&lt;=AF$3+6),$A111,"")))</f>
        <v/>
      </c>
      <c r="AG111" s="47" t="str">
        <f aca="false">IF($A111="","",IF(AND(INDEX(工程マスタ!$I$5:$I$154,$A111)="○",$E111&gt;=AG$3,$E111&lt;=AG$3+6),"▼",IF(AND($E111&gt;=AG$3,$E111&lt;=AG$3+6),$A111,"")))</f>
        <v/>
      </c>
      <c r="AH111" s="47" t="str">
        <f aca="false">IF($A111="","",IF(AND(INDEX(工程マスタ!$I$5:$I$154,$A111)="○",$E111&gt;=AH$3,$E111&lt;=AH$3+6),"▼",IF(AND($E111&gt;=AH$3,$E111&lt;=AH$3+6),$A111,"")))</f>
        <v/>
      </c>
      <c r="AI111" s="47" t="str">
        <f aca="false">IF($A111="","",IF(AND(INDEX(工程マスタ!$I$5:$I$154,$A111)="○",$E111&gt;=AI$3,$E111&lt;=AI$3+6),"▼",IF(AND($E111&gt;=AI$3,$E111&lt;=AI$3+6),$A111,"")))</f>
        <v/>
      </c>
      <c r="AJ111" s="47" t="str">
        <f aca="false">IF($A111="","",IF(AND(INDEX(工程マスタ!$I$5:$I$154,$A111)="○",$E111&gt;=AJ$3,$E111&lt;=AJ$3+6),"▼",IF(AND($E111&gt;=AJ$3,$E111&lt;=AJ$3+6),$A111,"")))</f>
        <v/>
      </c>
      <c r="AK111" s="47" t="str">
        <f aca="false">IF($A111="","",IF(AND(INDEX(工程マスタ!$I$5:$I$154,$A111)="○",$E111&gt;=AK$3,$E111&lt;=AK$3+6),"▼",IF(AND($E111&gt;=AK$3,$E111&lt;=AK$3+6),$A111,"")))</f>
        <v/>
      </c>
      <c r="AL111" s="47" t="str">
        <f aca="false">IF($A111="","",IF(AND(INDEX(工程マスタ!$I$5:$I$154,$A111)="○",$E111&gt;=AL$3,$E111&lt;=AL$3+6),"▼",IF(AND($E111&gt;=AL$3,$E111&lt;=AL$3+6),$A111,"")))</f>
        <v/>
      </c>
      <c r="AM111" s="47" t="str">
        <f aca="false">IF($A111="","",IF(AND(INDEX(工程マスタ!$I$5:$I$154,$A111)="○",$E111&gt;=AM$3,$E111&lt;=AM$3+6),"▼",IF(AND($E111&gt;=AM$3,$E111&lt;=AM$3+6),$A111,"")))</f>
        <v/>
      </c>
      <c r="AN111" s="47" t="str">
        <f aca="false">IF($A111="","",IF(AND(INDEX(工程マスタ!$I$5:$I$154,$A111)="○",$E111&gt;=AN$3,$E111&lt;=AN$3+6),"▼",IF(AND($E111&gt;=AN$3,$E111&lt;=AN$3+6),$A111,"")))</f>
        <v/>
      </c>
      <c r="AO111" s="47" t="str">
        <f aca="false">IF($A111="","",IF(AND(INDEX(工程マスタ!$I$5:$I$154,$A111)="○",$E111&gt;=AO$3,$E111&lt;=AO$3+6),"▼",IF(AND($E111&gt;=AO$3,$E111&lt;=AO$3+6),$A111,"")))</f>
        <v/>
      </c>
      <c r="AP111" s="47" t="str">
        <f aca="false">IF($A111="","",IF(AND(INDEX(工程マスタ!$I$5:$I$154,$A111)="○",$E111&gt;=AP$3,$E111&lt;=AP$3+6),"▼",IF(AND($E111&gt;=AP$3,$E111&lt;=AP$3+6),$A111,"")))</f>
        <v/>
      </c>
      <c r="AQ111" s="47" t="str">
        <f aca="false">IF($A111="","",IF(AND(INDEX(工程マスタ!$I$5:$I$154,$A111)="○",$E111&gt;=AQ$3,$E111&lt;=AQ$3+6),"▼",IF(AND($E111&gt;=AQ$3,$E111&lt;=AQ$3+6),$A111,"")))</f>
        <v/>
      </c>
      <c r="AR111" s="47" t="str">
        <f aca="false">IF($A111="","",IF(AND(INDEX(工程マスタ!$I$5:$I$154,$A111)="○",$E111&gt;=AR$3,$E111&lt;=AR$3+6),"▼",IF(AND($E111&gt;=AR$3,$E111&lt;=AR$3+6),$A111,"")))</f>
        <v/>
      </c>
      <c r="AS111" s="47" t="str">
        <f aca="false">IF($A111="","",IF(AND(INDEX(工程マスタ!$I$5:$I$154,$A111)="○",$E111&gt;=AS$3,$E111&lt;=AS$3+6),"▼",IF(AND($E111&gt;=AS$3,$E111&lt;=AS$3+6),$A111,"")))</f>
        <v/>
      </c>
      <c r="AT111" s="47" t="str">
        <f aca="false">IF($A111="","",IF(AND(INDEX(工程マスタ!$I$5:$I$154,$A111)="○",$E111&gt;=AT$3,$E111&lt;=AT$3+6),"▼",IF(AND($E111&gt;=AT$3,$E111&lt;=AT$3+6),$A111,"")))</f>
        <v/>
      </c>
      <c r="AU111" s="47" t="str">
        <f aca="false">IF($A111="","",IF(AND(INDEX(工程マスタ!$I$5:$I$154,$A111)="○",$E111&gt;=AU$3,$E111&lt;=AU$3+6),"▼",IF(AND($E111&gt;=AU$3,$E111&lt;=AU$3+6),$A111,"")))</f>
        <v/>
      </c>
      <c r="AV111" s="47" t="str">
        <f aca="false">IF($A111="","",IF(AND(INDEX(工程マスタ!$I$5:$I$154,$A111)="○",$E111&gt;=AV$3,$E111&lt;=AV$3+6),"▼",IF(AND($E111&gt;=AV$3,$E111&lt;=AV$3+6),$A111,"")))</f>
        <v/>
      </c>
      <c r="AW111" s="47" t="str">
        <f aca="false">IF($A111="","",IF(AND(INDEX(工程マスタ!$I$5:$I$154,$A111)="○",$E111&gt;=AW$3,$E111&lt;=AW$3+6),"▼",IF(AND($E111&gt;=AW$3,$E111&lt;=AW$3+6),$A111,"")))</f>
        <v/>
      </c>
      <c r="AX111" s="47" t="str">
        <f aca="false">IF($A111="","",IF(AND(INDEX(工程マスタ!$I$5:$I$154,$A111)="○",$E111&gt;=AX$3,$E111&lt;=AX$3+6),"▼",IF(AND($E111&gt;=AX$3,$E111&lt;=AX$3+6),$A111,"")))</f>
        <v/>
      </c>
      <c r="AY111" s="47" t="str">
        <f aca="false">IF($A111="","",IF(AND(INDEX(工程マスタ!$I$5:$I$154,$A111)="○",$E111&gt;=AY$3,$E111&lt;=AY$3+6),"▼",IF(AND($E111&gt;=AY$3,$E111&lt;=AY$3+6),$A111,"")))</f>
        <v/>
      </c>
      <c r="AZ111" s="47" t="str">
        <f aca="false">IF($A111="","",IF(AND(INDEX(工程マスタ!$I$5:$I$154,$A111)="○",$E111&gt;=AZ$3,$E111&lt;=AZ$3+6),"▼",IF(AND($E111&gt;=AZ$3,$E111&lt;=AZ$3+6),$A111,"")))</f>
        <v/>
      </c>
      <c r="BA111" s="47" t="str">
        <f aca="false">IF($A111="","",IF(AND(INDEX(工程マスタ!$I$5:$I$154,$A111)="○",$E111&gt;=BA$3,$E111&lt;=BA$3+6),"▼",IF(AND($E111&gt;=BA$3,$E111&lt;=BA$3+6),$A111,"")))</f>
        <v/>
      </c>
      <c r="BB111" s="47" t="str">
        <f aca="false">IF($A111="","",IF(AND(INDEX(工程マスタ!$I$5:$I$154,$A111)="○",$E111&gt;=BB$3,$E111&lt;=BB$3+6),"▼",IF(AND($E111&gt;=BB$3,$E111&lt;=BB$3+6),$A111,"")))</f>
        <v/>
      </c>
      <c r="BC111" s="47" t="str">
        <f aca="false">IF($A111="","",IF(AND(INDEX(工程マスタ!$I$5:$I$154,$A111)="○",$E111&gt;=BC$3,$E111&lt;=BC$3+6),"▼",IF(AND($E111&gt;=BC$3,$E111&lt;=BC$3+6),$A111,"")))</f>
        <v/>
      </c>
      <c r="BD111" s="47" t="str">
        <f aca="false">IF($A111="","",IF(AND(INDEX(工程マスタ!$I$5:$I$154,$A111)="○",$E111&gt;=BD$3,$E111&lt;=BD$3+6),"▼",IF(AND($E111&gt;=BD$3,$E111&lt;=BD$3+6),$A111,"")))</f>
        <v/>
      </c>
      <c r="BE111" s="47" t="str">
        <f aca="false">IF($A111="","",IF(AND(INDEX(工程マスタ!$I$5:$I$154,$A111)="○",$E111&gt;=BE$3,$E111&lt;=BE$3+6),"▼",IF(AND($E111&gt;=BE$3,$E111&lt;=BE$3+6),$A111,"")))</f>
        <v/>
      </c>
      <c r="BF111" s="47" t="str">
        <f aca="false">IF($A111="","",IF(AND(INDEX(工程マスタ!$I$5:$I$154,$A111)="○",$E111&gt;=BF$3,$E111&lt;=BF$3+6),"▼",IF(AND($E111&gt;=BF$3,$E111&lt;=BF$3+6),$A111,"")))</f>
        <v/>
      </c>
      <c r="BG111" s="47" t="str">
        <f aca="false">IF($A111="","",IF(AND(INDEX(工程マスタ!$I$5:$I$154,$A111)="○",$E111&gt;=BG$3,$E111&lt;=BG$3+6),"▼",IF(AND($E111&gt;=BG$3,$E111&lt;=BG$3+6),$A111,"")))</f>
        <v/>
      </c>
      <c r="BH111" s="47" t="str">
        <f aca="false">IF($A111="","",IF(AND(INDEX(工程マスタ!$I$5:$I$154,$A111)="○",$E111&gt;=BH$3,$E111&lt;=BH$3+6),"▼",IF(AND($E111&gt;=BH$3,$E111&lt;=BH$3+6),$A111,"")))</f>
        <v/>
      </c>
      <c r="BI111" s="47" t="str">
        <f aca="false">IF($A111="","",IF(AND(INDEX(工程マスタ!$I$5:$I$154,$A111)="○",$E111&gt;=BI$3,$E111&lt;=BI$3+6),"▼",IF(AND($E111&gt;=BI$3,$E111&lt;=BI$3+6),$A111,"")))</f>
        <v/>
      </c>
      <c r="BJ111" s="47" t="str">
        <f aca="false">IF($A111="","",IF(AND(INDEX(工程マスタ!$I$5:$I$154,$A111)="○",$E111&gt;=BJ$3,$E111&lt;=BJ$3+6),"▼",IF(AND($E111&gt;=BJ$3,$E111&lt;=BJ$3+6),$A111,"")))</f>
        <v/>
      </c>
    </row>
    <row r="112" customFormat="false" ht="15" hidden="false" customHeight="false" outlineLevel="0" collapsed="false">
      <c r="A112" s="28" t="str">
        <f aca="false">IF(工程マスタ!$C110="","",工程マスタ!$A110)</f>
        <v/>
      </c>
      <c r="B112" s="46" t="str">
        <f aca="false">IF($A112="","",工程マスタ!$C110)</f>
        <v/>
      </c>
      <c r="C112" s="28" t="str">
        <f aca="false">IF($A112="","",MAX(1,工程マスタ!$G110))</f>
        <v/>
      </c>
      <c r="D112" s="28" t="str">
        <f aca="false">IF($A112="","",_xlfn.TEXTJOIN(",",TRUE(),工程マスタ!$N110:$P110))</f>
        <v/>
      </c>
      <c r="E112" s="29" t="str">
        <f aca="false">IF($A112="","",IF(COUNT(工程マスタ!$N110:$P110)=0,設定!$B$8,MAX(IF(工程マスタ!$N110="",0,INDEX($F$7:$F$156,工程マスタ!$N110)),IF(工程マスタ!$O110="",0,INDEX($F$7:$F$156,工程マスタ!$O110)),IF(工程マスタ!$P110="",0,INDEX($F$7:$F$156,工程マスタ!$P110)))+1))</f>
        <v/>
      </c>
      <c r="F112" s="29" t="str">
        <f aca="false">IF($A112="","",$E112+$C112-1)</f>
        <v/>
      </c>
      <c r="G112" s="29" t="str">
        <f aca="false">IF($A112="","",$H112-$C112+1)</f>
        <v/>
      </c>
      <c r="H112" s="29" t="str">
        <f aca="false" t="array" ref="H112:H112">IF($A112="","",IF(SUMPRODUCT((工程マスタ!$N$111:$N$154=$A112)*1)+SUMPRODUCT((工程マスタ!$O$111:$O$154=$A112)*1)+SUMPRODUCT((工程マスタ!$P$111:$P$154=$A112)*1)=0,MAX($F$7:$F$156),MIN(IF((工程マスタ!$N$111:$N$154=$A112)+(工程マスタ!$O$111:$O$154=$A112)+(工程マスタ!$P$111:$P$154=$A112),$G113:$G$156))-1))</f>
        <v/>
      </c>
      <c r="I112" s="28" t="str">
        <f aca="false">IF($A112="","",$G112-$E112)</f>
        <v/>
      </c>
      <c r="J112" s="28" t="str">
        <f aca="false">IF($A112="","",IF($I112&lt;=0,"●",""))</f>
        <v/>
      </c>
      <c r="K112" s="47" t="str">
        <f aca="false">IF($A112="","",IF(AND(INDEX(工程マスタ!$I$5:$I$154,$A112)="○",$E112&gt;=K$3,$E112&lt;=K$3+6),"▼",IF(AND($E112&gt;=K$3,$E112&lt;=K$3+6),$A112,"")))</f>
        <v/>
      </c>
      <c r="L112" s="47" t="str">
        <f aca="false">IF($A112="","",IF(AND(INDEX(工程マスタ!$I$5:$I$154,$A112)="○",$E112&gt;=L$3,$E112&lt;=L$3+6),"▼",IF(AND($E112&gt;=L$3,$E112&lt;=L$3+6),$A112,"")))</f>
        <v/>
      </c>
      <c r="M112" s="47" t="str">
        <f aca="false">IF($A112="","",IF(AND(INDEX(工程マスタ!$I$5:$I$154,$A112)="○",$E112&gt;=M$3,$E112&lt;=M$3+6),"▼",IF(AND($E112&gt;=M$3,$E112&lt;=M$3+6),$A112,"")))</f>
        <v/>
      </c>
      <c r="N112" s="47" t="str">
        <f aca="false">IF($A112="","",IF(AND(INDEX(工程マスタ!$I$5:$I$154,$A112)="○",$E112&gt;=N$3,$E112&lt;=N$3+6),"▼",IF(AND($E112&gt;=N$3,$E112&lt;=N$3+6),$A112,"")))</f>
        <v/>
      </c>
      <c r="O112" s="47" t="str">
        <f aca="false">IF($A112="","",IF(AND(INDEX(工程マスタ!$I$5:$I$154,$A112)="○",$E112&gt;=O$3,$E112&lt;=O$3+6),"▼",IF(AND($E112&gt;=O$3,$E112&lt;=O$3+6),$A112,"")))</f>
        <v/>
      </c>
      <c r="P112" s="47" t="str">
        <f aca="false">IF($A112="","",IF(AND(INDEX(工程マスタ!$I$5:$I$154,$A112)="○",$E112&gt;=P$3,$E112&lt;=P$3+6),"▼",IF(AND($E112&gt;=P$3,$E112&lt;=P$3+6),$A112,"")))</f>
        <v/>
      </c>
      <c r="Q112" s="47" t="str">
        <f aca="false">IF($A112="","",IF(AND(INDEX(工程マスタ!$I$5:$I$154,$A112)="○",$E112&gt;=Q$3,$E112&lt;=Q$3+6),"▼",IF(AND($E112&gt;=Q$3,$E112&lt;=Q$3+6),$A112,"")))</f>
        <v/>
      </c>
      <c r="R112" s="47" t="str">
        <f aca="false">IF($A112="","",IF(AND(INDEX(工程マスタ!$I$5:$I$154,$A112)="○",$E112&gt;=R$3,$E112&lt;=R$3+6),"▼",IF(AND($E112&gt;=R$3,$E112&lt;=R$3+6),$A112,"")))</f>
        <v/>
      </c>
      <c r="S112" s="47" t="str">
        <f aca="false">IF($A112="","",IF(AND(INDEX(工程マスタ!$I$5:$I$154,$A112)="○",$E112&gt;=S$3,$E112&lt;=S$3+6),"▼",IF(AND($E112&gt;=S$3,$E112&lt;=S$3+6),$A112,"")))</f>
        <v/>
      </c>
      <c r="T112" s="47" t="str">
        <f aca="false">IF($A112="","",IF(AND(INDEX(工程マスタ!$I$5:$I$154,$A112)="○",$E112&gt;=T$3,$E112&lt;=T$3+6),"▼",IF(AND($E112&gt;=T$3,$E112&lt;=T$3+6),$A112,"")))</f>
        <v/>
      </c>
      <c r="U112" s="47" t="str">
        <f aca="false">IF($A112="","",IF(AND(INDEX(工程マスタ!$I$5:$I$154,$A112)="○",$E112&gt;=U$3,$E112&lt;=U$3+6),"▼",IF(AND($E112&gt;=U$3,$E112&lt;=U$3+6),$A112,"")))</f>
        <v/>
      </c>
      <c r="V112" s="47" t="str">
        <f aca="false">IF($A112="","",IF(AND(INDEX(工程マスタ!$I$5:$I$154,$A112)="○",$E112&gt;=V$3,$E112&lt;=V$3+6),"▼",IF(AND($E112&gt;=V$3,$E112&lt;=V$3+6),$A112,"")))</f>
        <v/>
      </c>
      <c r="W112" s="47" t="str">
        <f aca="false">IF($A112="","",IF(AND(INDEX(工程マスタ!$I$5:$I$154,$A112)="○",$E112&gt;=W$3,$E112&lt;=W$3+6),"▼",IF(AND($E112&gt;=W$3,$E112&lt;=W$3+6),$A112,"")))</f>
        <v/>
      </c>
      <c r="X112" s="47" t="str">
        <f aca="false">IF($A112="","",IF(AND(INDEX(工程マスタ!$I$5:$I$154,$A112)="○",$E112&gt;=X$3,$E112&lt;=X$3+6),"▼",IF(AND($E112&gt;=X$3,$E112&lt;=X$3+6),$A112,"")))</f>
        <v/>
      </c>
      <c r="Y112" s="47" t="str">
        <f aca="false">IF($A112="","",IF(AND(INDEX(工程マスタ!$I$5:$I$154,$A112)="○",$E112&gt;=Y$3,$E112&lt;=Y$3+6),"▼",IF(AND($E112&gt;=Y$3,$E112&lt;=Y$3+6),$A112,"")))</f>
        <v/>
      </c>
      <c r="Z112" s="47" t="str">
        <f aca="false">IF($A112="","",IF(AND(INDEX(工程マスタ!$I$5:$I$154,$A112)="○",$E112&gt;=Z$3,$E112&lt;=Z$3+6),"▼",IF(AND($E112&gt;=Z$3,$E112&lt;=Z$3+6),$A112,"")))</f>
        <v/>
      </c>
      <c r="AA112" s="47" t="str">
        <f aca="false">IF($A112="","",IF(AND(INDEX(工程マスタ!$I$5:$I$154,$A112)="○",$E112&gt;=AA$3,$E112&lt;=AA$3+6),"▼",IF(AND($E112&gt;=AA$3,$E112&lt;=AA$3+6),$A112,"")))</f>
        <v/>
      </c>
      <c r="AB112" s="47" t="str">
        <f aca="false">IF($A112="","",IF(AND(INDEX(工程マスタ!$I$5:$I$154,$A112)="○",$E112&gt;=AB$3,$E112&lt;=AB$3+6),"▼",IF(AND($E112&gt;=AB$3,$E112&lt;=AB$3+6),$A112,"")))</f>
        <v/>
      </c>
      <c r="AC112" s="47" t="str">
        <f aca="false">IF($A112="","",IF(AND(INDEX(工程マスタ!$I$5:$I$154,$A112)="○",$E112&gt;=AC$3,$E112&lt;=AC$3+6),"▼",IF(AND($E112&gt;=AC$3,$E112&lt;=AC$3+6),$A112,"")))</f>
        <v/>
      </c>
      <c r="AD112" s="47" t="str">
        <f aca="false">IF($A112="","",IF(AND(INDEX(工程マスタ!$I$5:$I$154,$A112)="○",$E112&gt;=AD$3,$E112&lt;=AD$3+6),"▼",IF(AND($E112&gt;=AD$3,$E112&lt;=AD$3+6),$A112,"")))</f>
        <v/>
      </c>
      <c r="AE112" s="47" t="str">
        <f aca="false">IF($A112="","",IF(AND(INDEX(工程マスタ!$I$5:$I$154,$A112)="○",$E112&gt;=AE$3,$E112&lt;=AE$3+6),"▼",IF(AND($E112&gt;=AE$3,$E112&lt;=AE$3+6),$A112,"")))</f>
        <v/>
      </c>
      <c r="AF112" s="47" t="str">
        <f aca="false">IF($A112="","",IF(AND(INDEX(工程マスタ!$I$5:$I$154,$A112)="○",$E112&gt;=AF$3,$E112&lt;=AF$3+6),"▼",IF(AND($E112&gt;=AF$3,$E112&lt;=AF$3+6),$A112,"")))</f>
        <v/>
      </c>
      <c r="AG112" s="47" t="str">
        <f aca="false">IF($A112="","",IF(AND(INDEX(工程マスタ!$I$5:$I$154,$A112)="○",$E112&gt;=AG$3,$E112&lt;=AG$3+6),"▼",IF(AND($E112&gt;=AG$3,$E112&lt;=AG$3+6),$A112,"")))</f>
        <v/>
      </c>
      <c r="AH112" s="47" t="str">
        <f aca="false">IF($A112="","",IF(AND(INDEX(工程マスタ!$I$5:$I$154,$A112)="○",$E112&gt;=AH$3,$E112&lt;=AH$3+6),"▼",IF(AND($E112&gt;=AH$3,$E112&lt;=AH$3+6),$A112,"")))</f>
        <v/>
      </c>
      <c r="AI112" s="47" t="str">
        <f aca="false">IF($A112="","",IF(AND(INDEX(工程マスタ!$I$5:$I$154,$A112)="○",$E112&gt;=AI$3,$E112&lt;=AI$3+6),"▼",IF(AND($E112&gt;=AI$3,$E112&lt;=AI$3+6),$A112,"")))</f>
        <v/>
      </c>
      <c r="AJ112" s="47" t="str">
        <f aca="false">IF($A112="","",IF(AND(INDEX(工程マスタ!$I$5:$I$154,$A112)="○",$E112&gt;=AJ$3,$E112&lt;=AJ$3+6),"▼",IF(AND($E112&gt;=AJ$3,$E112&lt;=AJ$3+6),$A112,"")))</f>
        <v/>
      </c>
      <c r="AK112" s="47" t="str">
        <f aca="false">IF($A112="","",IF(AND(INDEX(工程マスタ!$I$5:$I$154,$A112)="○",$E112&gt;=AK$3,$E112&lt;=AK$3+6),"▼",IF(AND($E112&gt;=AK$3,$E112&lt;=AK$3+6),$A112,"")))</f>
        <v/>
      </c>
      <c r="AL112" s="47" t="str">
        <f aca="false">IF($A112="","",IF(AND(INDEX(工程マスタ!$I$5:$I$154,$A112)="○",$E112&gt;=AL$3,$E112&lt;=AL$3+6),"▼",IF(AND($E112&gt;=AL$3,$E112&lt;=AL$3+6),$A112,"")))</f>
        <v/>
      </c>
      <c r="AM112" s="47" t="str">
        <f aca="false">IF($A112="","",IF(AND(INDEX(工程マスタ!$I$5:$I$154,$A112)="○",$E112&gt;=AM$3,$E112&lt;=AM$3+6),"▼",IF(AND($E112&gt;=AM$3,$E112&lt;=AM$3+6),$A112,"")))</f>
        <v/>
      </c>
      <c r="AN112" s="47" t="str">
        <f aca="false">IF($A112="","",IF(AND(INDEX(工程マスタ!$I$5:$I$154,$A112)="○",$E112&gt;=AN$3,$E112&lt;=AN$3+6),"▼",IF(AND($E112&gt;=AN$3,$E112&lt;=AN$3+6),$A112,"")))</f>
        <v/>
      </c>
      <c r="AO112" s="47" t="str">
        <f aca="false">IF($A112="","",IF(AND(INDEX(工程マスタ!$I$5:$I$154,$A112)="○",$E112&gt;=AO$3,$E112&lt;=AO$3+6),"▼",IF(AND($E112&gt;=AO$3,$E112&lt;=AO$3+6),$A112,"")))</f>
        <v/>
      </c>
      <c r="AP112" s="47" t="str">
        <f aca="false">IF($A112="","",IF(AND(INDEX(工程マスタ!$I$5:$I$154,$A112)="○",$E112&gt;=AP$3,$E112&lt;=AP$3+6),"▼",IF(AND($E112&gt;=AP$3,$E112&lt;=AP$3+6),$A112,"")))</f>
        <v/>
      </c>
      <c r="AQ112" s="47" t="str">
        <f aca="false">IF($A112="","",IF(AND(INDEX(工程マスタ!$I$5:$I$154,$A112)="○",$E112&gt;=AQ$3,$E112&lt;=AQ$3+6),"▼",IF(AND($E112&gt;=AQ$3,$E112&lt;=AQ$3+6),$A112,"")))</f>
        <v/>
      </c>
      <c r="AR112" s="47" t="str">
        <f aca="false">IF($A112="","",IF(AND(INDEX(工程マスタ!$I$5:$I$154,$A112)="○",$E112&gt;=AR$3,$E112&lt;=AR$3+6),"▼",IF(AND($E112&gt;=AR$3,$E112&lt;=AR$3+6),$A112,"")))</f>
        <v/>
      </c>
      <c r="AS112" s="47" t="str">
        <f aca="false">IF($A112="","",IF(AND(INDEX(工程マスタ!$I$5:$I$154,$A112)="○",$E112&gt;=AS$3,$E112&lt;=AS$3+6),"▼",IF(AND($E112&gt;=AS$3,$E112&lt;=AS$3+6),$A112,"")))</f>
        <v/>
      </c>
      <c r="AT112" s="47" t="str">
        <f aca="false">IF($A112="","",IF(AND(INDEX(工程マスタ!$I$5:$I$154,$A112)="○",$E112&gt;=AT$3,$E112&lt;=AT$3+6),"▼",IF(AND($E112&gt;=AT$3,$E112&lt;=AT$3+6),$A112,"")))</f>
        <v/>
      </c>
      <c r="AU112" s="47" t="str">
        <f aca="false">IF($A112="","",IF(AND(INDEX(工程マスタ!$I$5:$I$154,$A112)="○",$E112&gt;=AU$3,$E112&lt;=AU$3+6),"▼",IF(AND($E112&gt;=AU$3,$E112&lt;=AU$3+6),$A112,"")))</f>
        <v/>
      </c>
      <c r="AV112" s="47" t="str">
        <f aca="false">IF($A112="","",IF(AND(INDEX(工程マスタ!$I$5:$I$154,$A112)="○",$E112&gt;=AV$3,$E112&lt;=AV$3+6),"▼",IF(AND($E112&gt;=AV$3,$E112&lt;=AV$3+6),$A112,"")))</f>
        <v/>
      </c>
      <c r="AW112" s="47" t="str">
        <f aca="false">IF($A112="","",IF(AND(INDEX(工程マスタ!$I$5:$I$154,$A112)="○",$E112&gt;=AW$3,$E112&lt;=AW$3+6),"▼",IF(AND($E112&gt;=AW$3,$E112&lt;=AW$3+6),$A112,"")))</f>
        <v/>
      </c>
      <c r="AX112" s="47" t="str">
        <f aca="false">IF($A112="","",IF(AND(INDEX(工程マスタ!$I$5:$I$154,$A112)="○",$E112&gt;=AX$3,$E112&lt;=AX$3+6),"▼",IF(AND($E112&gt;=AX$3,$E112&lt;=AX$3+6),$A112,"")))</f>
        <v/>
      </c>
      <c r="AY112" s="47" t="str">
        <f aca="false">IF($A112="","",IF(AND(INDEX(工程マスタ!$I$5:$I$154,$A112)="○",$E112&gt;=AY$3,$E112&lt;=AY$3+6),"▼",IF(AND($E112&gt;=AY$3,$E112&lt;=AY$3+6),$A112,"")))</f>
        <v/>
      </c>
      <c r="AZ112" s="47" t="str">
        <f aca="false">IF($A112="","",IF(AND(INDEX(工程マスタ!$I$5:$I$154,$A112)="○",$E112&gt;=AZ$3,$E112&lt;=AZ$3+6),"▼",IF(AND($E112&gt;=AZ$3,$E112&lt;=AZ$3+6),$A112,"")))</f>
        <v/>
      </c>
      <c r="BA112" s="47" t="str">
        <f aca="false">IF($A112="","",IF(AND(INDEX(工程マスタ!$I$5:$I$154,$A112)="○",$E112&gt;=BA$3,$E112&lt;=BA$3+6),"▼",IF(AND($E112&gt;=BA$3,$E112&lt;=BA$3+6),$A112,"")))</f>
        <v/>
      </c>
      <c r="BB112" s="47" t="str">
        <f aca="false">IF($A112="","",IF(AND(INDEX(工程マスタ!$I$5:$I$154,$A112)="○",$E112&gt;=BB$3,$E112&lt;=BB$3+6),"▼",IF(AND($E112&gt;=BB$3,$E112&lt;=BB$3+6),$A112,"")))</f>
        <v/>
      </c>
      <c r="BC112" s="47" t="str">
        <f aca="false">IF($A112="","",IF(AND(INDEX(工程マスタ!$I$5:$I$154,$A112)="○",$E112&gt;=BC$3,$E112&lt;=BC$3+6),"▼",IF(AND($E112&gt;=BC$3,$E112&lt;=BC$3+6),$A112,"")))</f>
        <v/>
      </c>
      <c r="BD112" s="47" t="str">
        <f aca="false">IF($A112="","",IF(AND(INDEX(工程マスタ!$I$5:$I$154,$A112)="○",$E112&gt;=BD$3,$E112&lt;=BD$3+6),"▼",IF(AND($E112&gt;=BD$3,$E112&lt;=BD$3+6),$A112,"")))</f>
        <v/>
      </c>
      <c r="BE112" s="47" t="str">
        <f aca="false">IF($A112="","",IF(AND(INDEX(工程マスタ!$I$5:$I$154,$A112)="○",$E112&gt;=BE$3,$E112&lt;=BE$3+6),"▼",IF(AND($E112&gt;=BE$3,$E112&lt;=BE$3+6),$A112,"")))</f>
        <v/>
      </c>
      <c r="BF112" s="47" t="str">
        <f aca="false">IF($A112="","",IF(AND(INDEX(工程マスタ!$I$5:$I$154,$A112)="○",$E112&gt;=BF$3,$E112&lt;=BF$3+6),"▼",IF(AND($E112&gt;=BF$3,$E112&lt;=BF$3+6),$A112,"")))</f>
        <v/>
      </c>
      <c r="BG112" s="47" t="str">
        <f aca="false">IF($A112="","",IF(AND(INDEX(工程マスタ!$I$5:$I$154,$A112)="○",$E112&gt;=BG$3,$E112&lt;=BG$3+6),"▼",IF(AND($E112&gt;=BG$3,$E112&lt;=BG$3+6),$A112,"")))</f>
        <v/>
      </c>
      <c r="BH112" s="47" t="str">
        <f aca="false">IF($A112="","",IF(AND(INDEX(工程マスタ!$I$5:$I$154,$A112)="○",$E112&gt;=BH$3,$E112&lt;=BH$3+6),"▼",IF(AND($E112&gt;=BH$3,$E112&lt;=BH$3+6),$A112,"")))</f>
        <v/>
      </c>
      <c r="BI112" s="47" t="str">
        <f aca="false">IF($A112="","",IF(AND(INDEX(工程マスタ!$I$5:$I$154,$A112)="○",$E112&gt;=BI$3,$E112&lt;=BI$3+6),"▼",IF(AND($E112&gt;=BI$3,$E112&lt;=BI$3+6),$A112,"")))</f>
        <v/>
      </c>
      <c r="BJ112" s="47" t="str">
        <f aca="false">IF($A112="","",IF(AND(INDEX(工程マスタ!$I$5:$I$154,$A112)="○",$E112&gt;=BJ$3,$E112&lt;=BJ$3+6),"▼",IF(AND($E112&gt;=BJ$3,$E112&lt;=BJ$3+6),$A112,"")))</f>
        <v/>
      </c>
    </row>
    <row r="113" customFormat="false" ht="15" hidden="false" customHeight="false" outlineLevel="0" collapsed="false">
      <c r="A113" s="28" t="str">
        <f aca="false">IF(工程マスタ!$C111="","",工程マスタ!$A111)</f>
        <v/>
      </c>
      <c r="B113" s="46" t="str">
        <f aca="false">IF($A113="","",工程マスタ!$C111)</f>
        <v/>
      </c>
      <c r="C113" s="28" t="str">
        <f aca="false">IF($A113="","",MAX(1,工程マスタ!$G111))</f>
        <v/>
      </c>
      <c r="D113" s="28" t="str">
        <f aca="false">IF($A113="","",_xlfn.TEXTJOIN(",",TRUE(),工程マスタ!$N111:$P111))</f>
        <v/>
      </c>
      <c r="E113" s="29" t="str">
        <f aca="false">IF($A113="","",IF(COUNT(工程マスタ!$N111:$P111)=0,設定!$B$8,MAX(IF(工程マスタ!$N111="",0,INDEX($F$7:$F$156,工程マスタ!$N111)),IF(工程マスタ!$O111="",0,INDEX($F$7:$F$156,工程マスタ!$O111)),IF(工程マスタ!$P111="",0,INDEX($F$7:$F$156,工程マスタ!$P111)))+1))</f>
        <v/>
      </c>
      <c r="F113" s="29" t="str">
        <f aca="false">IF($A113="","",$E113+$C113-1)</f>
        <v/>
      </c>
      <c r="G113" s="29" t="str">
        <f aca="false">IF($A113="","",$H113-$C113+1)</f>
        <v/>
      </c>
      <c r="H113" s="29" t="str">
        <f aca="false" t="array" ref="H113:H113">IF($A113="","",IF(SUMPRODUCT((工程マスタ!$N$112:$N$154=$A113)*1)+SUMPRODUCT((工程マスタ!$O$112:$O$154=$A113)*1)+SUMPRODUCT((工程マスタ!$P$112:$P$154=$A113)*1)=0,MAX($F$7:$F$156),MIN(IF((工程マスタ!$N$112:$N$154=$A113)+(工程マスタ!$O$112:$O$154=$A113)+(工程マスタ!$P$112:$P$154=$A113),$G114:$G$156))-1))</f>
        <v/>
      </c>
      <c r="I113" s="28" t="str">
        <f aca="false">IF($A113="","",$G113-$E113)</f>
        <v/>
      </c>
      <c r="J113" s="28" t="str">
        <f aca="false">IF($A113="","",IF($I113&lt;=0,"●",""))</f>
        <v/>
      </c>
      <c r="K113" s="47" t="str">
        <f aca="false">IF($A113="","",IF(AND(INDEX(工程マスタ!$I$5:$I$154,$A113)="○",$E113&gt;=K$3,$E113&lt;=K$3+6),"▼",IF(AND($E113&gt;=K$3,$E113&lt;=K$3+6),$A113,"")))</f>
        <v/>
      </c>
      <c r="L113" s="47" t="str">
        <f aca="false">IF($A113="","",IF(AND(INDEX(工程マスタ!$I$5:$I$154,$A113)="○",$E113&gt;=L$3,$E113&lt;=L$3+6),"▼",IF(AND($E113&gt;=L$3,$E113&lt;=L$3+6),$A113,"")))</f>
        <v/>
      </c>
      <c r="M113" s="47" t="str">
        <f aca="false">IF($A113="","",IF(AND(INDEX(工程マスタ!$I$5:$I$154,$A113)="○",$E113&gt;=M$3,$E113&lt;=M$3+6),"▼",IF(AND($E113&gt;=M$3,$E113&lt;=M$3+6),$A113,"")))</f>
        <v/>
      </c>
      <c r="N113" s="47" t="str">
        <f aca="false">IF($A113="","",IF(AND(INDEX(工程マスタ!$I$5:$I$154,$A113)="○",$E113&gt;=N$3,$E113&lt;=N$3+6),"▼",IF(AND($E113&gt;=N$3,$E113&lt;=N$3+6),$A113,"")))</f>
        <v/>
      </c>
      <c r="O113" s="47" t="str">
        <f aca="false">IF($A113="","",IF(AND(INDEX(工程マスタ!$I$5:$I$154,$A113)="○",$E113&gt;=O$3,$E113&lt;=O$3+6),"▼",IF(AND($E113&gt;=O$3,$E113&lt;=O$3+6),$A113,"")))</f>
        <v/>
      </c>
      <c r="P113" s="47" t="str">
        <f aca="false">IF($A113="","",IF(AND(INDEX(工程マスタ!$I$5:$I$154,$A113)="○",$E113&gt;=P$3,$E113&lt;=P$3+6),"▼",IF(AND($E113&gt;=P$3,$E113&lt;=P$3+6),$A113,"")))</f>
        <v/>
      </c>
      <c r="Q113" s="47" t="str">
        <f aca="false">IF($A113="","",IF(AND(INDEX(工程マスタ!$I$5:$I$154,$A113)="○",$E113&gt;=Q$3,$E113&lt;=Q$3+6),"▼",IF(AND($E113&gt;=Q$3,$E113&lt;=Q$3+6),$A113,"")))</f>
        <v/>
      </c>
      <c r="R113" s="47" t="str">
        <f aca="false">IF($A113="","",IF(AND(INDEX(工程マスタ!$I$5:$I$154,$A113)="○",$E113&gt;=R$3,$E113&lt;=R$3+6),"▼",IF(AND($E113&gt;=R$3,$E113&lt;=R$3+6),$A113,"")))</f>
        <v/>
      </c>
      <c r="S113" s="47" t="str">
        <f aca="false">IF($A113="","",IF(AND(INDEX(工程マスタ!$I$5:$I$154,$A113)="○",$E113&gt;=S$3,$E113&lt;=S$3+6),"▼",IF(AND($E113&gt;=S$3,$E113&lt;=S$3+6),$A113,"")))</f>
        <v/>
      </c>
      <c r="T113" s="47" t="str">
        <f aca="false">IF($A113="","",IF(AND(INDEX(工程マスタ!$I$5:$I$154,$A113)="○",$E113&gt;=T$3,$E113&lt;=T$3+6),"▼",IF(AND($E113&gt;=T$3,$E113&lt;=T$3+6),$A113,"")))</f>
        <v/>
      </c>
      <c r="U113" s="47" t="str">
        <f aca="false">IF($A113="","",IF(AND(INDEX(工程マスタ!$I$5:$I$154,$A113)="○",$E113&gt;=U$3,$E113&lt;=U$3+6),"▼",IF(AND($E113&gt;=U$3,$E113&lt;=U$3+6),$A113,"")))</f>
        <v/>
      </c>
      <c r="V113" s="47" t="str">
        <f aca="false">IF($A113="","",IF(AND(INDEX(工程マスタ!$I$5:$I$154,$A113)="○",$E113&gt;=V$3,$E113&lt;=V$3+6),"▼",IF(AND($E113&gt;=V$3,$E113&lt;=V$3+6),$A113,"")))</f>
        <v/>
      </c>
      <c r="W113" s="47" t="str">
        <f aca="false">IF($A113="","",IF(AND(INDEX(工程マスタ!$I$5:$I$154,$A113)="○",$E113&gt;=W$3,$E113&lt;=W$3+6),"▼",IF(AND($E113&gt;=W$3,$E113&lt;=W$3+6),$A113,"")))</f>
        <v/>
      </c>
      <c r="X113" s="47" t="str">
        <f aca="false">IF($A113="","",IF(AND(INDEX(工程マスタ!$I$5:$I$154,$A113)="○",$E113&gt;=X$3,$E113&lt;=X$3+6),"▼",IF(AND($E113&gt;=X$3,$E113&lt;=X$3+6),$A113,"")))</f>
        <v/>
      </c>
      <c r="Y113" s="47" t="str">
        <f aca="false">IF($A113="","",IF(AND(INDEX(工程マスタ!$I$5:$I$154,$A113)="○",$E113&gt;=Y$3,$E113&lt;=Y$3+6),"▼",IF(AND($E113&gt;=Y$3,$E113&lt;=Y$3+6),$A113,"")))</f>
        <v/>
      </c>
      <c r="Z113" s="47" t="str">
        <f aca="false">IF($A113="","",IF(AND(INDEX(工程マスタ!$I$5:$I$154,$A113)="○",$E113&gt;=Z$3,$E113&lt;=Z$3+6),"▼",IF(AND($E113&gt;=Z$3,$E113&lt;=Z$3+6),$A113,"")))</f>
        <v/>
      </c>
      <c r="AA113" s="47" t="str">
        <f aca="false">IF($A113="","",IF(AND(INDEX(工程マスタ!$I$5:$I$154,$A113)="○",$E113&gt;=AA$3,$E113&lt;=AA$3+6),"▼",IF(AND($E113&gt;=AA$3,$E113&lt;=AA$3+6),$A113,"")))</f>
        <v/>
      </c>
      <c r="AB113" s="47" t="str">
        <f aca="false">IF($A113="","",IF(AND(INDEX(工程マスタ!$I$5:$I$154,$A113)="○",$E113&gt;=AB$3,$E113&lt;=AB$3+6),"▼",IF(AND($E113&gt;=AB$3,$E113&lt;=AB$3+6),$A113,"")))</f>
        <v/>
      </c>
      <c r="AC113" s="47" t="str">
        <f aca="false">IF($A113="","",IF(AND(INDEX(工程マスタ!$I$5:$I$154,$A113)="○",$E113&gt;=AC$3,$E113&lt;=AC$3+6),"▼",IF(AND($E113&gt;=AC$3,$E113&lt;=AC$3+6),$A113,"")))</f>
        <v/>
      </c>
      <c r="AD113" s="47" t="str">
        <f aca="false">IF($A113="","",IF(AND(INDEX(工程マスタ!$I$5:$I$154,$A113)="○",$E113&gt;=AD$3,$E113&lt;=AD$3+6),"▼",IF(AND($E113&gt;=AD$3,$E113&lt;=AD$3+6),$A113,"")))</f>
        <v/>
      </c>
      <c r="AE113" s="47" t="str">
        <f aca="false">IF($A113="","",IF(AND(INDEX(工程マスタ!$I$5:$I$154,$A113)="○",$E113&gt;=AE$3,$E113&lt;=AE$3+6),"▼",IF(AND($E113&gt;=AE$3,$E113&lt;=AE$3+6),$A113,"")))</f>
        <v/>
      </c>
      <c r="AF113" s="47" t="str">
        <f aca="false">IF($A113="","",IF(AND(INDEX(工程マスタ!$I$5:$I$154,$A113)="○",$E113&gt;=AF$3,$E113&lt;=AF$3+6),"▼",IF(AND($E113&gt;=AF$3,$E113&lt;=AF$3+6),$A113,"")))</f>
        <v/>
      </c>
      <c r="AG113" s="47" t="str">
        <f aca="false">IF($A113="","",IF(AND(INDEX(工程マスタ!$I$5:$I$154,$A113)="○",$E113&gt;=AG$3,$E113&lt;=AG$3+6),"▼",IF(AND($E113&gt;=AG$3,$E113&lt;=AG$3+6),$A113,"")))</f>
        <v/>
      </c>
      <c r="AH113" s="47" t="str">
        <f aca="false">IF($A113="","",IF(AND(INDEX(工程マスタ!$I$5:$I$154,$A113)="○",$E113&gt;=AH$3,$E113&lt;=AH$3+6),"▼",IF(AND($E113&gt;=AH$3,$E113&lt;=AH$3+6),$A113,"")))</f>
        <v/>
      </c>
      <c r="AI113" s="47" t="str">
        <f aca="false">IF($A113="","",IF(AND(INDEX(工程マスタ!$I$5:$I$154,$A113)="○",$E113&gt;=AI$3,$E113&lt;=AI$3+6),"▼",IF(AND($E113&gt;=AI$3,$E113&lt;=AI$3+6),$A113,"")))</f>
        <v/>
      </c>
      <c r="AJ113" s="47" t="str">
        <f aca="false">IF($A113="","",IF(AND(INDEX(工程マスタ!$I$5:$I$154,$A113)="○",$E113&gt;=AJ$3,$E113&lt;=AJ$3+6),"▼",IF(AND($E113&gt;=AJ$3,$E113&lt;=AJ$3+6),$A113,"")))</f>
        <v/>
      </c>
      <c r="AK113" s="47" t="str">
        <f aca="false">IF($A113="","",IF(AND(INDEX(工程マスタ!$I$5:$I$154,$A113)="○",$E113&gt;=AK$3,$E113&lt;=AK$3+6),"▼",IF(AND($E113&gt;=AK$3,$E113&lt;=AK$3+6),$A113,"")))</f>
        <v/>
      </c>
      <c r="AL113" s="47" t="str">
        <f aca="false">IF($A113="","",IF(AND(INDEX(工程マスタ!$I$5:$I$154,$A113)="○",$E113&gt;=AL$3,$E113&lt;=AL$3+6),"▼",IF(AND($E113&gt;=AL$3,$E113&lt;=AL$3+6),$A113,"")))</f>
        <v/>
      </c>
      <c r="AM113" s="47" t="str">
        <f aca="false">IF($A113="","",IF(AND(INDEX(工程マスタ!$I$5:$I$154,$A113)="○",$E113&gt;=AM$3,$E113&lt;=AM$3+6),"▼",IF(AND($E113&gt;=AM$3,$E113&lt;=AM$3+6),$A113,"")))</f>
        <v/>
      </c>
      <c r="AN113" s="47" t="str">
        <f aca="false">IF($A113="","",IF(AND(INDEX(工程マスタ!$I$5:$I$154,$A113)="○",$E113&gt;=AN$3,$E113&lt;=AN$3+6),"▼",IF(AND($E113&gt;=AN$3,$E113&lt;=AN$3+6),$A113,"")))</f>
        <v/>
      </c>
      <c r="AO113" s="47" t="str">
        <f aca="false">IF($A113="","",IF(AND(INDEX(工程マスタ!$I$5:$I$154,$A113)="○",$E113&gt;=AO$3,$E113&lt;=AO$3+6),"▼",IF(AND($E113&gt;=AO$3,$E113&lt;=AO$3+6),$A113,"")))</f>
        <v/>
      </c>
      <c r="AP113" s="47" t="str">
        <f aca="false">IF($A113="","",IF(AND(INDEX(工程マスタ!$I$5:$I$154,$A113)="○",$E113&gt;=AP$3,$E113&lt;=AP$3+6),"▼",IF(AND($E113&gt;=AP$3,$E113&lt;=AP$3+6),$A113,"")))</f>
        <v/>
      </c>
      <c r="AQ113" s="47" t="str">
        <f aca="false">IF($A113="","",IF(AND(INDEX(工程マスタ!$I$5:$I$154,$A113)="○",$E113&gt;=AQ$3,$E113&lt;=AQ$3+6),"▼",IF(AND($E113&gt;=AQ$3,$E113&lt;=AQ$3+6),$A113,"")))</f>
        <v/>
      </c>
      <c r="AR113" s="47" t="str">
        <f aca="false">IF($A113="","",IF(AND(INDEX(工程マスタ!$I$5:$I$154,$A113)="○",$E113&gt;=AR$3,$E113&lt;=AR$3+6),"▼",IF(AND($E113&gt;=AR$3,$E113&lt;=AR$3+6),$A113,"")))</f>
        <v/>
      </c>
      <c r="AS113" s="47" t="str">
        <f aca="false">IF($A113="","",IF(AND(INDEX(工程マスタ!$I$5:$I$154,$A113)="○",$E113&gt;=AS$3,$E113&lt;=AS$3+6),"▼",IF(AND($E113&gt;=AS$3,$E113&lt;=AS$3+6),$A113,"")))</f>
        <v/>
      </c>
      <c r="AT113" s="47" t="str">
        <f aca="false">IF($A113="","",IF(AND(INDEX(工程マスタ!$I$5:$I$154,$A113)="○",$E113&gt;=AT$3,$E113&lt;=AT$3+6),"▼",IF(AND($E113&gt;=AT$3,$E113&lt;=AT$3+6),$A113,"")))</f>
        <v/>
      </c>
      <c r="AU113" s="47" t="str">
        <f aca="false">IF($A113="","",IF(AND(INDEX(工程マスタ!$I$5:$I$154,$A113)="○",$E113&gt;=AU$3,$E113&lt;=AU$3+6),"▼",IF(AND($E113&gt;=AU$3,$E113&lt;=AU$3+6),$A113,"")))</f>
        <v/>
      </c>
      <c r="AV113" s="47" t="str">
        <f aca="false">IF($A113="","",IF(AND(INDEX(工程マスタ!$I$5:$I$154,$A113)="○",$E113&gt;=AV$3,$E113&lt;=AV$3+6),"▼",IF(AND($E113&gt;=AV$3,$E113&lt;=AV$3+6),$A113,"")))</f>
        <v/>
      </c>
      <c r="AW113" s="47" t="str">
        <f aca="false">IF($A113="","",IF(AND(INDEX(工程マスタ!$I$5:$I$154,$A113)="○",$E113&gt;=AW$3,$E113&lt;=AW$3+6),"▼",IF(AND($E113&gt;=AW$3,$E113&lt;=AW$3+6),$A113,"")))</f>
        <v/>
      </c>
      <c r="AX113" s="47" t="str">
        <f aca="false">IF($A113="","",IF(AND(INDEX(工程マスタ!$I$5:$I$154,$A113)="○",$E113&gt;=AX$3,$E113&lt;=AX$3+6),"▼",IF(AND($E113&gt;=AX$3,$E113&lt;=AX$3+6),$A113,"")))</f>
        <v/>
      </c>
      <c r="AY113" s="47" t="str">
        <f aca="false">IF($A113="","",IF(AND(INDEX(工程マスタ!$I$5:$I$154,$A113)="○",$E113&gt;=AY$3,$E113&lt;=AY$3+6),"▼",IF(AND($E113&gt;=AY$3,$E113&lt;=AY$3+6),$A113,"")))</f>
        <v/>
      </c>
      <c r="AZ113" s="47" t="str">
        <f aca="false">IF($A113="","",IF(AND(INDEX(工程マスタ!$I$5:$I$154,$A113)="○",$E113&gt;=AZ$3,$E113&lt;=AZ$3+6),"▼",IF(AND($E113&gt;=AZ$3,$E113&lt;=AZ$3+6),$A113,"")))</f>
        <v/>
      </c>
      <c r="BA113" s="47" t="str">
        <f aca="false">IF($A113="","",IF(AND(INDEX(工程マスタ!$I$5:$I$154,$A113)="○",$E113&gt;=BA$3,$E113&lt;=BA$3+6),"▼",IF(AND($E113&gt;=BA$3,$E113&lt;=BA$3+6),$A113,"")))</f>
        <v/>
      </c>
      <c r="BB113" s="47" t="str">
        <f aca="false">IF($A113="","",IF(AND(INDEX(工程マスタ!$I$5:$I$154,$A113)="○",$E113&gt;=BB$3,$E113&lt;=BB$3+6),"▼",IF(AND($E113&gt;=BB$3,$E113&lt;=BB$3+6),$A113,"")))</f>
        <v/>
      </c>
      <c r="BC113" s="47" t="str">
        <f aca="false">IF($A113="","",IF(AND(INDEX(工程マスタ!$I$5:$I$154,$A113)="○",$E113&gt;=BC$3,$E113&lt;=BC$3+6),"▼",IF(AND($E113&gt;=BC$3,$E113&lt;=BC$3+6),$A113,"")))</f>
        <v/>
      </c>
      <c r="BD113" s="47" t="str">
        <f aca="false">IF($A113="","",IF(AND(INDEX(工程マスタ!$I$5:$I$154,$A113)="○",$E113&gt;=BD$3,$E113&lt;=BD$3+6),"▼",IF(AND($E113&gt;=BD$3,$E113&lt;=BD$3+6),$A113,"")))</f>
        <v/>
      </c>
      <c r="BE113" s="47" t="str">
        <f aca="false">IF($A113="","",IF(AND(INDEX(工程マスタ!$I$5:$I$154,$A113)="○",$E113&gt;=BE$3,$E113&lt;=BE$3+6),"▼",IF(AND($E113&gt;=BE$3,$E113&lt;=BE$3+6),$A113,"")))</f>
        <v/>
      </c>
      <c r="BF113" s="47" t="str">
        <f aca="false">IF($A113="","",IF(AND(INDEX(工程マスタ!$I$5:$I$154,$A113)="○",$E113&gt;=BF$3,$E113&lt;=BF$3+6),"▼",IF(AND($E113&gt;=BF$3,$E113&lt;=BF$3+6),$A113,"")))</f>
        <v/>
      </c>
      <c r="BG113" s="47" t="str">
        <f aca="false">IF($A113="","",IF(AND(INDEX(工程マスタ!$I$5:$I$154,$A113)="○",$E113&gt;=BG$3,$E113&lt;=BG$3+6),"▼",IF(AND($E113&gt;=BG$3,$E113&lt;=BG$3+6),$A113,"")))</f>
        <v/>
      </c>
      <c r="BH113" s="47" t="str">
        <f aca="false">IF($A113="","",IF(AND(INDEX(工程マスタ!$I$5:$I$154,$A113)="○",$E113&gt;=BH$3,$E113&lt;=BH$3+6),"▼",IF(AND($E113&gt;=BH$3,$E113&lt;=BH$3+6),$A113,"")))</f>
        <v/>
      </c>
      <c r="BI113" s="47" t="str">
        <f aca="false">IF($A113="","",IF(AND(INDEX(工程マスタ!$I$5:$I$154,$A113)="○",$E113&gt;=BI$3,$E113&lt;=BI$3+6),"▼",IF(AND($E113&gt;=BI$3,$E113&lt;=BI$3+6),$A113,"")))</f>
        <v/>
      </c>
      <c r="BJ113" s="47" t="str">
        <f aca="false">IF($A113="","",IF(AND(INDEX(工程マスタ!$I$5:$I$154,$A113)="○",$E113&gt;=BJ$3,$E113&lt;=BJ$3+6),"▼",IF(AND($E113&gt;=BJ$3,$E113&lt;=BJ$3+6),$A113,"")))</f>
        <v/>
      </c>
    </row>
    <row r="114" customFormat="false" ht="15" hidden="false" customHeight="false" outlineLevel="0" collapsed="false">
      <c r="A114" s="28" t="str">
        <f aca="false">IF(工程マスタ!$C112="","",工程マスタ!$A112)</f>
        <v/>
      </c>
      <c r="B114" s="46" t="str">
        <f aca="false">IF($A114="","",工程マスタ!$C112)</f>
        <v/>
      </c>
      <c r="C114" s="28" t="str">
        <f aca="false">IF($A114="","",MAX(1,工程マスタ!$G112))</f>
        <v/>
      </c>
      <c r="D114" s="28" t="str">
        <f aca="false">IF($A114="","",_xlfn.TEXTJOIN(",",TRUE(),工程マスタ!$N112:$P112))</f>
        <v/>
      </c>
      <c r="E114" s="29" t="str">
        <f aca="false">IF($A114="","",IF(COUNT(工程マスタ!$N112:$P112)=0,設定!$B$8,MAX(IF(工程マスタ!$N112="",0,INDEX($F$7:$F$156,工程マスタ!$N112)),IF(工程マスタ!$O112="",0,INDEX($F$7:$F$156,工程マスタ!$O112)),IF(工程マスタ!$P112="",0,INDEX($F$7:$F$156,工程マスタ!$P112)))+1))</f>
        <v/>
      </c>
      <c r="F114" s="29" t="str">
        <f aca="false">IF($A114="","",$E114+$C114-1)</f>
        <v/>
      </c>
      <c r="G114" s="29" t="str">
        <f aca="false">IF($A114="","",$H114-$C114+1)</f>
        <v/>
      </c>
      <c r="H114" s="29" t="str">
        <f aca="false" t="array" ref="H114:H114">IF($A114="","",IF(SUMPRODUCT((工程マスタ!$N$113:$N$154=$A114)*1)+SUMPRODUCT((工程マスタ!$O$113:$O$154=$A114)*1)+SUMPRODUCT((工程マスタ!$P$113:$P$154=$A114)*1)=0,MAX($F$7:$F$156),MIN(IF((工程マスタ!$N$113:$N$154=$A114)+(工程マスタ!$O$113:$O$154=$A114)+(工程マスタ!$P$113:$P$154=$A114),$G115:$G$156))-1))</f>
        <v/>
      </c>
      <c r="I114" s="28" t="str">
        <f aca="false">IF($A114="","",$G114-$E114)</f>
        <v/>
      </c>
      <c r="J114" s="28" t="str">
        <f aca="false">IF($A114="","",IF($I114&lt;=0,"●",""))</f>
        <v/>
      </c>
      <c r="K114" s="47" t="str">
        <f aca="false">IF($A114="","",IF(AND(INDEX(工程マスタ!$I$5:$I$154,$A114)="○",$E114&gt;=K$3,$E114&lt;=K$3+6),"▼",IF(AND($E114&gt;=K$3,$E114&lt;=K$3+6),$A114,"")))</f>
        <v/>
      </c>
      <c r="L114" s="47" t="str">
        <f aca="false">IF($A114="","",IF(AND(INDEX(工程マスタ!$I$5:$I$154,$A114)="○",$E114&gt;=L$3,$E114&lt;=L$3+6),"▼",IF(AND($E114&gt;=L$3,$E114&lt;=L$3+6),$A114,"")))</f>
        <v/>
      </c>
      <c r="M114" s="47" t="str">
        <f aca="false">IF($A114="","",IF(AND(INDEX(工程マスタ!$I$5:$I$154,$A114)="○",$E114&gt;=M$3,$E114&lt;=M$3+6),"▼",IF(AND($E114&gt;=M$3,$E114&lt;=M$3+6),$A114,"")))</f>
        <v/>
      </c>
      <c r="N114" s="47" t="str">
        <f aca="false">IF($A114="","",IF(AND(INDEX(工程マスタ!$I$5:$I$154,$A114)="○",$E114&gt;=N$3,$E114&lt;=N$3+6),"▼",IF(AND($E114&gt;=N$3,$E114&lt;=N$3+6),$A114,"")))</f>
        <v/>
      </c>
      <c r="O114" s="47" t="str">
        <f aca="false">IF($A114="","",IF(AND(INDEX(工程マスタ!$I$5:$I$154,$A114)="○",$E114&gt;=O$3,$E114&lt;=O$3+6),"▼",IF(AND($E114&gt;=O$3,$E114&lt;=O$3+6),$A114,"")))</f>
        <v/>
      </c>
      <c r="P114" s="47" t="str">
        <f aca="false">IF($A114="","",IF(AND(INDEX(工程マスタ!$I$5:$I$154,$A114)="○",$E114&gt;=P$3,$E114&lt;=P$3+6),"▼",IF(AND($E114&gt;=P$3,$E114&lt;=P$3+6),$A114,"")))</f>
        <v/>
      </c>
      <c r="Q114" s="47" t="str">
        <f aca="false">IF($A114="","",IF(AND(INDEX(工程マスタ!$I$5:$I$154,$A114)="○",$E114&gt;=Q$3,$E114&lt;=Q$3+6),"▼",IF(AND($E114&gt;=Q$3,$E114&lt;=Q$3+6),$A114,"")))</f>
        <v/>
      </c>
      <c r="R114" s="47" t="str">
        <f aca="false">IF($A114="","",IF(AND(INDEX(工程マスタ!$I$5:$I$154,$A114)="○",$E114&gt;=R$3,$E114&lt;=R$3+6),"▼",IF(AND($E114&gt;=R$3,$E114&lt;=R$3+6),$A114,"")))</f>
        <v/>
      </c>
      <c r="S114" s="47" t="str">
        <f aca="false">IF($A114="","",IF(AND(INDEX(工程マスタ!$I$5:$I$154,$A114)="○",$E114&gt;=S$3,$E114&lt;=S$3+6),"▼",IF(AND($E114&gt;=S$3,$E114&lt;=S$3+6),$A114,"")))</f>
        <v/>
      </c>
      <c r="T114" s="47" t="str">
        <f aca="false">IF($A114="","",IF(AND(INDEX(工程マスタ!$I$5:$I$154,$A114)="○",$E114&gt;=T$3,$E114&lt;=T$3+6),"▼",IF(AND($E114&gt;=T$3,$E114&lt;=T$3+6),$A114,"")))</f>
        <v/>
      </c>
      <c r="U114" s="47" t="str">
        <f aca="false">IF($A114="","",IF(AND(INDEX(工程マスタ!$I$5:$I$154,$A114)="○",$E114&gt;=U$3,$E114&lt;=U$3+6),"▼",IF(AND($E114&gt;=U$3,$E114&lt;=U$3+6),$A114,"")))</f>
        <v/>
      </c>
      <c r="V114" s="47" t="str">
        <f aca="false">IF($A114="","",IF(AND(INDEX(工程マスタ!$I$5:$I$154,$A114)="○",$E114&gt;=V$3,$E114&lt;=V$3+6),"▼",IF(AND($E114&gt;=V$3,$E114&lt;=V$3+6),$A114,"")))</f>
        <v/>
      </c>
      <c r="W114" s="47" t="str">
        <f aca="false">IF($A114="","",IF(AND(INDEX(工程マスタ!$I$5:$I$154,$A114)="○",$E114&gt;=W$3,$E114&lt;=W$3+6),"▼",IF(AND($E114&gt;=W$3,$E114&lt;=W$3+6),$A114,"")))</f>
        <v/>
      </c>
      <c r="X114" s="47" t="str">
        <f aca="false">IF($A114="","",IF(AND(INDEX(工程マスタ!$I$5:$I$154,$A114)="○",$E114&gt;=X$3,$E114&lt;=X$3+6),"▼",IF(AND($E114&gt;=X$3,$E114&lt;=X$3+6),$A114,"")))</f>
        <v/>
      </c>
      <c r="Y114" s="47" t="str">
        <f aca="false">IF($A114="","",IF(AND(INDEX(工程マスタ!$I$5:$I$154,$A114)="○",$E114&gt;=Y$3,$E114&lt;=Y$3+6),"▼",IF(AND($E114&gt;=Y$3,$E114&lt;=Y$3+6),$A114,"")))</f>
        <v/>
      </c>
      <c r="Z114" s="47" t="str">
        <f aca="false">IF($A114="","",IF(AND(INDEX(工程マスタ!$I$5:$I$154,$A114)="○",$E114&gt;=Z$3,$E114&lt;=Z$3+6),"▼",IF(AND($E114&gt;=Z$3,$E114&lt;=Z$3+6),$A114,"")))</f>
        <v/>
      </c>
      <c r="AA114" s="47" t="str">
        <f aca="false">IF($A114="","",IF(AND(INDEX(工程マスタ!$I$5:$I$154,$A114)="○",$E114&gt;=AA$3,$E114&lt;=AA$3+6),"▼",IF(AND($E114&gt;=AA$3,$E114&lt;=AA$3+6),$A114,"")))</f>
        <v/>
      </c>
      <c r="AB114" s="47" t="str">
        <f aca="false">IF($A114="","",IF(AND(INDEX(工程マスタ!$I$5:$I$154,$A114)="○",$E114&gt;=AB$3,$E114&lt;=AB$3+6),"▼",IF(AND($E114&gt;=AB$3,$E114&lt;=AB$3+6),$A114,"")))</f>
        <v/>
      </c>
      <c r="AC114" s="47" t="str">
        <f aca="false">IF($A114="","",IF(AND(INDEX(工程マスタ!$I$5:$I$154,$A114)="○",$E114&gt;=AC$3,$E114&lt;=AC$3+6),"▼",IF(AND($E114&gt;=AC$3,$E114&lt;=AC$3+6),$A114,"")))</f>
        <v/>
      </c>
      <c r="AD114" s="47" t="str">
        <f aca="false">IF($A114="","",IF(AND(INDEX(工程マスタ!$I$5:$I$154,$A114)="○",$E114&gt;=AD$3,$E114&lt;=AD$3+6),"▼",IF(AND($E114&gt;=AD$3,$E114&lt;=AD$3+6),$A114,"")))</f>
        <v/>
      </c>
      <c r="AE114" s="47" t="str">
        <f aca="false">IF($A114="","",IF(AND(INDEX(工程マスタ!$I$5:$I$154,$A114)="○",$E114&gt;=AE$3,$E114&lt;=AE$3+6),"▼",IF(AND($E114&gt;=AE$3,$E114&lt;=AE$3+6),$A114,"")))</f>
        <v/>
      </c>
      <c r="AF114" s="47" t="str">
        <f aca="false">IF($A114="","",IF(AND(INDEX(工程マスタ!$I$5:$I$154,$A114)="○",$E114&gt;=AF$3,$E114&lt;=AF$3+6),"▼",IF(AND($E114&gt;=AF$3,$E114&lt;=AF$3+6),$A114,"")))</f>
        <v/>
      </c>
      <c r="AG114" s="47" t="str">
        <f aca="false">IF($A114="","",IF(AND(INDEX(工程マスタ!$I$5:$I$154,$A114)="○",$E114&gt;=AG$3,$E114&lt;=AG$3+6),"▼",IF(AND($E114&gt;=AG$3,$E114&lt;=AG$3+6),$A114,"")))</f>
        <v/>
      </c>
      <c r="AH114" s="47" t="str">
        <f aca="false">IF($A114="","",IF(AND(INDEX(工程マスタ!$I$5:$I$154,$A114)="○",$E114&gt;=AH$3,$E114&lt;=AH$3+6),"▼",IF(AND($E114&gt;=AH$3,$E114&lt;=AH$3+6),$A114,"")))</f>
        <v/>
      </c>
      <c r="AI114" s="47" t="str">
        <f aca="false">IF($A114="","",IF(AND(INDEX(工程マスタ!$I$5:$I$154,$A114)="○",$E114&gt;=AI$3,$E114&lt;=AI$3+6),"▼",IF(AND($E114&gt;=AI$3,$E114&lt;=AI$3+6),$A114,"")))</f>
        <v/>
      </c>
      <c r="AJ114" s="47" t="str">
        <f aca="false">IF($A114="","",IF(AND(INDEX(工程マスタ!$I$5:$I$154,$A114)="○",$E114&gt;=AJ$3,$E114&lt;=AJ$3+6),"▼",IF(AND($E114&gt;=AJ$3,$E114&lt;=AJ$3+6),$A114,"")))</f>
        <v/>
      </c>
      <c r="AK114" s="47" t="str">
        <f aca="false">IF($A114="","",IF(AND(INDEX(工程マスタ!$I$5:$I$154,$A114)="○",$E114&gt;=AK$3,$E114&lt;=AK$3+6),"▼",IF(AND($E114&gt;=AK$3,$E114&lt;=AK$3+6),$A114,"")))</f>
        <v/>
      </c>
      <c r="AL114" s="47" t="str">
        <f aca="false">IF($A114="","",IF(AND(INDEX(工程マスタ!$I$5:$I$154,$A114)="○",$E114&gt;=AL$3,$E114&lt;=AL$3+6),"▼",IF(AND($E114&gt;=AL$3,$E114&lt;=AL$3+6),$A114,"")))</f>
        <v/>
      </c>
      <c r="AM114" s="47" t="str">
        <f aca="false">IF($A114="","",IF(AND(INDEX(工程マスタ!$I$5:$I$154,$A114)="○",$E114&gt;=AM$3,$E114&lt;=AM$3+6),"▼",IF(AND($E114&gt;=AM$3,$E114&lt;=AM$3+6),$A114,"")))</f>
        <v/>
      </c>
      <c r="AN114" s="47" t="str">
        <f aca="false">IF($A114="","",IF(AND(INDEX(工程マスタ!$I$5:$I$154,$A114)="○",$E114&gt;=AN$3,$E114&lt;=AN$3+6),"▼",IF(AND($E114&gt;=AN$3,$E114&lt;=AN$3+6),$A114,"")))</f>
        <v/>
      </c>
      <c r="AO114" s="47" t="str">
        <f aca="false">IF($A114="","",IF(AND(INDEX(工程マスタ!$I$5:$I$154,$A114)="○",$E114&gt;=AO$3,$E114&lt;=AO$3+6),"▼",IF(AND($E114&gt;=AO$3,$E114&lt;=AO$3+6),$A114,"")))</f>
        <v/>
      </c>
      <c r="AP114" s="47" t="str">
        <f aca="false">IF($A114="","",IF(AND(INDEX(工程マスタ!$I$5:$I$154,$A114)="○",$E114&gt;=AP$3,$E114&lt;=AP$3+6),"▼",IF(AND($E114&gt;=AP$3,$E114&lt;=AP$3+6),$A114,"")))</f>
        <v/>
      </c>
      <c r="AQ114" s="47" t="str">
        <f aca="false">IF($A114="","",IF(AND(INDEX(工程マスタ!$I$5:$I$154,$A114)="○",$E114&gt;=AQ$3,$E114&lt;=AQ$3+6),"▼",IF(AND($E114&gt;=AQ$3,$E114&lt;=AQ$3+6),$A114,"")))</f>
        <v/>
      </c>
      <c r="AR114" s="47" t="str">
        <f aca="false">IF($A114="","",IF(AND(INDEX(工程マスタ!$I$5:$I$154,$A114)="○",$E114&gt;=AR$3,$E114&lt;=AR$3+6),"▼",IF(AND($E114&gt;=AR$3,$E114&lt;=AR$3+6),$A114,"")))</f>
        <v/>
      </c>
      <c r="AS114" s="47" t="str">
        <f aca="false">IF($A114="","",IF(AND(INDEX(工程マスタ!$I$5:$I$154,$A114)="○",$E114&gt;=AS$3,$E114&lt;=AS$3+6),"▼",IF(AND($E114&gt;=AS$3,$E114&lt;=AS$3+6),$A114,"")))</f>
        <v/>
      </c>
      <c r="AT114" s="47" t="str">
        <f aca="false">IF($A114="","",IF(AND(INDEX(工程マスタ!$I$5:$I$154,$A114)="○",$E114&gt;=AT$3,$E114&lt;=AT$3+6),"▼",IF(AND($E114&gt;=AT$3,$E114&lt;=AT$3+6),$A114,"")))</f>
        <v/>
      </c>
      <c r="AU114" s="47" t="str">
        <f aca="false">IF($A114="","",IF(AND(INDEX(工程マスタ!$I$5:$I$154,$A114)="○",$E114&gt;=AU$3,$E114&lt;=AU$3+6),"▼",IF(AND($E114&gt;=AU$3,$E114&lt;=AU$3+6),$A114,"")))</f>
        <v/>
      </c>
      <c r="AV114" s="47" t="str">
        <f aca="false">IF($A114="","",IF(AND(INDEX(工程マスタ!$I$5:$I$154,$A114)="○",$E114&gt;=AV$3,$E114&lt;=AV$3+6),"▼",IF(AND($E114&gt;=AV$3,$E114&lt;=AV$3+6),$A114,"")))</f>
        <v/>
      </c>
      <c r="AW114" s="47" t="str">
        <f aca="false">IF($A114="","",IF(AND(INDEX(工程マスタ!$I$5:$I$154,$A114)="○",$E114&gt;=AW$3,$E114&lt;=AW$3+6),"▼",IF(AND($E114&gt;=AW$3,$E114&lt;=AW$3+6),$A114,"")))</f>
        <v/>
      </c>
      <c r="AX114" s="47" t="str">
        <f aca="false">IF($A114="","",IF(AND(INDEX(工程マスタ!$I$5:$I$154,$A114)="○",$E114&gt;=AX$3,$E114&lt;=AX$3+6),"▼",IF(AND($E114&gt;=AX$3,$E114&lt;=AX$3+6),$A114,"")))</f>
        <v/>
      </c>
      <c r="AY114" s="47" t="str">
        <f aca="false">IF($A114="","",IF(AND(INDEX(工程マスタ!$I$5:$I$154,$A114)="○",$E114&gt;=AY$3,$E114&lt;=AY$3+6),"▼",IF(AND($E114&gt;=AY$3,$E114&lt;=AY$3+6),$A114,"")))</f>
        <v/>
      </c>
      <c r="AZ114" s="47" t="str">
        <f aca="false">IF($A114="","",IF(AND(INDEX(工程マスタ!$I$5:$I$154,$A114)="○",$E114&gt;=AZ$3,$E114&lt;=AZ$3+6),"▼",IF(AND($E114&gt;=AZ$3,$E114&lt;=AZ$3+6),$A114,"")))</f>
        <v/>
      </c>
      <c r="BA114" s="47" t="str">
        <f aca="false">IF($A114="","",IF(AND(INDEX(工程マスタ!$I$5:$I$154,$A114)="○",$E114&gt;=BA$3,$E114&lt;=BA$3+6),"▼",IF(AND($E114&gt;=BA$3,$E114&lt;=BA$3+6),$A114,"")))</f>
        <v/>
      </c>
      <c r="BB114" s="47" t="str">
        <f aca="false">IF($A114="","",IF(AND(INDEX(工程マスタ!$I$5:$I$154,$A114)="○",$E114&gt;=BB$3,$E114&lt;=BB$3+6),"▼",IF(AND($E114&gt;=BB$3,$E114&lt;=BB$3+6),$A114,"")))</f>
        <v/>
      </c>
      <c r="BC114" s="47" t="str">
        <f aca="false">IF($A114="","",IF(AND(INDEX(工程マスタ!$I$5:$I$154,$A114)="○",$E114&gt;=BC$3,$E114&lt;=BC$3+6),"▼",IF(AND($E114&gt;=BC$3,$E114&lt;=BC$3+6),$A114,"")))</f>
        <v/>
      </c>
      <c r="BD114" s="47" t="str">
        <f aca="false">IF($A114="","",IF(AND(INDEX(工程マスタ!$I$5:$I$154,$A114)="○",$E114&gt;=BD$3,$E114&lt;=BD$3+6),"▼",IF(AND($E114&gt;=BD$3,$E114&lt;=BD$3+6),$A114,"")))</f>
        <v/>
      </c>
      <c r="BE114" s="47" t="str">
        <f aca="false">IF($A114="","",IF(AND(INDEX(工程マスタ!$I$5:$I$154,$A114)="○",$E114&gt;=BE$3,$E114&lt;=BE$3+6),"▼",IF(AND($E114&gt;=BE$3,$E114&lt;=BE$3+6),$A114,"")))</f>
        <v/>
      </c>
      <c r="BF114" s="47" t="str">
        <f aca="false">IF($A114="","",IF(AND(INDEX(工程マスタ!$I$5:$I$154,$A114)="○",$E114&gt;=BF$3,$E114&lt;=BF$3+6),"▼",IF(AND($E114&gt;=BF$3,$E114&lt;=BF$3+6),$A114,"")))</f>
        <v/>
      </c>
      <c r="BG114" s="47" t="str">
        <f aca="false">IF($A114="","",IF(AND(INDEX(工程マスタ!$I$5:$I$154,$A114)="○",$E114&gt;=BG$3,$E114&lt;=BG$3+6),"▼",IF(AND($E114&gt;=BG$3,$E114&lt;=BG$3+6),$A114,"")))</f>
        <v/>
      </c>
      <c r="BH114" s="47" t="str">
        <f aca="false">IF($A114="","",IF(AND(INDEX(工程マスタ!$I$5:$I$154,$A114)="○",$E114&gt;=BH$3,$E114&lt;=BH$3+6),"▼",IF(AND($E114&gt;=BH$3,$E114&lt;=BH$3+6),$A114,"")))</f>
        <v/>
      </c>
      <c r="BI114" s="47" t="str">
        <f aca="false">IF($A114="","",IF(AND(INDEX(工程マスタ!$I$5:$I$154,$A114)="○",$E114&gt;=BI$3,$E114&lt;=BI$3+6),"▼",IF(AND($E114&gt;=BI$3,$E114&lt;=BI$3+6),$A114,"")))</f>
        <v/>
      </c>
      <c r="BJ114" s="47" t="str">
        <f aca="false">IF($A114="","",IF(AND(INDEX(工程マスタ!$I$5:$I$154,$A114)="○",$E114&gt;=BJ$3,$E114&lt;=BJ$3+6),"▼",IF(AND($E114&gt;=BJ$3,$E114&lt;=BJ$3+6),$A114,"")))</f>
        <v/>
      </c>
    </row>
    <row r="115" customFormat="false" ht="15" hidden="false" customHeight="false" outlineLevel="0" collapsed="false">
      <c r="A115" s="28" t="str">
        <f aca="false">IF(工程マスタ!$C113="","",工程マスタ!$A113)</f>
        <v/>
      </c>
      <c r="B115" s="46" t="str">
        <f aca="false">IF($A115="","",工程マスタ!$C113)</f>
        <v/>
      </c>
      <c r="C115" s="28" t="str">
        <f aca="false">IF($A115="","",MAX(1,工程マスタ!$G113))</f>
        <v/>
      </c>
      <c r="D115" s="28" t="str">
        <f aca="false">IF($A115="","",_xlfn.TEXTJOIN(",",TRUE(),工程マスタ!$N113:$P113))</f>
        <v/>
      </c>
      <c r="E115" s="29" t="str">
        <f aca="false">IF($A115="","",IF(COUNT(工程マスタ!$N113:$P113)=0,設定!$B$8,MAX(IF(工程マスタ!$N113="",0,INDEX($F$7:$F$156,工程マスタ!$N113)),IF(工程マスタ!$O113="",0,INDEX($F$7:$F$156,工程マスタ!$O113)),IF(工程マスタ!$P113="",0,INDEX($F$7:$F$156,工程マスタ!$P113)))+1))</f>
        <v/>
      </c>
      <c r="F115" s="29" t="str">
        <f aca="false">IF($A115="","",$E115+$C115-1)</f>
        <v/>
      </c>
      <c r="G115" s="29" t="str">
        <f aca="false">IF($A115="","",$H115-$C115+1)</f>
        <v/>
      </c>
      <c r="H115" s="29" t="str">
        <f aca="false" t="array" ref="H115:H115">IF($A115="","",IF(SUMPRODUCT((工程マスタ!$N$114:$N$154=$A115)*1)+SUMPRODUCT((工程マスタ!$O$114:$O$154=$A115)*1)+SUMPRODUCT((工程マスタ!$P$114:$P$154=$A115)*1)=0,MAX($F$7:$F$156),MIN(IF((工程マスタ!$N$114:$N$154=$A115)+(工程マスタ!$O$114:$O$154=$A115)+(工程マスタ!$P$114:$P$154=$A115),$G116:$G$156))-1))</f>
        <v/>
      </c>
      <c r="I115" s="28" t="str">
        <f aca="false">IF($A115="","",$G115-$E115)</f>
        <v/>
      </c>
      <c r="J115" s="28" t="str">
        <f aca="false">IF($A115="","",IF($I115&lt;=0,"●",""))</f>
        <v/>
      </c>
      <c r="K115" s="47" t="str">
        <f aca="false">IF($A115="","",IF(AND(INDEX(工程マスタ!$I$5:$I$154,$A115)="○",$E115&gt;=K$3,$E115&lt;=K$3+6),"▼",IF(AND($E115&gt;=K$3,$E115&lt;=K$3+6),$A115,"")))</f>
        <v/>
      </c>
      <c r="L115" s="47" t="str">
        <f aca="false">IF($A115="","",IF(AND(INDEX(工程マスタ!$I$5:$I$154,$A115)="○",$E115&gt;=L$3,$E115&lt;=L$3+6),"▼",IF(AND($E115&gt;=L$3,$E115&lt;=L$3+6),$A115,"")))</f>
        <v/>
      </c>
      <c r="M115" s="47" t="str">
        <f aca="false">IF($A115="","",IF(AND(INDEX(工程マスタ!$I$5:$I$154,$A115)="○",$E115&gt;=M$3,$E115&lt;=M$3+6),"▼",IF(AND($E115&gt;=M$3,$E115&lt;=M$3+6),$A115,"")))</f>
        <v/>
      </c>
      <c r="N115" s="47" t="str">
        <f aca="false">IF($A115="","",IF(AND(INDEX(工程マスタ!$I$5:$I$154,$A115)="○",$E115&gt;=N$3,$E115&lt;=N$3+6),"▼",IF(AND($E115&gt;=N$3,$E115&lt;=N$3+6),$A115,"")))</f>
        <v/>
      </c>
      <c r="O115" s="47" t="str">
        <f aca="false">IF($A115="","",IF(AND(INDEX(工程マスタ!$I$5:$I$154,$A115)="○",$E115&gt;=O$3,$E115&lt;=O$3+6),"▼",IF(AND($E115&gt;=O$3,$E115&lt;=O$3+6),$A115,"")))</f>
        <v/>
      </c>
      <c r="P115" s="47" t="str">
        <f aca="false">IF($A115="","",IF(AND(INDEX(工程マスタ!$I$5:$I$154,$A115)="○",$E115&gt;=P$3,$E115&lt;=P$3+6),"▼",IF(AND($E115&gt;=P$3,$E115&lt;=P$3+6),$A115,"")))</f>
        <v/>
      </c>
      <c r="Q115" s="47" t="str">
        <f aca="false">IF($A115="","",IF(AND(INDEX(工程マスタ!$I$5:$I$154,$A115)="○",$E115&gt;=Q$3,$E115&lt;=Q$3+6),"▼",IF(AND($E115&gt;=Q$3,$E115&lt;=Q$3+6),$A115,"")))</f>
        <v/>
      </c>
      <c r="R115" s="47" t="str">
        <f aca="false">IF($A115="","",IF(AND(INDEX(工程マスタ!$I$5:$I$154,$A115)="○",$E115&gt;=R$3,$E115&lt;=R$3+6),"▼",IF(AND($E115&gt;=R$3,$E115&lt;=R$3+6),$A115,"")))</f>
        <v/>
      </c>
      <c r="S115" s="47" t="str">
        <f aca="false">IF($A115="","",IF(AND(INDEX(工程マスタ!$I$5:$I$154,$A115)="○",$E115&gt;=S$3,$E115&lt;=S$3+6),"▼",IF(AND($E115&gt;=S$3,$E115&lt;=S$3+6),$A115,"")))</f>
        <v/>
      </c>
      <c r="T115" s="47" t="str">
        <f aca="false">IF($A115="","",IF(AND(INDEX(工程マスタ!$I$5:$I$154,$A115)="○",$E115&gt;=T$3,$E115&lt;=T$3+6),"▼",IF(AND($E115&gt;=T$3,$E115&lt;=T$3+6),$A115,"")))</f>
        <v/>
      </c>
      <c r="U115" s="47" t="str">
        <f aca="false">IF($A115="","",IF(AND(INDEX(工程マスタ!$I$5:$I$154,$A115)="○",$E115&gt;=U$3,$E115&lt;=U$3+6),"▼",IF(AND($E115&gt;=U$3,$E115&lt;=U$3+6),$A115,"")))</f>
        <v/>
      </c>
      <c r="V115" s="47" t="str">
        <f aca="false">IF($A115="","",IF(AND(INDEX(工程マスタ!$I$5:$I$154,$A115)="○",$E115&gt;=V$3,$E115&lt;=V$3+6),"▼",IF(AND($E115&gt;=V$3,$E115&lt;=V$3+6),$A115,"")))</f>
        <v/>
      </c>
      <c r="W115" s="47" t="str">
        <f aca="false">IF($A115="","",IF(AND(INDEX(工程マスタ!$I$5:$I$154,$A115)="○",$E115&gt;=W$3,$E115&lt;=W$3+6),"▼",IF(AND($E115&gt;=W$3,$E115&lt;=W$3+6),$A115,"")))</f>
        <v/>
      </c>
      <c r="X115" s="47" t="str">
        <f aca="false">IF($A115="","",IF(AND(INDEX(工程マスタ!$I$5:$I$154,$A115)="○",$E115&gt;=X$3,$E115&lt;=X$3+6),"▼",IF(AND($E115&gt;=X$3,$E115&lt;=X$3+6),$A115,"")))</f>
        <v/>
      </c>
      <c r="Y115" s="47" t="str">
        <f aca="false">IF($A115="","",IF(AND(INDEX(工程マスタ!$I$5:$I$154,$A115)="○",$E115&gt;=Y$3,$E115&lt;=Y$3+6),"▼",IF(AND($E115&gt;=Y$3,$E115&lt;=Y$3+6),$A115,"")))</f>
        <v/>
      </c>
      <c r="Z115" s="47" t="str">
        <f aca="false">IF($A115="","",IF(AND(INDEX(工程マスタ!$I$5:$I$154,$A115)="○",$E115&gt;=Z$3,$E115&lt;=Z$3+6),"▼",IF(AND($E115&gt;=Z$3,$E115&lt;=Z$3+6),$A115,"")))</f>
        <v/>
      </c>
      <c r="AA115" s="47" t="str">
        <f aca="false">IF($A115="","",IF(AND(INDEX(工程マスタ!$I$5:$I$154,$A115)="○",$E115&gt;=AA$3,$E115&lt;=AA$3+6),"▼",IF(AND($E115&gt;=AA$3,$E115&lt;=AA$3+6),$A115,"")))</f>
        <v/>
      </c>
      <c r="AB115" s="47" t="str">
        <f aca="false">IF($A115="","",IF(AND(INDEX(工程マスタ!$I$5:$I$154,$A115)="○",$E115&gt;=AB$3,$E115&lt;=AB$3+6),"▼",IF(AND($E115&gt;=AB$3,$E115&lt;=AB$3+6),$A115,"")))</f>
        <v/>
      </c>
      <c r="AC115" s="47" t="str">
        <f aca="false">IF($A115="","",IF(AND(INDEX(工程マスタ!$I$5:$I$154,$A115)="○",$E115&gt;=AC$3,$E115&lt;=AC$3+6),"▼",IF(AND($E115&gt;=AC$3,$E115&lt;=AC$3+6),$A115,"")))</f>
        <v/>
      </c>
      <c r="AD115" s="47" t="str">
        <f aca="false">IF($A115="","",IF(AND(INDEX(工程マスタ!$I$5:$I$154,$A115)="○",$E115&gt;=AD$3,$E115&lt;=AD$3+6),"▼",IF(AND($E115&gt;=AD$3,$E115&lt;=AD$3+6),$A115,"")))</f>
        <v/>
      </c>
      <c r="AE115" s="47" t="str">
        <f aca="false">IF($A115="","",IF(AND(INDEX(工程マスタ!$I$5:$I$154,$A115)="○",$E115&gt;=AE$3,$E115&lt;=AE$3+6),"▼",IF(AND($E115&gt;=AE$3,$E115&lt;=AE$3+6),$A115,"")))</f>
        <v/>
      </c>
      <c r="AF115" s="47" t="str">
        <f aca="false">IF($A115="","",IF(AND(INDEX(工程マスタ!$I$5:$I$154,$A115)="○",$E115&gt;=AF$3,$E115&lt;=AF$3+6),"▼",IF(AND($E115&gt;=AF$3,$E115&lt;=AF$3+6),$A115,"")))</f>
        <v/>
      </c>
      <c r="AG115" s="47" t="str">
        <f aca="false">IF($A115="","",IF(AND(INDEX(工程マスタ!$I$5:$I$154,$A115)="○",$E115&gt;=AG$3,$E115&lt;=AG$3+6),"▼",IF(AND($E115&gt;=AG$3,$E115&lt;=AG$3+6),$A115,"")))</f>
        <v/>
      </c>
      <c r="AH115" s="47" t="str">
        <f aca="false">IF($A115="","",IF(AND(INDEX(工程マスタ!$I$5:$I$154,$A115)="○",$E115&gt;=AH$3,$E115&lt;=AH$3+6),"▼",IF(AND($E115&gt;=AH$3,$E115&lt;=AH$3+6),$A115,"")))</f>
        <v/>
      </c>
      <c r="AI115" s="47" t="str">
        <f aca="false">IF($A115="","",IF(AND(INDEX(工程マスタ!$I$5:$I$154,$A115)="○",$E115&gt;=AI$3,$E115&lt;=AI$3+6),"▼",IF(AND($E115&gt;=AI$3,$E115&lt;=AI$3+6),$A115,"")))</f>
        <v/>
      </c>
      <c r="AJ115" s="47" t="str">
        <f aca="false">IF($A115="","",IF(AND(INDEX(工程マスタ!$I$5:$I$154,$A115)="○",$E115&gt;=AJ$3,$E115&lt;=AJ$3+6),"▼",IF(AND($E115&gt;=AJ$3,$E115&lt;=AJ$3+6),$A115,"")))</f>
        <v/>
      </c>
      <c r="AK115" s="47" t="str">
        <f aca="false">IF($A115="","",IF(AND(INDEX(工程マスタ!$I$5:$I$154,$A115)="○",$E115&gt;=AK$3,$E115&lt;=AK$3+6),"▼",IF(AND($E115&gt;=AK$3,$E115&lt;=AK$3+6),$A115,"")))</f>
        <v/>
      </c>
      <c r="AL115" s="47" t="str">
        <f aca="false">IF($A115="","",IF(AND(INDEX(工程マスタ!$I$5:$I$154,$A115)="○",$E115&gt;=AL$3,$E115&lt;=AL$3+6),"▼",IF(AND($E115&gt;=AL$3,$E115&lt;=AL$3+6),$A115,"")))</f>
        <v/>
      </c>
      <c r="AM115" s="47" t="str">
        <f aca="false">IF($A115="","",IF(AND(INDEX(工程マスタ!$I$5:$I$154,$A115)="○",$E115&gt;=AM$3,$E115&lt;=AM$3+6),"▼",IF(AND($E115&gt;=AM$3,$E115&lt;=AM$3+6),$A115,"")))</f>
        <v/>
      </c>
      <c r="AN115" s="47" t="str">
        <f aca="false">IF($A115="","",IF(AND(INDEX(工程マスタ!$I$5:$I$154,$A115)="○",$E115&gt;=AN$3,$E115&lt;=AN$3+6),"▼",IF(AND($E115&gt;=AN$3,$E115&lt;=AN$3+6),$A115,"")))</f>
        <v/>
      </c>
      <c r="AO115" s="47" t="str">
        <f aca="false">IF($A115="","",IF(AND(INDEX(工程マスタ!$I$5:$I$154,$A115)="○",$E115&gt;=AO$3,$E115&lt;=AO$3+6),"▼",IF(AND($E115&gt;=AO$3,$E115&lt;=AO$3+6),$A115,"")))</f>
        <v/>
      </c>
      <c r="AP115" s="47" t="str">
        <f aca="false">IF($A115="","",IF(AND(INDEX(工程マスタ!$I$5:$I$154,$A115)="○",$E115&gt;=AP$3,$E115&lt;=AP$3+6),"▼",IF(AND($E115&gt;=AP$3,$E115&lt;=AP$3+6),$A115,"")))</f>
        <v/>
      </c>
      <c r="AQ115" s="47" t="str">
        <f aca="false">IF($A115="","",IF(AND(INDEX(工程マスタ!$I$5:$I$154,$A115)="○",$E115&gt;=AQ$3,$E115&lt;=AQ$3+6),"▼",IF(AND($E115&gt;=AQ$3,$E115&lt;=AQ$3+6),$A115,"")))</f>
        <v/>
      </c>
      <c r="AR115" s="47" t="str">
        <f aca="false">IF($A115="","",IF(AND(INDEX(工程マスタ!$I$5:$I$154,$A115)="○",$E115&gt;=AR$3,$E115&lt;=AR$3+6),"▼",IF(AND($E115&gt;=AR$3,$E115&lt;=AR$3+6),$A115,"")))</f>
        <v/>
      </c>
      <c r="AS115" s="47" t="str">
        <f aca="false">IF($A115="","",IF(AND(INDEX(工程マスタ!$I$5:$I$154,$A115)="○",$E115&gt;=AS$3,$E115&lt;=AS$3+6),"▼",IF(AND($E115&gt;=AS$3,$E115&lt;=AS$3+6),$A115,"")))</f>
        <v/>
      </c>
      <c r="AT115" s="47" t="str">
        <f aca="false">IF($A115="","",IF(AND(INDEX(工程マスタ!$I$5:$I$154,$A115)="○",$E115&gt;=AT$3,$E115&lt;=AT$3+6),"▼",IF(AND($E115&gt;=AT$3,$E115&lt;=AT$3+6),$A115,"")))</f>
        <v/>
      </c>
      <c r="AU115" s="47" t="str">
        <f aca="false">IF($A115="","",IF(AND(INDEX(工程マスタ!$I$5:$I$154,$A115)="○",$E115&gt;=AU$3,$E115&lt;=AU$3+6),"▼",IF(AND($E115&gt;=AU$3,$E115&lt;=AU$3+6),$A115,"")))</f>
        <v/>
      </c>
      <c r="AV115" s="47" t="str">
        <f aca="false">IF($A115="","",IF(AND(INDEX(工程マスタ!$I$5:$I$154,$A115)="○",$E115&gt;=AV$3,$E115&lt;=AV$3+6),"▼",IF(AND($E115&gt;=AV$3,$E115&lt;=AV$3+6),$A115,"")))</f>
        <v/>
      </c>
      <c r="AW115" s="47" t="str">
        <f aca="false">IF($A115="","",IF(AND(INDEX(工程マスタ!$I$5:$I$154,$A115)="○",$E115&gt;=AW$3,$E115&lt;=AW$3+6),"▼",IF(AND($E115&gt;=AW$3,$E115&lt;=AW$3+6),$A115,"")))</f>
        <v/>
      </c>
      <c r="AX115" s="47" t="str">
        <f aca="false">IF($A115="","",IF(AND(INDEX(工程マスタ!$I$5:$I$154,$A115)="○",$E115&gt;=AX$3,$E115&lt;=AX$3+6),"▼",IF(AND($E115&gt;=AX$3,$E115&lt;=AX$3+6),$A115,"")))</f>
        <v/>
      </c>
      <c r="AY115" s="47" t="str">
        <f aca="false">IF($A115="","",IF(AND(INDEX(工程マスタ!$I$5:$I$154,$A115)="○",$E115&gt;=AY$3,$E115&lt;=AY$3+6),"▼",IF(AND($E115&gt;=AY$3,$E115&lt;=AY$3+6),$A115,"")))</f>
        <v/>
      </c>
      <c r="AZ115" s="47" t="str">
        <f aca="false">IF($A115="","",IF(AND(INDEX(工程マスタ!$I$5:$I$154,$A115)="○",$E115&gt;=AZ$3,$E115&lt;=AZ$3+6),"▼",IF(AND($E115&gt;=AZ$3,$E115&lt;=AZ$3+6),$A115,"")))</f>
        <v/>
      </c>
      <c r="BA115" s="47" t="str">
        <f aca="false">IF($A115="","",IF(AND(INDEX(工程マスタ!$I$5:$I$154,$A115)="○",$E115&gt;=BA$3,$E115&lt;=BA$3+6),"▼",IF(AND($E115&gt;=BA$3,$E115&lt;=BA$3+6),$A115,"")))</f>
        <v/>
      </c>
      <c r="BB115" s="47" t="str">
        <f aca="false">IF($A115="","",IF(AND(INDEX(工程マスタ!$I$5:$I$154,$A115)="○",$E115&gt;=BB$3,$E115&lt;=BB$3+6),"▼",IF(AND($E115&gt;=BB$3,$E115&lt;=BB$3+6),$A115,"")))</f>
        <v/>
      </c>
      <c r="BC115" s="47" t="str">
        <f aca="false">IF($A115="","",IF(AND(INDEX(工程マスタ!$I$5:$I$154,$A115)="○",$E115&gt;=BC$3,$E115&lt;=BC$3+6),"▼",IF(AND($E115&gt;=BC$3,$E115&lt;=BC$3+6),$A115,"")))</f>
        <v/>
      </c>
      <c r="BD115" s="47" t="str">
        <f aca="false">IF($A115="","",IF(AND(INDEX(工程マスタ!$I$5:$I$154,$A115)="○",$E115&gt;=BD$3,$E115&lt;=BD$3+6),"▼",IF(AND($E115&gt;=BD$3,$E115&lt;=BD$3+6),$A115,"")))</f>
        <v/>
      </c>
      <c r="BE115" s="47" t="str">
        <f aca="false">IF($A115="","",IF(AND(INDEX(工程マスタ!$I$5:$I$154,$A115)="○",$E115&gt;=BE$3,$E115&lt;=BE$3+6),"▼",IF(AND($E115&gt;=BE$3,$E115&lt;=BE$3+6),$A115,"")))</f>
        <v/>
      </c>
      <c r="BF115" s="47" t="str">
        <f aca="false">IF($A115="","",IF(AND(INDEX(工程マスタ!$I$5:$I$154,$A115)="○",$E115&gt;=BF$3,$E115&lt;=BF$3+6),"▼",IF(AND($E115&gt;=BF$3,$E115&lt;=BF$3+6),$A115,"")))</f>
        <v/>
      </c>
      <c r="BG115" s="47" t="str">
        <f aca="false">IF($A115="","",IF(AND(INDEX(工程マスタ!$I$5:$I$154,$A115)="○",$E115&gt;=BG$3,$E115&lt;=BG$3+6),"▼",IF(AND($E115&gt;=BG$3,$E115&lt;=BG$3+6),$A115,"")))</f>
        <v/>
      </c>
      <c r="BH115" s="47" t="str">
        <f aca="false">IF($A115="","",IF(AND(INDEX(工程マスタ!$I$5:$I$154,$A115)="○",$E115&gt;=BH$3,$E115&lt;=BH$3+6),"▼",IF(AND($E115&gt;=BH$3,$E115&lt;=BH$3+6),$A115,"")))</f>
        <v/>
      </c>
      <c r="BI115" s="47" t="str">
        <f aca="false">IF($A115="","",IF(AND(INDEX(工程マスタ!$I$5:$I$154,$A115)="○",$E115&gt;=BI$3,$E115&lt;=BI$3+6),"▼",IF(AND($E115&gt;=BI$3,$E115&lt;=BI$3+6),$A115,"")))</f>
        <v/>
      </c>
      <c r="BJ115" s="47" t="str">
        <f aca="false">IF($A115="","",IF(AND(INDEX(工程マスタ!$I$5:$I$154,$A115)="○",$E115&gt;=BJ$3,$E115&lt;=BJ$3+6),"▼",IF(AND($E115&gt;=BJ$3,$E115&lt;=BJ$3+6),$A115,"")))</f>
        <v/>
      </c>
    </row>
    <row r="116" customFormat="false" ht="15" hidden="false" customHeight="false" outlineLevel="0" collapsed="false">
      <c r="A116" s="28" t="str">
        <f aca="false">IF(工程マスタ!$C114="","",工程マスタ!$A114)</f>
        <v/>
      </c>
      <c r="B116" s="46" t="str">
        <f aca="false">IF($A116="","",工程マスタ!$C114)</f>
        <v/>
      </c>
      <c r="C116" s="28" t="str">
        <f aca="false">IF($A116="","",MAX(1,工程マスタ!$G114))</f>
        <v/>
      </c>
      <c r="D116" s="28" t="str">
        <f aca="false">IF($A116="","",_xlfn.TEXTJOIN(",",TRUE(),工程マスタ!$N114:$P114))</f>
        <v/>
      </c>
      <c r="E116" s="29" t="str">
        <f aca="false">IF($A116="","",IF(COUNT(工程マスタ!$N114:$P114)=0,設定!$B$8,MAX(IF(工程マスタ!$N114="",0,INDEX($F$7:$F$156,工程マスタ!$N114)),IF(工程マスタ!$O114="",0,INDEX($F$7:$F$156,工程マスタ!$O114)),IF(工程マスタ!$P114="",0,INDEX($F$7:$F$156,工程マスタ!$P114)))+1))</f>
        <v/>
      </c>
      <c r="F116" s="29" t="str">
        <f aca="false">IF($A116="","",$E116+$C116-1)</f>
        <v/>
      </c>
      <c r="G116" s="29" t="str">
        <f aca="false">IF($A116="","",$H116-$C116+1)</f>
        <v/>
      </c>
      <c r="H116" s="29" t="str">
        <f aca="false" t="array" ref="H116:H116">IF($A116="","",IF(SUMPRODUCT((工程マスタ!$N$115:$N$154=$A116)*1)+SUMPRODUCT((工程マスタ!$O$115:$O$154=$A116)*1)+SUMPRODUCT((工程マスタ!$P$115:$P$154=$A116)*1)=0,MAX($F$7:$F$156),MIN(IF((工程マスタ!$N$115:$N$154=$A116)+(工程マスタ!$O$115:$O$154=$A116)+(工程マスタ!$P$115:$P$154=$A116),$G117:$G$156))-1))</f>
        <v/>
      </c>
      <c r="I116" s="28" t="str">
        <f aca="false">IF($A116="","",$G116-$E116)</f>
        <v/>
      </c>
      <c r="J116" s="28" t="str">
        <f aca="false">IF($A116="","",IF($I116&lt;=0,"●",""))</f>
        <v/>
      </c>
      <c r="K116" s="47" t="str">
        <f aca="false">IF($A116="","",IF(AND(INDEX(工程マスタ!$I$5:$I$154,$A116)="○",$E116&gt;=K$3,$E116&lt;=K$3+6),"▼",IF(AND($E116&gt;=K$3,$E116&lt;=K$3+6),$A116,"")))</f>
        <v/>
      </c>
      <c r="L116" s="47" t="str">
        <f aca="false">IF($A116="","",IF(AND(INDEX(工程マスタ!$I$5:$I$154,$A116)="○",$E116&gt;=L$3,$E116&lt;=L$3+6),"▼",IF(AND($E116&gt;=L$3,$E116&lt;=L$3+6),$A116,"")))</f>
        <v/>
      </c>
      <c r="M116" s="47" t="str">
        <f aca="false">IF($A116="","",IF(AND(INDEX(工程マスタ!$I$5:$I$154,$A116)="○",$E116&gt;=M$3,$E116&lt;=M$3+6),"▼",IF(AND($E116&gt;=M$3,$E116&lt;=M$3+6),$A116,"")))</f>
        <v/>
      </c>
      <c r="N116" s="47" t="str">
        <f aca="false">IF($A116="","",IF(AND(INDEX(工程マスタ!$I$5:$I$154,$A116)="○",$E116&gt;=N$3,$E116&lt;=N$3+6),"▼",IF(AND($E116&gt;=N$3,$E116&lt;=N$3+6),$A116,"")))</f>
        <v/>
      </c>
      <c r="O116" s="47" t="str">
        <f aca="false">IF($A116="","",IF(AND(INDEX(工程マスタ!$I$5:$I$154,$A116)="○",$E116&gt;=O$3,$E116&lt;=O$3+6),"▼",IF(AND($E116&gt;=O$3,$E116&lt;=O$3+6),$A116,"")))</f>
        <v/>
      </c>
      <c r="P116" s="47" t="str">
        <f aca="false">IF($A116="","",IF(AND(INDEX(工程マスタ!$I$5:$I$154,$A116)="○",$E116&gt;=P$3,$E116&lt;=P$3+6),"▼",IF(AND($E116&gt;=P$3,$E116&lt;=P$3+6),$A116,"")))</f>
        <v/>
      </c>
      <c r="Q116" s="47" t="str">
        <f aca="false">IF($A116="","",IF(AND(INDEX(工程マスタ!$I$5:$I$154,$A116)="○",$E116&gt;=Q$3,$E116&lt;=Q$3+6),"▼",IF(AND($E116&gt;=Q$3,$E116&lt;=Q$3+6),$A116,"")))</f>
        <v/>
      </c>
      <c r="R116" s="47" t="str">
        <f aca="false">IF($A116="","",IF(AND(INDEX(工程マスタ!$I$5:$I$154,$A116)="○",$E116&gt;=R$3,$E116&lt;=R$3+6),"▼",IF(AND($E116&gt;=R$3,$E116&lt;=R$3+6),$A116,"")))</f>
        <v/>
      </c>
      <c r="S116" s="47" t="str">
        <f aca="false">IF($A116="","",IF(AND(INDEX(工程マスタ!$I$5:$I$154,$A116)="○",$E116&gt;=S$3,$E116&lt;=S$3+6),"▼",IF(AND($E116&gt;=S$3,$E116&lt;=S$3+6),$A116,"")))</f>
        <v/>
      </c>
      <c r="T116" s="47" t="str">
        <f aca="false">IF($A116="","",IF(AND(INDEX(工程マスタ!$I$5:$I$154,$A116)="○",$E116&gt;=T$3,$E116&lt;=T$3+6),"▼",IF(AND($E116&gt;=T$3,$E116&lt;=T$3+6),$A116,"")))</f>
        <v/>
      </c>
      <c r="U116" s="47" t="str">
        <f aca="false">IF($A116="","",IF(AND(INDEX(工程マスタ!$I$5:$I$154,$A116)="○",$E116&gt;=U$3,$E116&lt;=U$3+6),"▼",IF(AND($E116&gt;=U$3,$E116&lt;=U$3+6),$A116,"")))</f>
        <v/>
      </c>
      <c r="V116" s="47" t="str">
        <f aca="false">IF($A116="","",IF(AND(INDEX(工程マスタ!$I$5:$I$154,$A116)="○",$E116&gt;=V$3,$E116&lt;=V$3+6),"▼",IF(AND($E116&gt;=V$3,$E116&lt;=V$3+6),$A116,"")))</f>
        <v/>
      </c>
      <c r="W116" s="47" t="str">
        <f aca="false">IF($A116="","",IF(AND(INDEX(工程マスタ!$I$5:$I$154,$A116)="○",$E116&gt;=W$3,$E116&lt;=W$3+6),"▼",IF(AND($E116&gt;=W$3,$E116&lt;=W$3+6),$A116,"")))</f>
        <v/>
      </c>
      <c r="X116" s="47" t="str">
        <f aca="false">IF($A116="","",IF(AND(INDEX(工程マスタ!$I$5:$I$154,$A116)="○",$E116&gt;=X$3,$E116&lt;=X$3+6),"▼",IF(AND($E116&gt;=X$3,$E116&lt;=X$3+6),$A116,"")))</f>
        <v/>
      </c>
      <c r="Y116" s="47" t="str">
        <f aca="false">IF($A116="","",IF(AND(INDEX(工程マスタ!$I$5:$I$154,$A116)="○",$E116&gt;=Y$3,$E116&lt;=Y$3+6),"▼",IF(AND($E116&gt;=Y$3,$E116&lt;=Y$3+6),$A116,"")))</f>
        <v/>
      </c>
      <c r="Z116" s="47" t="str">
        <f aca="false">IF($A116="","",IF(AND(INDEX(工程マスタ!$I$5:$I$154,$A116)="○",$E116&gt;=Z$3,$E116&lt;=Z$3+6),"▼",IF(AND($E116&gt;=Z$3,$E116&lt;=Z$3+6),$A116,"")))</f>
        <v/>
      </c>
      <c r="AA116" s="47" t="str">
        <f aca="false">IF($A116="","",IF(AND(INDEX(工程マスタ!$I$5:$I$154,$A116)="○",$E116&gt;=AA$3,$E116&lt;=AA$3+6),"▼",IF(AND($E116&gt;=AA$3,$E116&lt;=AA$3+6),$A116,"")))</f>
        <v/>
      </c>
      <c r="AB116" s="47" t="str">
        <f aca="false">IF($A116="","",IF(AND(INDEX(工程マスタ!$I$5:$I$154,$A116)="○",$E116&gt;=AB$3,$E116&lt;=AB$3+6),"▼",IF(AND($E116&gt;=AB$3,$E116&lt;=AB$3+6),$A116,"")))</f>
        <v/>
      </c>
      <c r="AC116" s="47" t="str">
        <f aca="false">IF($A116="","",IF(AND(INDEX(工程マスタ!$I$5:$I$154,$A116)="○",$E116&gt;=AC$3,$E116&lt;=AC$3+6),"▼",IF(AND($E116&gt;=AC$3,$E116&lt;=AC$3+6),$A116,"")))</f>
        <v/>
      </c>
      <c r="AD116" s="47" t="str">
        <f aca="false">IF($A116="","",IF(AND(INDEX(工程マスタ!$I$5:$I$154,$A116)="○",$E116&gt;=AD$3,$E116&lt;=AD$3+6),"▼",IF(AND($E116&gt;=AD$3,$E116&lt;=AD$3+6),$A116,"")))</f>
        <v/>
      </c>
      <c r="AE116" s="47" t="str">
        <f aca="false">IF($A116="","",IF(AND(INDEX(工程マスタ!$I$5:$I$154,$A116)="○",$E116&gt;=AE$3,$E116&lt;=AE$3+6),"▼",IF(AND($E116&gt;=AE$3,$E116&lt;=AE$3+6),$A116,"")))</f>
        <v/>
      </c>
      <c r="AF116" s="47" t="str">
        <f aca="false">IF($A116="","",IF(AND(INDEX(工程マスタ!$I$5:$I$154,$A116)="○",$E116&gt;=AF$3,$E116&lt;=AF$3+6),"▼",IF(AND($E116&gt;=AF$3,$E116&lt;=AF$3+6),$A116,"")))</f>
        <v/>
      </c>
      <c r="AG116" s="47" t="str">
        <f aca="false">IF($A116="","",IF(AND(INDEX(工程マスタ!$I$5:$I$154,$A116)="○",$E116&gt;=AG$3,$E116&lt;=AG$3+6),"▼",IF(AND($E116&gt;=AG$3,$E116&lt;=AG$3+6),$A116,"")))</f>
        <v/>
      </c>
      <c r="AH116" s="47" t="str">
        <f aca="false">IF($A116="","",IF(AND(INDEX(工程マスタ!$I$5:$I$154,$A116)="○",$E116&gt;=AH$3,$E116&lt;=AH$3+6),"▼",IF(AND($E116&gt;=AH$3,$E116&lt;=AH$3+6),$A116,"")))</f>
        <v/>
      </c>
      <c r="AI116" s="47" t="str">
        <f aca="false">IF($A116="","",IF(AND(INDEX(工程マスタ!$I$5:$I$154,$A116)="○",$E116&gt;=AI$3,$E116&lt;=AI$3+6),"▼",IF(AND($E116&gt;=AI$3,$E116&lt;=AI$3+6),$A116,"")))</f>
        <v/>
      </c>
      <c r="AJ116" s="47" t="str">
        <f aca="false">IF($A116="","",IF(AND(INDEX(工程マスタ!$I$5:$I$154,$A116)="○",$E116&gt;=AJ$3,$E116&lt;=AJ$3+6),"▼",IF(AND($E116&gt;=AJ$3,$E116&lt;=AJ$3+6),$A116,"")))</f>
        <v/>
      </c>
      <c r="AK116" s="47" t="str">
        <f aca="false">IF($A116="","",IF(AND(INDEX(工程マスタ!$I$5:$I$154,$A116)="○",$E116&gt;=AK$3,$E116&lt;=AK$3+6),"▼",IF(AND($E116&gt;=AK$3,$E116&lt;=AK$3+6),$A116,"")))</f>
        <v/>
      </c>
      <c r="AL116" s="47" t="str">
        <f aca="false">IF($A116="","",IF(AND(INDEX(工程マスタ!$I$5:$I$154,$A116)="○",$E116&gt;=AL$3,$E116&lt;=AL$3+6),"▼",IF(AND($E116&gt;=AL$3,$E116&lt;=AL$3+6),$A116,"")))</f>
        <v/>
      </c>
      <c r="AM116" s="47" t="str">
        <f aca="false">IF($A116="","",IF(AND(INDEX(工程マスタ!$I$5:$I$154,$A116)="○",$E116&gt;=AM$3,$E116&lt;=AM$3+6),"▼",IF(AND($E116&gt;=AM$3,$E116&lt;=AM$3+6),$A116,"")))</f>
        <v/>
      </c>
      <c r="AN116" s="47" t="str">
        <f aca="false">IF($A116="","",IF(AND(INDEX(工程マスタ!$I$5:$I$154,$A116)="○",$E116&gt;=AN$3,$E116&lt;=AN$3+6),"▼",IF(AND($E116&gt;=AN$3,$E116&lt;=AN$3+6),$A116,"")))</f>
        <v/>
      </c>
      <c r="AO116" s="47" t="str">
        <f aca="false">IF($A116="","",IF(AND(INDEX(工程マスタ!$I$5:$I$154,$A116)="○",$E116&gt;=AO$3,$E116&lt;=AO$3+6),"▼",IF(AND($E116&gt;=AO$3,$E116&lt;=AO$3+6),$A116,"")))</f>
        <v/>
      </c>
      <c r="AP116" s="47" t="str">
        <f aca="false">IF($A116="","",IF(AND(INDEX(工程マスタ!$I$5:$I$154,$A116)="○",$E116&gt;=AP$3,$E116&lt;=AP$3+6),"▼",IF(AND($E116&gt;=AP$3,$E116&lt;=AP$3+6),$A116,"")))</f>
        <v/>
      </c>
      <c r="AQ116" s="47" t="str">
        <f aca="false">IF($A116="","",IF(AND(INDEX(工程マスタ!$I$5:$I$154,$A116)="○",$E116&gt;=AQ$3,$E116&lt;=AQ$3+6),"▼",IF(AND($E116&gt;=AQ$3,$E116&lt;=AQ$3+6),$A116,"")))</f>
        <v/>
      </c>
      <c r="AR116" s="47" t="str">
        <f aca="false">IF($A116="","",IF(AND(INDEX(工程マスタ!$I$5:$I$154,$A116)="○",$E116&gt;=AR$3,$E116&lt;=AR$3+6),"▼",IF(AND($E116&gt;=AR$3,$E116&lt;=AR$3+6),$A116,"")))</f>
        <v/>
      </c>
      <c r="AS116" s="47" t="str">
        <f aca="false">IF($A116="","",IF(AND(INDEX(工程マスタ!$I$5:$I$154,$A116)="○",$E116&gt;=AS$3,$E116&lt;=AS$3+6),"▼",IF(AND($E116&gt;=AS$3,$E116&lt;=AS$3+6),$A116,"")))</f>
        <v/>
      </c>
      <c r="AT116" s="47" t="str">
        <f aca="false">IF($A116="","",IF(AND(INDEX(工程マスタ!$I$5:$I$154,$A116)="○",$E116&gt;=AT$3,$E116&lt;=AT$3+6),"▼",IF(AND($E116&gt;=AT$3,$E116&lt;=AT$3+6),$A116,"")))</f>
        <v/>
      </c>
      <c r="AU116" s="47" t="str">
        <f aca="false">IF($A116="","",IF(AND(INDEX(工程マスタ!$I$5:$I$154,$A116)="○",$E116&gt;=AU$3,$E116&lt;=AU$3+6),"▼",IF(AND($E116&gt;=AU$3,$E116&lt;=AU$3+6),$A116,"")))</f>
        <v/>
      </c>
      <c r="AV116" s="47" t="str">
        <f aca="false">IF($A116="","",IF(AND(INDEX(工程マスタ!$I$5:$I$154,$A116)="○",$E116&gt;=AV$3,$E116&lt;=AV$3+6),"▼",IF(AND($E116&gt;=AV$3,$E116&lt;=AV$3+6),$A116,"")))</f>
        <v/>
      </c>
      <c r="AW116" s="47" t="str">
        <f aca="false">IF($A116="","",IF(AND(INDEX(工程マスタ!$I$5:$I$154,$A116)="○",$E116&gt;=AW$3,$E116&lt;=AW$3+6),"▼",IF(AND($E116&gt;=AW$3,$E116&lt;=AW$3+6),$A116,"")))</f>
        <v/>
      </c>
      <c r="AX116" s="47" t="str">
        <f aca="false">IF($A116="","",IF(AND(INDEX(工程マスタ!$I$5:$I$154,$A116)="○",$E116&gt;=AX$3,$E116&lt;=AX$3+6),"▼",IF(AND($E116&gt;=AX$3,$E116&lt;=AX$3+6),$A116,"")))</f>
        <v/>
      </c>
      <c r="AY116" s="47" t="str">
        <f aca="false">IF($A116="","",IF(AND(INDEX(工程マスタ!$I$5:$I$154,$A116)="○",$E116&gt;=AY$3,$E116&lt;=AY$3+6),"▼",IF(AND($E116&gt;=AY$3,$E116&lt;=AY$3+6),$A116,"")))</f>
        <v/>
      </c>
      <c r="AZ116" s="47" t="str">
        <f aca="false">IF($A116="","",IF(AND(INDEX(工程マスタ!$I$5:$I$154,$A116)="○",$E116&gt;=AZ$3,$E116&lt;=AZ$3+6),"▼",IF(AND($E116&gt;=AZ$3,$E116&lt;=AZ$3+6),$A116,"")))</f>
        <v/>
      </c>
      <c r="BA116" s="47" t="str">
        <f aca="false">IF($A116="","",IF(AND(INDEX(工程マスタ!$I$5:$I$154,$A116)="○",$E116&gt;=BA$3,$E116&lt;=BA$3+6),"▼",IF(AND($E116&gt;=BA$3,$E116&lt;=BA$3+6),$A116,"")))</f>
        <v/>
      </c>
      <c r="BB116" s="47" t="str">
        <f aca="false">IF($A116="","",IF(AND(INDEX(工程マスタ!$I$5:$I$154,$A116)="○",$E116&gt;=BB$3,$E116&lt;=BB$3+6),"▼",IF(AND($E116&gt;=BB$3,$E116&lt;=BB$3+6),$A116,"")))</f>
        <v/>
      </c>
      <c r="BC116" s="47" t="str">
        <f aca="false">IF($A116="","",IF(AND(INDEX(工程マスタ!$I$5:$I$154,$A116)="○",$E116&gt;=BC$3,$E116&lt;=BC$3+6),"▼",IF(AND($E116&gt;=BC$3,$E116&lt;=BC$3+6),$A116,"")))</f>
        <v/>
      </c>
      <c r="BD116" s="47" t="str">
        <f aca="false">IF($A116="","",IF(AND(INDEX(工程マスタ!$I$5:$I$154,$A116)="○",$E116&gt;=BD$3,$E116&lt;=BD$3+6),"▼",IF(AND($E116&gt;=BD$3,$E116&lt;=BD$3+6),$A116,"")))</f>
        <v/>
      </c>
      <c r="BE116" s="47" t="str">
        <f aca="false">IF($A116="","",IF(AND(INDEX(工程マスタ!$I$5:$I$154,$A116)="○",$E116&gt;=BE$3,$E116&lt;=BE$3+6),"▼",IF(AND($E116&gt;=BE$3,$E116&lt;=BE$3+6),$A116,"")))</f>
        <v/>
      </c>
      <c r="BF116" s="47" t="str">
        <f aca="false">IF($A116="","",IF(AND(INDEX(工程マスタ!$I$5:$I$154,$A116)="○",$E116&gt;=BF$3,$E116&lt;=BF$3+6),"▼",IF(AND($E116&gt;=BF$3,$E116&lt;=BF$3+6),$A116,"")))</f>
        <v/>
      </c>
      <c r="BG116" s="47" t="str">
        <f aca="false">IF($A116="","",IF(AND(INDEX(工程マスタ!$I$5:$I$154,$A116)="○",$E116&gt;=BG$3,$E116&lt;=BG$3+6),"▼",IF(AND($E116&gt;=BG$3,$E116&lt;=BG$3+6),$A116,"")))</f>
        <v/>
      </c>
      <c r="BH116" s="47" t="str">
        <f aca="false">IF($A116="","",IF(AND(INDEX(工程マスタ!$I$5:$I$154,$A116)="○",$E116&gt;=BH$3,$E116&lt;=BH$3+6),"▼",IF(AND($E116&gt;=BH$3,$E116&lt;=BH$3+6),$A116,"")))</f>
        <v/>
      </c>
      <c r="BI116" s="47" t="str">
        <f aca="false">IF($A116="","",IF(AND(INDEX(工程マスタ!$I$5:$I$154,$A116)="○",$E116&gt;=BI$3,$E116&lt;=BI$3+6),"▼",IF(AND($E116&gt;=BI$3,$E116&lt;=BI$3+6),$A116,"")))</f>
        <v/>
      </c>
      <c r="BJ116" s="47" t="str">
        <f aca="false">IF($A116="","",IF(AND(INDEX(工程マスタ!$I$5:$I$154,$A116)="○",$E116&gt;=BJ$3,$E116&lt;=BJ$3+6),"▼",IF(AND($E116&gt;=BJ$3,$E116&lt;=BJ$3+6),$A116,"")))</f>
        <v/>
      </c>
    </row>
    <row r="117" customFormat="false" ht="15" hidden="false" customHeight="false" outlineLevel="0" collapsed="false">
      <c r="A117" s="28" t="str">
        <f aca="false">IF(工程マスタ!$C115="","",工程マスタ!$A115)</f>
        <v/>
      </c>
      <c r="B117" s="46" t="str">
        <f aca="false">IF($A117="","",工程マスタ!$C115)</f>
        <v/>
      </c>
      <c r="C117" s="28" t="str">
        <f aca="false">IF($A117="","",MAX(1,工程マスタ!$G115))</f>
        <v/>
      </c>
      <c r="D117" s="28" t="str">
        <f aca="false">IF($A117="","",_xlfn.TEXTJOIN(",",TRUE(),工程マスタ!$N115:$P115))</f>
        <v/>
      </c>
      <c r="E117" s="29" t="str">
        <f aca="false">IF($A117="","",IF(COUNT(工程マスタ!$N115:$P115)=0,設定!$B$8,MAX(IF(工程マスタ!$N115="",0,INDEX($F$7:$F$156,工程マスタ!$N115)),IF(工程マスタ!$O115="",0,INDEX($F$7:$F$156,工程マスタ!$O115)),IF(工程マスタ!$P115="",0,INDEX($F$7:$F$156,工程マスタ!$P115)))+1))</f>
        <v/>
      </c>
      <c r="F117" s="29" t="str">
        <f aca="false">IF($A117="","",$E117+$C117-1)</f>
        <v/>
      </c>
      <c r="G117" s="29" t="str">
        <f aca="false">IF($A117="","",$H117-$C117+1)</f>
        <v/>
      </c>
      <c r="H117" s="29" t="str">
        <f aca="false" t="array" ref="H117:H117">IF($A117="","",IF(SUMPRODUCT((工程マスタ!$N$116:$N$154=$A117)*1)+SUMPRODUCT((工程マスタ!$O$116:$O$154=$A117)*1)+SUMPRODUCT((工程マスタ!$P$116:$P$154=$A117)*1)=0,MAX($F$7:$F$156),MIN(IF((工程マスタ!$N$116:$N$154=$A117)+(工程マスタ!$O$116:$O$154=$A117)+(工程マスタ!$P$116:$P$154=$A117),$G118:$G$156))-1))</f>
        <v/>
      </c>
      <c r="I117" s="28" t="str">
        <f aca="false">IF($A117="","",$G117-$E117)</f>
        <v/>
      </c>
      <c r="J117" s="28" t="str">
        <f aca="false">IF($A117="","",IF($I117&lt;=0,"●",""))</f>
        <v/>
      </c>
      <c r="K117" s="47" t="str">
        <f aca="false">IF($A117="","",IF(AND(INDEX(工程マスタ!$I$5:$I$154,$A117)="○",$E117&gt;=K$3,$E117&lt;=K$3+6),"▼",IF(AND($E117&gt;=K$3,$E117&lt;=K$3+6),$A117,"")))</f>
        <v/>
      </c>
      <c r="L117" s="47" t="str">
        <f aca="false">IF($A117="","",IF(AND(INDEX(工程マスタ!$I$5:$I$154,$A117)="○",$E117&gt;=L$3,$E117&lt;=L$3+6),"▼",IF(AND($E117&gt;=L$3,$E117&lt;=L$3+6),$A117,"")))</f>
        <v/>
      </c>
      <c r="M117" s="47" t="str">
        <f aca="false">IF($A117="","",IF(AND(INDEX(工程マスタ!$I$5:$I$154,$A117)="○",$E117&gt;=M$3,$E117&lt;=M$3+6),"▼",IF(AND($E117&gt;=M$3,$E117&lt;=M$3+6),$A117,"")))</f>
        <v/>
      </c>
      <c r="N117" s="47" t="str">
        <f aca="false">IF($A117="","",IF(AND(INDEX(工程マスタ!$I$5:$I$154,$A117)="○",$E117&gt;=N$3,$E117&lt;=N$3+6),"▼",IF(AND($E117&gt;=N$3,$E117&lt;=N$3+6),$A117,"")))</f>
        <v/>
      </c>
      <c r="O117" s="47" t="str">
        <f aca="false">IF($A117="","",IF(AND(INDEX(工程マスタ!$I$5:$I$154,$A117)="○",$E117&gt;=O$3,$E117&lt;=O$3+6),"▼",IF(AND($E117&gt;=O$3,$E117&lt;=O$3+6),$A117,"")))</f>
        <v/>
      </c>
      <c r="P117" s="47" t="str">
        <f aca="false">IF($A117="","",IF(AND(INDEX(工程マスタ!$I$5:$I$154,$A117)="○",$E117&gt;=P$3,$E117&lt;=P$3+6),"▼",IF(AND($E117&gt;=P$3,$E117&lt;=P$3+6),$A117,"")))</f>
        <v/>
      </c>
      <c r="Q117" s="47" t="str">
        <f aca="false">IF($A117="","",IF(AND(INDEX(工程マスタ!$I$5:$I$154,$A117)="○",$E117&gt;=Q$3,$E117&lt;=Q$3+6),"▼",IF(AND($E117&gt;=Q$3,$E117&lt;=Q$3+6),$A117,"")))</f>
        <v/>
      </c>
      <c r="R117" s="47" t="str">
        <f aca="false">IF($A117="","",IF(AND(INDEX(工程マスタ!$I$5:$I$154,$A117)="○",$E117&gt;=R$3,$E117&lt;=R$3+6),"▼",IF(AND($E117&gt;=R$3,$E117&lt;=R$3+6),$A117,"")))</f>
        <v/>
      </c>
      <c r="S117" s="47" t="str">
        <f aca="false">IF($A117="","",IF(AND(INDEX(工程マスタ!$I$5:$I$154,$A117)="○",$E117&gt;=S$3,$E117&lt;=S$3+6),"▼",IF(AND($E117&gt;=S$3,$E117&lt;=S$3+6),$A117,"")))</f>
        <v/>
      </c>
      <c r="T117" s="47" t="str">
        <f aca="false">IF($A117="","",IF(AND(INDEX(工程マスタ!$I$5:$I$154,$A117)="○",$E117&gt;=T$3,$E117&lt;=T$3+6),"▼",IF(AND($E117&gt;=T$3,$E117&lt;=T$3+6),$A117,"")))</f>
        <v/>
      </c>
      <c r="U117" s="47" t="str">
        <f aca="false">IF($A117="","",IF(AND(INDEX(工程マスタ!$I$5:$I$154,$A117)="○",$E117&gt;=U$3,$E117&lt;=U$3+6),"▼",IF(AND($E117&gt;=U$3,$E117&lt;=U$3+6),$A117,"")))</f>
        <v/>
      </c>
      <c r="V117" s="47" t="str">
        <f aca="false">IF($A117="","",IF(AND(INDEX(工程マスタ!$I$5:$I$154,$A117)="○",$E117&gt;=V$3,$E117&lt;=V$3+6),"▼",IF(AND($E117&gt;=V$3,$E117&lt;=V$3+6),$A117,"")))</f>
        <v/>
      </c>
      <c r="W117" s="47" t="str">
        <f aca="false">IF($A117="","",IF(AND(INDEX(工程マスタ!$I$5:$I$154,$A117)="○",$E117&gt;=W$3,$E117&lt;=W$3+6),"▼",IF(AND($E117&gt;=W$3,$E117&lt;=W$3+6),$A117,"")))</f>
        <v/>
      </c>
      <c r="X117" s="47" t="str">
        <f aca="false">IF($A117="","",IF(AND(INDEX(工程マスタ!$I$5:$I$154,$A117)="○",$E117&gt;=X$3,$E117&lt;=X$3+6),"▼",IF(AND($E117&gt;=X$3,$E117&lt;=X$3+6),$A117,"")))</f>
        <v/>
      </c>
      <c r="Y117" s="47" t="str">
        <f aca="false">IF($A117="","",IF(AND(INDEX(工程マスタ!$I$5:$I$154,$A117)="○",$E117&gt;=Y$3,$E117&lt;=Y$3+6),"▼",IF(AND($E117&gt;=Y$3,$E117&lt;=Y$3+6),$A117,"")))</f>
        <v/>
      </c>
      <c r="Z117" s="47" t="str">
        <f aca="false">IF($A117="","",IF(AND(INDEX(工程マスタ!$I$5:$I$154,$A117)="○",$E117&gt;=Z$3,$E117&lt;=Z$3+6),"▼",IF(AND($E117&gt;=Z$3,$E117&lt;=Z$3+6),$A117,"")))</f>
        <v/>
      </c>
      <c r="AA117" s="47" t="str">
        <f aca="false">IF($A117="","",IF(AND(INDEX(工程マスタ!$I$5:$I$154,$A117)="○",$E117&gt;=AA$3,$E117&lt;=AA$3+6),"▼",IF(AND($E117&gt;=AA$3,$E117&lt;=AA$3+6),$A117,"")))</f>
        <v/>
      </c>
      <c r="AB117" s="47" t="str">
        <f aca="false">IF($A117="","",IF(AND(INDEX(工程マスタ!$I$5:$I$154,$A117)="○",$E117&gt;=AB$3,$E117&lt;=AB$3+6),"▼",IF(AND($E117&gt;=AB$3,$E117&lt;=AB$3+6),$A117,"")))</f>
        <v/>
      </c>
      <c r="AC117" s="47" t="str">
        <f aca="false">IF($A117="","",IF(AND(INDEX(工程マスタ!$I$5:$I$154,$A117)="○",$E117&gt;=AC$3,$E117&lt;=AC$3+6),"▼",IF(AND($E117&gt;=AC$3,$E117&lt;=AC$3+6),$A117,"")))</f>
        <v/>
      </c>
      <c r="AD117" s="47" t="str">
        <f aca="false">IF($A117="","",IF(AND(INDEX(工程マスタ!$I$5:$I$154,$A117)="○",$E117&gt;=AD$3,$E117&lt;=AD$3+6),"▼",IF(AND($E117&gt;=AD$3,$E117&lt;=AD$3+6),$A117,"")))</f>
        <v/>
      </c>
      <c r="AE117" s="47" t="str">
        <f aca="false">IF($A117="","",IF(AND(INDEX(工程マスタ!$I$5:$I$154,$A117)="○",$E117&gt;=AE$3,$E117&lt;=AE$3+6),"▼",IF(AND($E117&gt;=AE$3,$E117&lt;=AE$3+6),$A117,"")))</f>
        <v/>
      </c>
      <c r="AF117" s="47" t="str">
        <f aca="false">IF($A117="","",IF(AND(INDEX(工程マスタ!$I$5:$I$154,$A117)="○",$E117&gt;=AF$3,$E117&lt;=AF$3+6),"▼",IF(AND($E117&gt;=AF$3,$E117&lt;=AF$3+6),$A117,"")))</f>
        <v/>
      </c>
      <c r="AG117" s="47" t="str">
        <f aca="false">IF($A117="","",IF(AND(INDEX(工程マスタ!$I$5:$I$154,$A117)="○",$E117&gt;=AG$3,$E117&lt;=AG$3+6),"▼",IF(AND($E117&gt;=AG$3,$E117&lt;=AG$3+6),$A117,"")))</f>
        <v/>
      </c>
      <c r="AH117" s="47" t="str">
        <f aca="false">IF($A117="","",IF(AND(INDEX(工程マスタ!$I$5:$I$154,$A117)="○",$E117&gt;=AH$3,$E117&lt;=AH$3+6),"▼",IF(AND($E117&gt;=AH$3,$E117&lt;=AH$3+6),$A117,"")))</f>
        <v/>
      </c>
      <c r="AI117" s="47" t="str">
        <f aca="false">IF($A117="","",IF(AND(INDEX(工程マスタ!$I$5:$I$154,$A117)="○",$E117&gt;=AI$3,$E117&lt;=AI$3+6),"▼",IF(AND($E117&gt;=AI$3,$E117&lt;=AI$3+6),$A117,"")))</f>
        <v/>
      </c>
      <c r="AJ117" s="47" t="str">
        <f aca="false">IF($A117="","",IF(AND(INDEX(工程マスタ!$I$5:$I$154,$A117)="○",$E117&gt;=AJ$3,$E117&lt;=AJ$3+6),"▼",IF(AND($E117&gt;=AJ$3,$E117&lt;=AJ$3+6),$A117,"")))</f>
        <v/>
      </c>
      <c r="AK117" s="47" t="str">
        <f aca="false">IF($A117="","",IF(AND(INDEX(工程マスタ!$I$5:$I$154,$A117)="○",$E117&gt;=AK$3,$E117&lt;=AK$3+6),"▼",IF(AND($E117&gt;=AK$3,$E117&lt;=AK$3+6),$A117,"")))</f>
        <v/>
      </c>
      <c r="AL117" s="47" t="str">
        <f aca="false">IF($A117="","",IF(AND(INDEX(工程マスタ!$I$5:$I$154,$A117)="○",$E117&gt;=AL$3,$E117&lt;=AL$3+6),"▼",IF(AND($E117&gt;=AL$3,$E117&lt;=AL$3+6),$A117,"")))</f>
        <v/>
      </c>
      <c r="AM117" s="47" t="str">
        <f aca="false">IF($A117="","",IF(AND(INDEX(工程マスタ!$I$5:$I$154,$A117)="○",$E117&gt;=AM$3,$E117&lt;=AM$3+6),"▼",IF(AND($E117&gt;=AM$3,$E117&lt;=AM$3+6),$A117,"")))</f>
        <v/>
      </c>
      <c r="AN117" s="47" t="str">
        <f aca="false">IF($A117="","",IF(AND(INDEX(工程マスタ!$I$5:$I$154,$A117)="○",$E117&gt;=AN$3,$E117&lt;=AN$3+6),"▼",IF(AND($E117&gt;=AN$3,$E117&lt;=AN$3+6),$A117,"")))</f>
        <v/>
      </c>
      <c r="AO117" s="47" t="str">
        <f aca="false">IF($A117="","",IF(AND(INDEX(工程マスタ!$I$5:$I$154,$A117)="○",$E117&gt;=AO$3,$E117&lt;=AO$3+6),"▼",IF(AND($E117&gt;=AO$3,$E117&lt;=AO$3+6),$A117,"")))</f>
        <v/>
      </c>
      <c r="AP117" s="47" t="str">
        <f aca="false">IF($A117="","",IF(AND(INDEX(工程マスタ!$I$5:$I$154,$A117)="○",$E117&gt;=AP$3,$E117&lt;=AP$3+6),"▼",IF(AND($E117&gt;=AP$3,$E117&lt;=AP$3+6),$A117,"")))</f>
        <v/>
      </c>
      <c r="AQ117" s="47" t="str">
        <f aca="false">IF($A117="","",IF(AND(INDEX(工程マスタ!$I$5:$I$154,$A117)="○",$E117&gt;=AQ$3,$E117&lt;=AQ$3+6),"▼",IF(AND($E117&gt;=AQ$3,$E117&lt;=AQ$3+6),$A117,"")))</f>
        <v/>
      </c>
      <c r="AR117" s="47" t="str">
        <f aca="false">IF($A117="","",IF(AND(INDEX(工程マスタ!$I$5:$I$154,$A117)="○",$E117&gt;=AR$3,$E117&lt;=AR$3+6),"▼",IF(AND($E117&gt;=AR$3,$E117&lt;=AR$3+6),$A117,"")))</f>
        <v/>
      </c>
      <c r="AS117" s="47" t="str">
        <f aca="false">IF($A117="","",IF(AND(INDEX(工程マスタ!$I$5:$I$154,$A117)="○",$E117&gt;=AS$3,$E117&lt;=AS$3+6),"▼",IF(AND($E117&gt;=AS$3,$E117&lt;=AS$3+6),$A117,"")))</f>
        <v/>
      </c>
      <c r="AT117" s="47" t="str">
        <f aca="false">IF($A117="","",IF(AND(INDEX(工程マスタ!$I$5:$I$154,$A117)="○",$E117&gt;=AT$3,$E117&lt;=AT$3+6),"▼",IF(AND($E117&gt;=AT$3,$E117&lt;=AT$3+6),$A117,"")))</f>
        <v/>
      </c>
      <c r="AU117" s="47" t="str">
        <f aca="false">IF($A117="","",IF(AND(INDEX(工程マスタ!$I$5:$I$154,$A117)="○",$E117&gt;=AU$3,$E117&lt;=AU$3+6),"▼",IF(AND($E117&gt;=AU$3,$E117&lt;=AU$3+6),$A117,"")))</f>
        <v/>
      </c>
      <c r="AV117" s="47" t="str">
        <f aca="false">IF($A117="","",IF(AND(INDEX(工程マスタ!$I$5:$I$154,$A117)="○",$E117&gt;=AV$3,$E117&lt;=AV$3+6),"▼",IF(AND($E117&gt;=AV$3,$E117&lt;=AV$3+6),$A117,"")))</f>
        <v/>
      </c>
      <c r="AW117" s="47" t="str">
        <f aca="false">IF($A117="","",IF(AND(INDEX(工程マスタ!$I$5:$I$154,$A117)="○",$E117&gt;=AW$3,$E117&lt;=AW$3+6),"▼",IF(AND($E117&gt;=AW$3,$E117&lt;=AW$3+6),$A117,"")))</f>
        <v/>
      </c>
      <c r="AX117" s="47" t="str">
        <f aca="false">IF($A117="","",IF(AND(INDEX(工程マスタ!$I$5:$I$154,$A117)="○",$E117&gt;=AX$3,$E117&lt;=AX$3+6),"▼",IF(AND($E117&gt;=AX$3,$E117&lt;=AX$3+6),$A117,"")))</f>
        <v/>
      </c>
      <c r="AY117" s="47" t="str">
        <f aca="false">IF($A117="","",IF(AND(INDEX(工程マスタ!$I$5:$I$154,$A117)="○",$E117&gt;=AY$3,$E117&lt;=AY$3+6),"▼",IF(AND($E117&gt;=AY$3,$E117&lt;=AY$3+6),$A117,"")))</f>
        <v/>
      </c>
      <c r="AZ117" s="47" t="str">
        <f aca="false">IF($A117="","",IF(AND(INDEX(工程マスタ!$I$5:$I$154,$A117)="○",$E117&gt;=AZ$3,$E117&lt;=AZ$3+6),"▼",IF(AND($E117&gt;=AZ$3,$E117&lt;=AZ$3+6),$A117,"")))</f>
        <v/>
      </c>
      <c r="BA117" s="47" t="str">
        <f aca="false">IF($A117="","",IF(AND(INDEX(工程マスタ!$I$5:$I$154,$A117)="○",$E117&gt;=BA$3,$E117&lt;=BA$3+6),"▼",IF(AND($E117&gt;=BA$3,$E117&lt;=BA$3+6),$A117,"")))</f>
        <v/>
      </c>
      <c r="BB117" s="47" t="str">
        <f aca="false">IF($A117="","",IF(AND(INDEX(工程マスタ!$I$5:$I$154,$A117)="○",$E117&gt;=BB$3,$E117&lt;=BB$3+6),"▼",IF(AND($E117&gt;=BB$3,$E117&lt;=BB$3+6),$A117,"")))</f>
        <v/>
      </c>
      <c r="BC117" s="47" t="str">
        <f aca="false">IF($A117="","",IF(AND(INDEX(工程マスタ!$I$5:$I$154,$A117)="○",$E117&gt;=BC$3,$E117&lt;=BC$3+6),"▼",IF(AND($E117&gt;=BC$3,$E117&lt;=BC$3+6),$A117,"")))</f>
        <v/>
      </c>
      <c r="BD117" s="47" t="str">
        <f aca="false">IF($A117="","",IF(AND(INDEX(工程マスタ!$I$5:$I$154,$A117)="○",$E117&gt;=BD$3,$E117&lt;=BD$3+6),"▼",IF(AND($E117&gt;=BD$3,$E117&lt;=BD$3+6),$A117,"")))</f>
        <v/>
      </c>
      <c r="BE117" s="47" t="str">
        <f aca="false">IF($A117="","",IF(AND(INDEX(工程マスタ!$I$5:$I$154,$A117)="○",$E117&gt;=BE$3,$E117&lt;=BE$3+6),"▼",IF(AND($E117&gt;=BE$3,$E117&lt;=BE$3+6),$A117,"")))</f>
        <v/>
      </c>
      <c r="BF117" s="47" t="str">
        <f aca="false">IF($A117="","",IF(AND(INDEX(工程マスタ!$I$5:$I$154,$A117)="○",$E117&gt;=BF$3,$E117&lt;=BF$3+6),"▼",IF(AND($E117&gt;=BF$3,$E117&lt;=BF$3+6),$A117,"")))</f>
        <v/>
      </c>
      <c r="BG117" s="47" t="str">
        <f aca="false">IF($A117="","",IF(AND(INDEX(工程マスタ!$I$5:$I$154,$A117)="○",$E117&gt;=BG$3,$E117&lt;=BG$3+6),"▼",IF(AND($E117&gt;=BG$3,$E117&lt;=BG$3+6),$A117,"")))</f>
        <v/>
      </c>
      <c r="BH117" s="47" t="str">
        <f aca="false">IF($A117="","",IF(AND(INDEX(工程マスタ!$I$5:$I$154,$A117)="○",$E117&gt;=BH$3,$E117&lt;=BH$3+6),"▼",IF(AND($E117&gt;=BH$3,$E117&lt;=BH$3+6),$A117,"")))</f>
        <v/>
      </c>
      <c r="BI117" s="47" t="str">
        <f aca="false">IF($A117="","",IF(AND(INDEX(工程マスタ!$I$5:$I$154,$A117)="○",$E117&gt;=BI$3,$E117&lt;=BI$3+6),"▼",IF(AND($E117&gt;=BI$3,$E117&lt;=BI$3+6),$A117,"")))</f>
        <v/>
      </c>
      <c r="BJ117" s="47" t="str">
        <f aca="false">IF($A117="","",IF(AND(INDEX(工程マスタ!$I$5:$I$154,$A117)="○",$E117&gt;=BJ$3,$E117&lt;=BJ$3+6),"▼",IF(AND($E117&gt;=BJ$3,$E117&lt;=BJ$3+6),$A117,"")))</f>
        <v/>
      </c>
    </row>
    <row r="118" customFormat="false" ht="15" hidden="false" customHeight="false" outlineLevel="0" collapsed="false">
      <c r="A118" s="28" t="str">
        <f aca="false">IF(工程マスタ!$C116="","",工程マスタ!$A116)</f>
        <v/>
      </c>
      <c r="B118" s="46" t="str">
        <f aca="false">IF($A118="","",工程マスタ!$C116)</f>
        <v/>
      </c>
      <c r="C118" s="28" t="str">
        <f aca="false">IF($A118="","",MAX(1,工程マスタ!$G116))</f>
        <v/>
      </c>
      <c r="D118" s="28" t="str">
        <f aca="false">IF($A118="","",_xlfn.TEXTJOIN(",",TRUE(),工程マスタ!$N116:$P116))</f>
        <v/>
      </c>
      <c r="E118" s="29" t="str">
        <f aca="false">IF($A118="","",IF(COUNT(工程マスタ!$N116:$P116)=0,設定!$B$8,MAX(IF(工程マスタ!$N116="",0,INDEX($F$7:$F$156,工程マスタ!$N116)),IF(工程マスタ!$O116="",0,INDEX($F$7:$F$156,工程マスタ!$O116)),IF(工程マスタ!$P116="",0,INDEX($F$7:$F$156,工程マスタ!$P116)))+1))</f>
        <v/>
      </c>
      <c r="F118" s="29" t="str">
        <f aca="false">IF($A118="","",$E118+$C118-1)</f>
        <v/>
      </c>
      <c r="G118" s="29" t="str">
        <f aca="false">IF($A118="","",$H118-$C118+1)</f>
        <v/>
      </c>
      <c r="H118" s="29" t="str">
        <f aca="false" t="array" ref="H118:H118">IF($A118="","",IF(SUMPRODUCT((工程マスタ!$N$117:$N$154=$A118)*1)+SUMPRODUCT((工程マスタ!$O$117:$O$154=$A118)*1)+SUMPRODUCT((工程マスタ!$P$117:$P$154=$A118)*1)=0,MAX($F$7:$F$156),MIN(IF((工程マスタ!$N$117:$N$154=$A118)+(工程マスタ!$O$117:$O$154=$A118)+(工程マスタ!$P$117:$P$154=$A118),$G119:$G$156))-1))</f>
        <v/>
      </c>
      <c r="I118" s="28" t="str">
        <f aca="false">IF($A118="","",$G118-$E118)</f>
        <v/>
      </c>
      <c r="J118" s="28" t="str">
        <f aca="false">IF($A118="","",IF($I118&lt;=0,"●",""))</f>
        <v/>
      </c>
      <c r="K118" s="47" t="str">
        <f aca="false">IF($A118="","",IF(AND(INDEX(工程マスタ!$I$5:$I$154,$A118)="○",$E118&gt;=K$3,$E118&lt;=K$3+6),"▼",IF(AND($E118&gt;=K$3,$E118&lt;=K$3+6),$A118,"")))</f>
        <v/>
      </c>
      <c r="L118" s="47" t="str">
        <f aca="false">IF($A118="","",IF(AND(INDEX(工程マスタ!$I$5:$I$154,$A118)="○",$E118&gt;=L$3,$E118&lt;=L$3+6),"▼",IF(AND($E118&gt;=L$3,$E118&lt;=L$3+6),$A118,"")))</f>
        <v/>
      </c>
      <c r="M118" s="47" t="str">
        <f aca="false">IF($A118="","",IF(AND(INDEX(工程マスタ!$I$5:$I$154,$A118)="○",$E118&gt;=M$3,$E118&lt;=M$3+6),"▼",IF(AND($E118&gt;=M$3,$E118&lt;=M$3+6),$A118,"")))</f>
        <v/>
      </c>
      <c r="N118" s="47" t="str">
        <f aca="false">IF($A118="","",IF(AND(INDEX(工程マスタ!$I$5:$I$154,$A118)="○",$E118&gt;=N$3,$E118&lt;=N$3+6),"▼",IF(AND($E118&gt;=N$3,$E118&lt;=N$3+6),$A118,"")))</f>
        <v/>
      </c>
      <c r="O118" s="47" t="str">
        <f aca="false">IF($A118="","",IF(AND(INDEX(工程マスタ!$I$5:$I$154,$A118)="○",$E118&gt;=O$3,$E118&lt;=O$3+6),"▼",IF(AND($E118&gt;=O$3,$E118&lt;=O$3+6),$A118,"")))</f>
        <v/>
      </c>
      <c r="P118" s="47" t="str">
        <f aca="false">IF($A118="","",IF(AND(INDEX(工程マスタ!$I$5:$I$154,$A118)="○",$E118&gt;=P$3,$E118&lt;=P$3+6),"▼",IF(AND($E118&gt;=P$3,$E118&lt;=P$3+6),$A118,"")))</f>
        <v/>
      </c>
      <c r="Q118" s="47" t="str">
        <f aca="false">IF($A118="","",IF(AND(INDEX(工程マスタ!$I$5:$I$154,$A118)="○",$E118&gt;=Q$3,$E118&lt;=Q$3+6),"▼",IF(AND($E118&gt;=Q$3,$E118&lt;=Q$3+6),$A118,"")))</f>
        <v/>
      </c>
      <c r="R118" s="47" t="str">
        <f aca="false">IF($A118="","",IF(AND(INDEX(工程マスタ!$I$5:$I$154,$A118)="○",$E118&gt;=R$3,$E118&lt;=R$3+6),"▼",IF(AND($E118&gt;=R$3,$E118&lt;=R$3+6),$A118,"")))</f>
        <v/>
      </c>
      <c r="S118" s="47" t="str">
        <f aca="false">IF($A118="","",IF(AND(INDEX(工程マスタ!$I$5:$I$154,$A118)="○",$E118&gt;=S$3,$E118&lt;=S$3+6),"▼",IF(AND($E118&gt;=S$3,$E118&lt;=S$3+6),$A118,"")))</f>
        <v/>
      </c>
      <c r="T118" s="47" t="str">
        <f aca="false">IF($A118="","",IF(AND(INDEX(工程マスタ!$I$5:$I$154,$A118)="○",$E118&gt;=T$3,$E118&lt;=T$3+6),"▼",IF(AND($E118&gt;=T$3,$E118&lt;=T$3+6),$A118,"")))</f>
        <v/>
      </c>
      <c r="U118" s="47" t="str">
        <f aca="false">IF($A118="","",IF(AND(INDEX(工程マスタ!$I$5:$I$154,$A118)="○",$E118&gt;=U$3,$E118&lt;=U$3+6),"▼",IF(AND($E118&gt;=U$3,$E118&lt;=U$3+6),$A118,"")))</f>
        <v/>
      </c>
      <c r="V118" s="47" t="str">
        <f aca="false">IF($A118="","",IF(AND(INDEX(工程マスタ!$I$5:$I$154,$A118)="○",$E118&gt;=V$3,$E118&lt;=V$3+6),"▼",IF(AND($E118&gt;=V$3,$E118&lt;=V$3+6),$A118,"")))</f>
        <v/>
      </c>
      <c r="W118" s="47" t="str">
        <f aca="false">IF($A118="","",IF(AND(INDEX(工程マスタ!$I$5:$I$154,$A118)="○",$E118&gt;=W$3,$E118&lt;=W$3+6),"▼",IF(AND($E118&gt;=W$3,$E118&lt;=W$3+6),$A118,"")))</f>
        <v/>
      </c>
      <c r="X118" s="47" t="str">
        <f aca="false">IF($A118="","",IF(AND(INDEX(工程マスタ!$I$5:$I$154,$A118)="○",$E118&gt;=X$3,$E118&lt;=X$3+6),"▼",IF(AND($E118&gt;=X$3,$E118&lt;=X$3+6),$A118,"")))</f>
        <v/>
      </c>
      <c r="Y118" s="47" t="str">
        <f aca="false">IF($A118="","",IF(AND(INDEX(工程マスタ!$I$5:$I$154,$A118)="○",$E118&gt;=Y$3,$E118&lt;=Y$3+6),"▼",IF(AND($E118&gt;=Y$3,$E118&lt;=Y$3+6),$A118,"")))</f>
        <v/>
      </c>
      <c r="Z118" s="47" t="str">
        <f aca="false">IF($A118="","",IF(AND(INDEX(工程マスタ!$I$5:$I$154,$A118)="○",$E118&gt;=Z$3,$E118&lt;=Z$3+6),"▼",IF(AND($E118&gt;=Z$3,$E118&lt;=Z$3+6),$A118,"")))</f>
        <v/>
      </c>
      <c r="AA118" s="47" t="str">
        <f aca="false">IF($A118="","",IF(AND(INDEX(工程マスタ!$I$5:$I$154,$A118)="○",$E118&gt;=AA$3,$E118&lt;=AA$3+6),"▼",IF(AND($E118&gt;=AA$3,$E118&lt;=AA$3+6),$A118,"")))</f>
        <v/>
      </c>
      <c r="AB118" s="47" t="str">
        <f aca="false">IF($A118="","",IF(AND(INDEX(工程マスタ!$I$5:$I$154,$A118)="○",$E118&gt;=AB$3,$E118&lt;=AB$3+6),"▼",IF(AND($E118&gt;=AB$3,$E118&lt;=AB$3+6),$A118,"")))</f>
        <v/>
      </c>
      <c r="AC118" s="47" t="str">
        <f aca="false">IF($A118="","",IF(AND(INDEX(工程マスタ!$I$5:$I$154,$A118)="○",$E118&gt;=AC$3,$E118&lt;=AC$3+6),"▼",IF(AND($E118&gt;=AC$3,$E118&lt;=AC$3+6),$A118,"")))</f>
        <v/>
      </c>
      <c r="AD118" s="47" t="str">
        <f aca="false">IF($A118="","",IF(AND(INDEX(工程マスタ!$I$5:$I$154,$A118)="○",$E118&gt;=AD$3,$E118&lt;=AD$3+6),"▼",IF(AND($E118&gt;=AD$3,$E118&lt;=AD$3+6),$A118,"")))</f>
        <v/>
      </c>
      <c r="AE118" s="47" t="str">
        <f aca="false">IF($A118="","",IF(AND(INDEX(工程マスタ!$I$5:$I$154,$A118)="○",$E118&gt;=AE$3,$E118&lt;=AE$3+6),"▼",IF(AND($E118&gt;=AE$3,$E118&lt;=AE$3+6),$A118,"")))</f>
        <v/>
      </c>
      <c r="AF118" s="47" t="str">
        <f aca="false">IF($A118="","",IF(AND(INDEX(工程マスタ!$I$5:$I$154,$A118)="○",$E118&gt;=AF$3,$E118&lt;=AF$3+6),"▼",IF(AND($E118&gt;=AF$3,$E118&lt;=AF$3+6),$A118,"")))</f>
        <v/>
      </c>
      <c r="AG118" s="47" t="str">
        <f aca="false">IF($A118="","",IF(AND(INDEX(工程マスタ!$I$5:$I$154,$A118)="○",$E118&gt;=AG$3,$E118&lt;=AG$3+6),"▼",IF(AND($E118&gt;=AG$3,$E118&lt;=AG$3+6),$A118,"")))</f>
        <v/>
      </c>
      <c r="AH118" s="47" t="str">
        <f aca="false">IF($A118="","",IF(AND(INDEX(工程マスタ!$I$5:$I$154,$A118)="○",$E118&gt;=AH$3,$E118&lt;=AH$3+6),"▼",IF(AND($E118&gt;=AH$3,$E118&lt;=AH$3+6),$A118,"")))</f>
        <v/>
      </c>
      <c r="AI118" s="47" t="str">
        <f aca="false">IF($A118="","",IF(AND(INDEX(工程マスタ!$I$5:$I$154,$A118)="○",$E118&gt;=AI$3,$E118&lt;=AI$3+6),"▼",IF(AND($E118&gt;=AI$3,$E118&lt;=AI$3+6),$A118,"")))</f>
        <v/>
      </c>
      <c r="AJ118" s="47" t="str">
        <f aca="false">IF($A118="","",IF(AND(INDEX(工程マスタ!$I$5:$I$154,$A118)="○",$E118&gt;=AJ$3,$E118&lt;=AJ$3+6),"▼",IF(AND($E118&gt;=AJ$3,$E118&lt;=AJ$3+6),$A118,"")))</f>
        <v/>
      </c>
      <c r="AK118" s="47" t="str">
        <f aca="false">IF($A118="","",IF(AND(INDEX(工程マスタ!$I$5:$I$154,$A118)="○",$E118&gt;=AK$3,$E118&lt;=AK$3+6),"▼",IF(AND($E118&gt;=AK$3,$E118&lt;=AK$3+6),$A118,"")))</f>
        <v/>
      </c>
      <c r="AL118" s="47" t="str">
        <f aca="false">IF($A118="","",IF(AND(INDEX(工程マスタ!$I$5:$I$154,$A118)="○",$E118&gt;=AL$3,$E118&lt;=AL$3+6),"▼",IF(AND($E118&gt;=AL$3,$E118&lt;=AL$3+6),$A118,"")))</f>
        <v/>
      </c>
      <c r="AM118" s="47" t="str">
        <f aca="false">IF($A118="","",IF(AND(INDEX(工程マスタ!$I$5:$I$154,$A118)="○",$E118&gt;=AM$3,$E118&lt;=AM$3+6),"▼",IF(AND($E118&gt;=AM$3,$E118&lt;=AM$3+6),$A118,"")))</f>
        <v/>
      </c>
      <c r="AN118" s="47" t="str">
        <f aca="false">IF($A118="","",IF(AND(INDEX(工程マスタ!$I$5:$I$154,$A118)="○",$E118&gt;=AN$3,$E118&lt;=AN$3+6),"▼",IF(AND($E118&gt;=AN$3,$E118&lt;=AN$3+6),$A118,"")))</f>
        <v/>
      </c>
      <c r="AO118" s="47" t="str">
        <f aca="false">IF($A118="","",IF(AND(INDEX(工程マスタ!$I$5:$I$154,$A118)="○",$E118&gt;=AO$3,$E118&lt;=AO$3+6),"▼",IF(AND($E118&gt;=AO$3,$E118&lt;=AO$3+6),$A118,"")))</f>
        <v/>
      </c>
      <c r="AP118" s="47" t="str">
        <f aca="false">IF($A118="","",IF(AND(INDEX(工程マスタ!$I$5:$I$154,$A118)="○",$E118&gt;=AP$3,$E118&lt;=AP$3+6),"▼",IF(AND($E118&gt;=AP$3,$E118&lt;=AP$3+6),$A118,"")))</f>
        <v/>
      </c>
      <c r="AQ118" s="47" t="str">
        <f aca="false">IF($A118="","",IF(AND(INDEX(工程マスタ!$I$5:$I$154,$A118)="○",$E118&gt;=AQ$3,$E118&lt;=AQ$3+6),"▼",IF(AND($E118&gt;=AQ$3,$E118&lt;=AQ$3+6),$A118,"")))</f>
        <v/>
      </c>
      <c r="AR118" s="47" t="str">
        <f aca="false">IF($A118="","",IF(AND(INDEX(工程マスタ!$I$5:$I$154,$A118)="○",$E118&gt;=AR$3,$E118&lt;=AR$3+6),"▼",IF(AND($E118&gt;=AR$3,$E118&lt;=AR$3+6),$A118,"")))</f>
        <v/>
      </c>
      <c r="AS118" s="47" t="str">
        <f aca="false">IF($A118="","",IF(AND(INDEX(工程マスタ!$I$5:$I$154,$A118)="○",$E118&gt;=AS$3,$E118&lt;=AS$3+6),"▼",IF(AND($E118&gt;=AS$3,$E118&lt;=AS$3+6),$A118,"")))</f>
        <v/>
      </c>
      <c r="AT118" s="47" t="str">
        <f aca="false">IF($A118="","",IF(AND(INDEX(工程マスタ!$I$5:$I$154,$A118)="○",$E118&gt;=AT$3,$E118&lt;=AT$3+6),"▼",IF(AND($E118&gt;=AT$3,$E118&lt;=AT$3+6),$A118,"")))</f>
        <v/>
      </c>
      <c r="AU118" s="47" t="str">
        <f aca="false">IF($A118="","",IF(AND(INDEX(工程マスタ!$I$5:$I$154,$A118)="○",$E118&gt;=AU$3,$E118&lt;=AU$3+6),"▼",IF(AND($E118&gt;=AU$3,$E118&lt;=AU$3+6),$A118,"")))</f>
        <v/>
      </c>
      <c r="AV118" s="47" t="str">
        <f aca="false">IF($A118="","",IF(AND(INDEX(工程マスタ!$I$5:$I$154,$A118)="○",$E118&gt;=AV$3,$E118&lt;=AV$3+6),"▼",IF(AND($E118&gt;=AV$3,$E118&lt;=AV$3+6),$A118,"")))</f>
        <v/>
      </c>
      <c r="AW118" s="47" t="str">
        <f aca="false">IF($A118="","",IF(AND(INDEX(工程マスタ!$I$5:$I$154,$A118)="○",$E118&gt;=AW$3,$E118&lt;=AW$3+6),"▼",IF(AND($E118&gt;=AW$3,$E118&lt;=AW$3+6),$A118,"")))</f>
        <v/>
      </c>
      <c r="AX118" s="47" t="str">
        <f aca="false">IF($A118="","",IF(AND(INDEX(工程マスタ!$I$5:$I$154,$A118)="○",$E118&gt;=AX$3,$E118&lt;=AX$3+6),"▼",IF(AND($E118&gt;=AX$3,$E118&lt;=AX$3+6),$A118,"")))</f>
        <v/>
      </c>
      <c r="AY118" s="47" t="str">
        <f aca="false">IF($A118="","",IF(AND(INDEX(工程マスタ!$I$5:$I$154,$A118)="○",$E118&gt;=AY$3,$E118&lt;=AY$3+6),"▼",IF(AND($E118&gt;=AY$3,$E118&lt;=AY$3+6),$A118,"")))</f>
        <v/>
      </c>
      <c r="AZ118" s="47" t="str">
        <f aca="false">IF($A118="","",IF(AND(INDEX(工程マスタ!$I$5:$I$154,$A118)="○",$E118&gt;=AZ$3,$E118&lt;=AZ$3+6),"▼",IF(AND($E118&gt;=AZ$3,$E118&lt;=AZ$3+6),$A118,"")))</f>
        <v/>
      </c>
      <c r="BA118" s="47" t="str">
        <f aca="false">IF($A118="","",IF(AND(INDEX(工程マスタ!$I$5:$I$154,$A118)="○",$E118&gt;=BA$3,$E118&lt;=BA$3+6),"▼",IF(AND($E118&gt;=BA$3,$E118&lt;=BA$3+6),$A118,"")))</f>
        <v/>
      </c>
      <c r="BB118" s="47" t="str">
        <f aca="false">IF($A118="","",IF(AND(INDEX(工程マスタ!$I$5:$I$154,$A118)="○",$E118&gt;=BB$3,$E118&lt;=BB$3+6),"▼",IF(AND($E118&gt;=BB$3,$E118&lt;=BB$3+6),$A118,"")))</f>
        <v/>
      </c>
      <c r="BC118" s="47" t="str">
        <f aca="false">IF($A118="","",IF(AND(INDEX(工程マスタ!$I$5:$I$154,$A118)="○",$E118&gt;=BC$3,$E118&lt;=BC$3+6),"▼",IF(AND($E118&gt;=BC$3,$E118&lt;=BC$3+6),$A118,"")))</f>
        <v/>
      </c>
      <c r="BD118" s="47" t="str">
        <f aca="false">IF($A118="","",IF(AND(INDEX(工程マスタ!$I$5:$I$154,$A118)="○",$E118&gt;=BD$3,$E118&lt;=BD$3+6),"▼",IF(AND($E118&gt;=BD$3,$E118&lt;=BD$3+6),$A118,"")))</f>
        <v/>
      </c>
      <c r="BE118" s="47" t="str">
        <f aca="false">IF($A118="","",IF(AND(INDEX(工程マスタ!$I$5:$I$154,$A118)="○",$E118&gt;=BE$3,$E118&lt;=BE$3+6),"▼",IF(AND($E118&gt;=BE$3,$E118&lt;=BE$3+6),$A118,"")))</f>
        <v/>
      </c>
      <c r="BF118" s="47" t="str">
        <f aca="false">IF($A118="","",IF(AND(INDEX(工程マスタ!$I$5:$I$154,$A118)="○",$E118&gt;=BF$3,$E118&lt;=BF$3+6),"▼",IF(AND($E118&gt;=BF$3,$E118&lt;=BF$3+6),$A118,"")))</f>
        <v/>
      </c>
      <c r="BG118" s="47" t="str">
        <f aca="false">IF($A118="","",IF(AND(INDEX(工程マスタ!$I$5:$I$154,$A118)="○",$E118&gt;=BG$3,$E118&lt;=BG$3+6),"▼",IF(AND($E118&gt;=BG$3,$E118&lt;=BG$3+6),$A118,"")))</f>
        <v/>
      </c>
      <c r="BH118" s="47" t="str">
        <f aca="false">IF($A118="","",IF(AND(INDEX(工程マスタ!$I$5:$I$154,$A118)="○",$E118&gt;=BH$3,$E118&lt;=BH$3+6),"▼",IF(AND($E118&gt;=BH$3,$E118&lt;=BH$3+6),$A118,"")))</f>
        <v/>
      </c>
      <c r="BI118" s="47" t="str">
        <f aca="false">IF($A118="","",IF(AND(INDEX(工程マスタ!$I$5:$I$154,$A118)="○",$E118&gt;=BI$3,$E118&lt;=BI$3+6),"▼",IF(AND($E118&gt;=BI$3,$E118&lt;=BI$3+6),$A118,"")))</f>
        <v/>
      </c>
      <c r="BJ118" s="47" t="str">
        <f aca="false">IF($A118="","",IF(AND(INDEX(工程マスタ!$I$5:$I$154,$A118)="○",$E118&gt;=BJ$3,$E118&lt;=BJ$3+6),"▼",IF(AND($E118&gt;=BJ$3,$E118&lt;=BJ$3+6),$A118,"")))</f>
        <v/>
      </c>
    </row>
    <row r="119" customFormat="false" ht="15" hidden="false" customHeight="false" outlineLevel="0" collapsed="false">
      <c r="A119" s="28" t="str">
        <f aca="false">IF(工程マスタ!$C117="","",工程マスタ!$A117)</f>
        <v/>
      </c>
      <c r="B119" s="46" t="str">
        <f aca="false">IF($A119="","",工程マスタ!$C117)</f>
        <v/>
      </c>
      <c r="C119" s="28" t="str">
        <f aca="false">IF($A119="","",MAX(1,工程マスタ!$G117))</f>
        <v/>
      </c>
      <c r="D119" s="28" t="str">
        <f aca="false">IF($A119="","",_xlfn.TEXTJOIN(",",TRUE(),工程マスタ!$N117:$P117))</f>
        <v/>
      </c>
      <c r="E119" s="29" t="str">
        <f aca="false">IF($A119="","",IF(COUNT(工程マスタ!$N117:$P117)=0,設定!$B$8,MAX(IF(工程マスタ!$N117="",0,INDEX($F$7:$F$156,工程マスタ!$N117)),IF(工程マスタ!$O117="",0,INDEX($F$7:$F$156,工程マスタ!$O117)),IF(工程マスタ!$P117="",0,INDEX($F$7:$F$156,工程マスタ!$P117)))+1))</f>
        <v/>
      </c>
      <c r="F119" s="29" t="str">
        <f aca="false">IF($A119="","",$E119+$C119-1)</f>
        <v/>
      </c>
      <c r="G119" s="29" t="str">
        <f aca="false">IF($A119="","",$H119-$C119+1)</f>
        <v/>
      </c>
      <c r="H119" s="29" t="str">
        <f aca="false" t="array" ref="H119:H119">IF($A119="","",IF(SUMPRODUCT((工程マスタ!$N$118:$N$154=$A119)*1)+SUMPRODUCT((工程マスタ!$O$118:$O$154=$A119)*1)+SUMPRODUCT((工程マスタ!$P$118:$P$154=$A119)*1)=0,MAX($F$7:$F$156),MIN(IF((工程マスタ!$N$118:$N$154=$A119)+(工程マスタ!$O$118:$O$154=$A119)+(工程マスタ!$P$118:$P$154=$A119),$G120:$G$156))-1))</f>
        <v/>
      </c>
      <c r="I119" s="28" t="str">
        <f aca="false">IF($A119="","",$G119-$E119)</f>
        <v/>
      </c>
      <c r="J119" s="28" t="str">
        <f aca="false">IF($A119="","",IF($I119&lt;=0,"●",""))</f>
        <v/>
      </c>
      <c r="K119" s="47" t="str">
        <f aca="false">IF($A119="","",IF(AND(INDEX(工程マスタ!$I$5:$I$154,$A119)="○",$E119&gt;=K$3,$E119&lt;=K$3+6),"▼",IF(AND($E119&gt;=K$3,$E119&lt;=K$3+6),$A119,"")))</f>
        <v/>
      </c>
      <c r="L119" s="47" t="str">
        <f aca="false">IF($A119="","",IF(AND(INDEX(工程マスタ!$I$5:$I$154,$A119)="○",$E119&gt;=L$3,$E119&lt;=L$3+6),"▼",IF(AND($E119&gt;=L$3,$E119&lt;=L$3+6),$A119,"")))</f>
        <v/>
      </c>
      <c r="M119" s="47" t="str">
        <f aca="false">IF($A119="","",IF(AND(INDEX(工程マスタ!$I$5:$I$154,$A119)="○",$E119&gt;=M$3,$E119&lt;=M$3+6),"▼",IF(AND($E119&gt;=M$3,$E119&lt;=M$3+6),$A119,"")))</f>
        <v/>
      </c>
      <c r="N119" s="47" t="str">
        <f aca="false">IF($A119="","",IF(AND(INDEX(工程マスタ!$I$5:$I$154,$A119)="○",$E119&gt;=N$3,$E119&lt;=N$3+6),"▼",IF(AND($E119&gt;=N$3,$E119&lt;=N$3+6),$A119,"")))</f>
        <v/>
      </c>
      <c r="O119" s="47" t="str">
        <f aca="false">IF($A119="","",IF(AND(INDEX(工程マスタ!$I$5:$I$154,$A119)="○",$E119&gt;=O$3,$E119&lt;=O$3+6),"▼",IF(AND($E119&gt;=O$3,$E119&lt;=O$3+6),$A119,"")))</f>
        <v/>
      </c>
      <c r="P119" s="47" t="str">
        <f aca="false">IF($A119="","",IF(AND(INDEX(工程マスタ!$I$5:$I$154,$A119)="○",$E119&gt;=P$3,$E119&lt;=P$3+6),"▼",IF(AND($E119&gt;=P$3,$E119&lt;=P$3+6),$A119,"")))</f>
        <v/>
      </c>
      <c r="Q119" s="47" t="str">
        <f aca="false">IF($A119="","",IF(AND(INDEX(工程マスタ!$I$5:$I$154,$A119)="○",$E119&gt;=Q$3,$E119&lt;=Q$3+6),"▼",IF(AND($E119&gt;=Q$3,$E119&lt;=Q$3+6),$A119,"")))</f>
        <v/>
      </c>
      <c r="R119" s="47" t="str">
        <f aca="false">IF($A119="","",IF(AND(INDEX(工程マスタ!$I$5:$I$154,$A119)="○",$E119&gt;=R$3,$E119&lt;=R$3+6),"▼",IF(AND($E119&gt;=R$3,$E119&lt;=R$3+6),$A119,"")))</f>
        <v/>
      </c>
      <c r="S119" s="47" t="str">
        <f aca="false">IF($A119="","",IF(AND(INDEX(工程マスタ!$I$5:$I$154,$A119)="○",$E119&gt;=S$3,$E119&lt;=S$3+6),"▼",IF(AND($E119&gt;=S$3,$E119&lt;=S$3+6),$A119,"")))</f>
        <v/>
      </c>
      <c r="T119" s="47" t="str">
        <f aca="false">IF($A119="","",IF(AND(INDEX(工程マスタ!$I$5:$I$154,$A119)="○",$E119&gt;=T$3,$E119&lt;=T$3+6),"▼",IF(AND($E119&gt;=T$3,$E119&lt;=T$3+6),$A119,"")))</f>
        <v/>
      </c>
      <c r="U119" s="47" t="str">
        <f aca="false">IF($A119="","",IF(AND(INDEX(工程マスタ!$I$5:$I$154,$A119)="○",$E119&gt;=U$3,$E119&lt;=U$3+6),"▼",IF(AND($E119&gt;=U$3,$E119&lt;=U$3+6),$A119,"")))</f>
        <v/>
      </c>
      <c r="V119" s="47" t="str">
        <f aca="false">IF($A119="","",IF(AND(INDEX(工程マスタ!$I$5:$I$154,$A119)="○",$E119&gt;=V$3,$E119&lt;=V$3+6),"▼",IF(AND($E119&gt;=V$3,$E119&lt;=V$3+6),$A119,"")))</f>
        <v/>
      </c>
      <c r="W119" s="47" t="str">
        <f aca="false">IF($A119="","",IF(AND(INDEX(工程マスタ!$I$5:$I$154,$A119)="○",$E119&gt;=W$3,$E119&lt;=W$3+6),"▼",IF(AND($E119&gt;=W$3,$E119&lt;=W$3+6),$A119,"")))</f>
        <v/>
      </c>
      <c r="X119" s="47" t="str">
        <f aca="false">IF($A119="","",IF(AND(INDEX(工程マスタ!$I$5:$I$154,$A119)="○",$E119&gt;=X$3,$E119&lt;=X$3+6),"▼",IF(AND($E119&gt;=X$3,$E119&lt;=X$3+6),$A119,"")))</f>
        <v/>
      </c>
      <c r="Y119" s="47" t="str">
        <f aca="false">IF($A119="","",IF(AND(INDEX(工程マスタ!$I$5:$I$154,$A119)="○",$E119&gt;=Y$3,$E119&lt;=Y$3+6),"▼",IF(AND($E119&gt;=Y$3,$E119&lt;=Y$3+6),$A119,"")))</f>
        <v/>
      </c>
      <c r="Z119" s="47" t="str">
        <f aca="false">IF($A119="","",IF(AND(INDEX(工程マスタ!$I$5:$I$154,$A119)="○",$E119&gt;=Z$3,$E119&lt;=Z$3+6),"▼",IF(AND($E119&gt;=Z$3,$E119&lt;=Z$3+6),$A119,"")))</f>
        <v/>
      </c>
      <c r="AA119" s="47" t="str">
        <f aca="false">IF($A119="","",IF(AND(INDEX(工程マスタ!$I$5:$I$154,$A119)="○",$E119&gt;=AA$3,$E119&lt;=AA$3+6),"▼",IF(AND($E119&gt;=AA$3,$E119&lt;=AA$3+6),$A119,"")))</f>
        <v/>
      </c>
      <c r="AB119" s="47" t="str">
        <f aca="false">IF($A119="","",IF(AND(INDEX(工程マスタ!$I$5:$I$154,$A119)="○",$E119&gt;=AB$3,$E119&lt;=AB$3+6),"▼",IF(AND($E119&gt;=AB$3,$E119&lt;=AB$3+6),$A119,"")))</f>
        <v/>
      </c>
      <c r="AC119" s="47" t="str">
        <f aca="false">IF($A119="","",IF(AND(INDEX(工程マスタ!$I$5:$I$154,$A119)="○",$E119&gt;=AC$3,$E119&lt;=AC$3+6),"▼",IF(AND($E119&gt;=AC$3,$E119&lt;=AC$3+6),$A119,"")))</f>
        <v/>
      </c>
      <c r="AD119" s="47" t="str">
        <f aca="false">IF($A119="","",IF(AND(INDEX(工程マスタ!$I$5:$I$154,$A119)="○",$E119&gt;=AD$3,$E119&lt;=AD$3+6),"▼",IF(AND($E119&gt;=AD$3,$E119&lt;=AD$3+6),$A119,"")))</f>
        <v/>
      </c>
      <c r="AE119" s="47" t="str">
        <f aca="false">IF($A119="","",IF(AND(INDEX(工程マスタ!$I$5:$I$154,$A119)="○",$E119&gt;=AE$3,$E119&lt;=AE$3+6),"▼",IF(AND($E119&gt;=AE$3,$E119&lt;=AE$3+6),$A119,"")))</f>
        <v/>
      </c>
      <c r="AF119" s="47" t="str">
        <f aca="false">IF($A119="","",IF(AND(INDEX(工程マスタ!$I$5:$I$154,$A119)="○",$E119&gt;=AF$3,$E119&lt;=AF$3+6),"▼",IF(AND($E119&gt;=AF$3,$E119&lt;=AF$3+6),$A119,"")))</f>
        <v/>
      </c>
      <c r="AG119" s="47" t="str">
        <f aca="false">IF($A119="","",IF(AND(INDEX(工程マスタ!$I$5:$I$154,$A119)="○",$E119&gt;=AG$3,$E119&lt;=AG$3+6),"▼",IF(AND($E119&gt;=AG$3,$E119&lt;=AG$3+6),$A119,"")))</f>
        <v/>
      </c>
      <c r="AH119" s="47" t="str">
        <f aca="false">IF($A119="","",IF(AND(INDEX(工程マスタ!$I$5:$I$154,$A119)="○",$E119&gt;=AH$3,$E119&lt;=AH$3+6),"▼",IF(AND($E119&gt;=AH$3,$E119&lt;=AH$3+6),$A119,"")))</f>
        <v/>
      </c>
      <c r="AI119" s="47" t="str">
        <f aca="false">IF($A119="","",IF(AND(INDEX(工程マスタ!$I$5:$I$154,$A119)="○",$E119&gt;=AI$3,$E119&lt;=AI$3+6),"▼",IF(AND($E119&gt;=AI$3,$E119&lt;=AI$3+6),$A119,"")))</f>
        <v/>
      </c>
      <c r="AJ119" s="47" t="str">
        <f aca="false">IF($A119="","",IF(AND(INDEX(工程マスタ!$I$5:$I$154,$A119)="○",$E119&gt;=AJ$3,$E119&lt;=AJ$3+6),"▼",IF(AND($E119&gt;=AJ$3,$E119&lt;=AJ$3+6),$A119,"")))</f>
        <v/>
      </c>
      <c r="AK119" s="47" t="str">
        <f aca="false">IF($A119="","",IF(AND(INDEX(工程マスタ!$I$5:$I$154,$A119)="○",$E119&gt;=AK$3,$E119&lt;=AK$3+6),"▼",IF(AND($E119&gt;=AK$3,$E119&lt;=AK$3+6),$A119,"")))</f>
        <v/>
      </c>
      <c r="AL119" s="47" t="str">
        <f aca="false">IF($A119="","",IF(AND(INDEX(工程マスタ!$I$5:$I$154,$A119)="○",$E119&gt;=AL$3,$E119&lt;=AL$3+6),"▼",IF(AND($E119&gt;=AL$3,$E119&lt;=AL$3+6),$A119,"")))</f>
        <v/>
      </c>
      <c r="AM119" s="47" t="str">
        <f aca="false">IF($A119="","",IF(AND(INDEX(工程マスタ!$I$5:$I$154,$A119)="○",$E119&gt;=AM$3,$E119&lt;=AM$3+6),"▼",IF(AND($E119&gt;=AM$3,$E119&lt;=AM$3+6),$A119,"")))</f>
        <v/>
      </c>
      <c r="AN119" s="47" t="str">
        <f aca="false">IF($A119="","",IF(AND(INDEX(工程マスタ!$I$5:$I$154,$A119)="○",$E119&gt;=AN$3,$E119&lt;=AN$3+6),"▼",IF(AND($E119&gt;=AN$3,$E119&lt;=AN$3+6),$A119,"")))</f>
        <v/>
      </c>
      <c r="AO119" s="47" t="str">
        <f aca="false">IF($A119="","",IF(AND(INDEX(工程マスタ!$I$5:$I$154,$A119)="○",$E119&gt;=AO$3,$E119&lt;=AO$3+6),"▼",IF(AND($E119&gt;=AO$3,$E119&lt;=AO$3+6),$A119,"")))</f>
        <v/>
      </c>
      <c r="AP119" s="47" t="str">
        <f aca="false">IF($A119="","",IF(AND(INDEX(工程マスタ!$I$5:$I$154,$A119)="○",$E119&gt;=AP$3,$E119&lt;=AP$3+6),"▼",IF(AND($E119&gt;=AP$3,$E119&lt;=AP$3+6),$A119,"")))</f>
        <v/>
      </c>
      <c r="AQ119" s="47" t="str">
        <f aca="false">IF($A119="","",IF(AND(INDEX(工程マスタ!$I$5:$I$154,$A119)="○",$E119&gt;=AQ$3,$E119&lt;=AQ$3+6),"▼",IF(AND($E119&gt;=AQ$3,$E119&lt;=AQ$3+6),$A119,"")))</f>
        <v/>
      </c>
      <c r="AR119" s="47" t="str">
        <f aca="false">IF($A119="","",IF(AND(INDEX(工程マスタ!$I$5:$I$154,$A119)="○",$E119&gt;=AR$3,$E119&lt;=AR$3+6),"▼",IF(AND($E119&gt;=AR$3,$E119&lt;=AR$3+6),$A119,"")))</f>
        <v/>
      </c>
      <c r="AS119" s="47" t="str">
        <f aca="false">IF($A119="","",IF(AND(INDEX(工程マスタ!$I$5:$I$154,$A119)="○",$E119&gt;=AS$3,$E119&lt;=AS$3+6),"▼",IF(AND($E119&gt;=AS$3,$E119&lt;=AS$3+6),$A119,"")))</f>
        <v/>
      </c>
      <c r="AT119" s="47" t="str">
        <f aca="false">IF($A119="","",IF(AND(INDEX(工程マスタ!$I$5:$I$154,$A119)="○",$E119&gt;=AT$3,$E119&lt;=AT$3+6),"▼",IF(AND($E119&gt;=AT$3,$E119&lt;=AT$3+6),$A119,"")))</f>
        <v/>
      </c>
      <c r="AU119" s="47" t="str">
        <f aca="false">IF($A119="","",IF(AND(INDEX(工程マスタ!$I$5:$I$154,$A119)="○",$E119&gt;=AU$3,$E119&lt;=AU$3+6),"▼",IF(AND($E119&gt;=AU$3,$E119&lt;=AU$3+6),$A119,"")))</f>
        <v/>
      </c>
      <c r="AV119" s="47" t="str">
        <f aca="false">IF($A119="","",IF(AND(INDEX(工程マスタ!$I$5:$I$154,$A119)="○",$E119&gt;=AV$3,$E119&lt;=AV$3+6),"▼",IF(AND($E119&gt;=AV$3,$E119&lt;=AV$3+6),$A119,"")))</f>
        <v/>
      </c>
      <c r="AW119" s="47" t="str">
        <f aca="false">IF($A119="","",IF(AND(INDEX(工程マスタ!$I$5:$I$154,$A119)="○",$E119&gt;=AW$3,$E119&lt;=AW$3+6),"▼",IF(AND($E119&gt;=AW$3,$E119&lt;=AW$3+6),$A119,"")))</f>
        <v/>
      </c>
      <c r="AX119" s="47" t="str">
        <f aca="false">IF($A119="","",IF(AND(INDEX(工程マスタ!$I$5:$I$154,$A119)="○",$E119&gt;=AX$3,$E119&lt;=AX$3+6),"▼",IF(AND($E119&gt;=AX$3,$E119&lt;=AX$3+6),$A119,"")))</f>
        <v/>
      </c>
      <c r="AY119" s="47" t="str">
        <f aca="false">IF($A119="","",IF(AND(INDEX(工程マスタ!$I$5:$I$154,$A119)="○",$E119&gt;=AY$3,$E119&lt;=AY$3+6),"▼",IF(AND($E119&gt;=AY$3,$E119&lt;=AY$3+6),$A119,"")))</f>
        <v/>
      </c>
      <c r="AZ119" s="47" t="str">
        <f aca="false">IF($A119="","",IF(AND(INDEX(工程マスタ!$I$5:$I$154,$A119)="○",$E119&gt;=AZ$3,$E119&lt;=AZ$3+6),"▼",IF(AND($E119&gt;=AZ$3,$E119&lt;=AZ$3+6),$A119,"")))</f>
        <v/>
      </c>
      <c r="BA119" s="47" t="str">
        <f aca="false">IF($A119="","",IF(AND(INDEX(工程マスタ!$I$5:$I$154,$A119)="○",$E119&gt;=BA$3,$E119&lt;=BA$3+6),"▼",IF(AND($E119&gt;=BA$3,$E119&lt;=BA$3+6),$A119,"")))</f>
        <v/>
      </c>
      <c r="BB119" s="47" t="str">
        <f aca="false">IF($A119="","",IF(AND(INDEX(工程マスタ!$I$5:$I$154,$A119)="○",$E119&gt;=BB$3,$E119&lt;=BB$3+6),"▼",IF(AND($E119&gt;=BB$3,$E119&lt;=BB$3+6),$A119,"")))</f>
        <v/>
      </c>
      <c r="BC119" s="47" t="str">
        <f aca="false">IF($A119="","",IF(AND(INDEX(工程マスタ!$I$5:$I$154,$A119)="○",$E119&gt;=BC$3,$E119&lt;=BC$3+6),"▼",IF(AND($E119&gt;=BC$3,$E119&lt;=BC$3+6),$A119,"")))</f>
        <v/>
      </c>
      <c r="BD119" s="47" t="str">
        <f aca="false">IF($A119="","",IF(AND(INDEX(工程マスタ!$I$5:$I$154,$A119)="○",$E119&gt;=BD$3,$E119&lt;=BD$3+6),"▼",IF(AND($E119&gt;=BD$3,$E119&lt;=BD$3+6),$A119,"")))</f>
        <v/>
      </c>
      <c r="BE119" s="47" t="str">
        <f aca="false">IF($A119="","",IF(AND(INDEX(工程マスタ!$I$5:$I$154,$A119)="○",$E119&gt;=BE$3,$E119&lt;=BE$3+6),"▼",IF(AND($E119&gt;=BE$3,$E119&lt;=BE$3+6),$A119,"")))</f>
        <v/>
      </c>
      <c r="BF119" s="47" t="str">
        <f aca="false">IF($A119="","",IF(AND(INDEX(工程マスタ!$I$5:$I$154,$A119)="○",$E119&gt;=BF$3,$E119&lt;=BF$3+6),"▼",IF(AND($E119&gt;=BF$3,$E119&lt;=BF$3+6),$A119,"")))</f>
        <v/>
      </c>
      <c r="BG119" s="47" t="str">
        <f aca="false">IF($A119="","",IF(AND(INDEX(工程マスタ!$I$5:$I$154,$A119)="○",$E119&gt;=BG$3,$E119&lt;=BG$3+6),"▼",IF(AND($E119&gt;=BG$3,$E119&lt;=BG$3+6),$A119,"")))</f>
        <v/>
      </c>
      <c r="BH119" s="47" t="str">
        <f aca="false">IF($A119="","",IF(AND(INDEX(工程マスタ!$I$5:$I$154,$A119)="○",$E119&gt;=BH$3,$E119&lt;=BH$3+6),"▼",IF(AND($E119&gt;=BH$3,$E119&lt;=BH$3+6),$A119,"")))</f>
        <v/>
      </c>
      <c r="BI119" s="47" t="str">
        <f aca="false">IF($A119="","",IF(AND(INDEX(工程マスタ!$I$5:$I$154,$A119)="○",$E119&gt;=BI$3,$E119&lt;=BI$3+6),"▼",IF(AND($E119&gt;=BI$3,$E119&lt;=BI$3+6),$A119,"")))</f>
        <v/>
      </c>
      <c r="BJ119" s="47" t="str">
        <f aca="false">IF($A119="","",IF(AND(INDEX(工程マスタ!$I$5:$I$154,$A119)="○",$E119&gt;=BJ$3,$E119&lt;=BJ$3+6),"▼",IF(AND($E119&gt;=BJ$3,$E119&lt;=BJ$3+6),$A119,"")))</f>
        <v/>
      </c>
    </row>
    <row r="120" customFormat="false" ht="15" hidden="false" customHeight="false" outlineLevel="0" collapsed="false">
      <c r="A120" s="28" t="str">
        <f aca="false">IF(工程マスタ!$C118="","",工程マスタ!$A118)</f>
        <v/>
      </c>
      <c r="B120" s="46" t="str">
        <f aca="false">IF($A120="","",工程マスタ!$C118)</f>
        <v/>
      </c>
      <c r="C120" s="28" t="str">
        <f aca="false">IF($A120="","",MAX(1,工程マスタ!$G118))</f>
        <v/>
      </c>
      <c r="D120" s="28" t="str">
        <f aca="false">IF($A120="","",_xlfn.TEXTJOIN(",",TRUE(),工程マスタ!$N118:$P118))</f>
        <v/>
      </c>
      <c r="E120" s="29" t="str">
        <f aca="false">IF($A120="","",IF(COUNT(工程マスタ!$N118:$P118)=0,設定!$B$8,MAX(IF(工程マスタ!$N118="",0,INDEX($F$7:$F$156,工程マスタ!$N118)),IF(工程マスタ!$O118="",0,INDEX($F$7:$F$156,工程マスタ!$O118)),IF(工程マスタ!$P118="",0,INDEX($F$7:$F$156,工程マスタ!$P118)))+1))</f>
        <v/>
      </c>
      <c r="F120" s="29" t="str">
        <f aca="false">IF($A120="","",$E120+$C120-1)</f>
        <v/>
      </c>
      <c r="G120" s="29" t="str">
        <f aca="false">IF($A120="","",$H120-$C120+1)</f>
        <v/>
      </c>
      <c r="H120" s="29" t="str">
        <f aca="false" t="array" ref="H120:H120">IF($A120="","",IF(SUMPRODUCT((工程マスタ!$N$119:$N$154=$A120)*1)+SUMPRODUCT((工程マスタ!$O$119:$O$154=$A120)*1)+SUMPRODUCT((工程マスタ!$P$119:$P$154=$A120)*1)=0,MAX($F$7:$F$156),MIN(IF((工程マスタ!$N$119:$N$154=$A120)+(工程マスタ!$O$119:$O$154=$A120)+(工程マスタ!$P$119:$P$154=$A120),$G121:$G$156))-1))</f>
        <v/>
      </c>
      <c r="I120" s="28" t="str">
        <f aca="false">IF($A120="","",$G120-$E120)</f>
        <v/>
      </c>
      <c r="J120" s="28" t="str">
        <f aca="false">IF($A120="","",IF($I120&lt;=0,"●",""))</f>
        <v/>
      </c>
      <c r="K120" s="47" t="str">
        <f aca="false">IF($A120="","",IF(AND(INDEX(工程マスタ!$I$5:$I$154,$A120)="○",$E120&gt;=K$3,$E120&lt;=K$3+6),"▼",IF(AND($E120&gt;=K$3,$E120&lt;=K$3+6),$A120,"")))</f>
        <v/>
      </c>
      <c r="L120" s="47" t="str">
        <f aca="false">IF($A120="","",IF(AND(INDEX(工程マスタ!$I$5:$I$154,$A120)="○",$E120&gt;=L$3,$E120&lt;=L$3+6),"▼",IF(AND($E120&gt;=L$3,$E120&lt;=L$3+6),$A120,"")))</f>
        <v/>
      </c>
      <c r="M120" s="47" t="str">
        <f aca="false">IF($A120="","",IF(AND(INDEX(工程マスタ!$I$5:$I$154,$A120)="○",$E120&gt;=M$3,$E120&lt;=M$3+6),"▼",IF(AND($E120&gt;=M$3,$E120&lt;=M$3+6),$A120,"")))</f>
        <v/>
      </c>
      <c r="N120" s="47" t="str">
        <f aca="false">IF($A120="","",IF(AND(INDEX(工程マスタ!$I$5:$I$154,$A120)="○",$E120&gt;=N$3,$E120&lt;=N$3+6),"▼",IF(AND($E120&gt;=N$3,$E120&lt;=N$3+6),$A120,"")))</f>
        <v/>
      </c>
      <c r="O120" s="47" t="str">
        <f aca="false">IF($A120="","",IF(AND(INDEX(工程マスタ!$I$5:$I$154,$A120)="○",$E120&gt;=O$3,$E120&lt;=O$3+6),"▼",IF(AND($E120&gt;=O$3,$E120&lt;=O$3+6),$A120,"")))</f>
        <v/>
      </c>
      <c r="P120" s="47" t="str">
        <f aca="false">IF($A120="","",IF(AND(INDEX(工程マスタ!$I$5:$I$154,$A120)="○",$E120&gt;=P$3,$E120&lt;=P$3+6),"▼",IF(AND($E120&gt;=P$3,$E120&lt;=P$3+6),$A120,"")))</f>
        <v/>
      </c>
      <c r="Q120" s="47" t="str">
        <f aca="false">IF($A120="","",IF(AND(INDEX(工程マスタ!$I$5:$I$154,$A120)="○",$E120&gt;=Q$3,$E120&lt;=Q$3+6),"▼",IF(AND($E120&gt;=Q$3,$E120&lt;=Q$3+6),$A120,"")))</f>
        <v/>
      </c>
      <c r="R120" s="47" t="str">
        <f aca="false">IF($A120="","",IF(AND(INDEX(工程マスタ!$I$5:$I$154,$A120)="○",$E120&gt;=R$3,$E120&lt;=R$3+6),"▼",IF(AND($E120&gt;=R$3,$E120&lt;=R$3+6),$A120,"")))</f>
        <v/>
      </c>
      <c r="S120" s="47" t="str">
        <f aca="false">IF($A120="","",IF(AND(INDEX(工程マスタ!$I$5:$I$154,$A120)="○",$E120&gt;=S$3,$E120&lt;=S$3+6),"▼",IF(AND($E120&gt;=S$3,$E120&lt;=S$3+6),$A120,"")))</f>
        <v/>
      </c>
      <c r="T120" s="47" t="str">
        <f aca="false">IF($A120="","",IF(AND(INDEX(工程マスタ!$I$5:$I$154,$A120)="○",$E120&gt;=T$3,$E120&lt;=T$3+6),"▼",IF(AND($E120&gt;=T$3,$E120&lt;=T$3+6),$A120,"")))</f>
        <v/>
      </c>
      <c r="U120" s="47" t="str">
        <f aca="false">IF($A120="","",IF(AND(INDEX(工程マスタ!$I$5:$I$154,$A120)="○",$E120&gt;=U$3,$E120&lt;=U$3+6),"▼",IF(AND($E120&gt;=U$3,$E120&lt;=U$3+6),$A120,"")))</f>
        <v/>
      </c>
      <c r="V120" s="47" t="str">
        <f aca="false">IF($A120="","",IF(AND(INDEX(工程マスタ!$I$5:$I$154,$A120)="○",$E120&gt;=V$3,$E120&lt;=V$3+6),"▼",IF(AND($E120&gt;=V$3,$E120&lt;=V$3+6),$A120,"")))</f>
        <v/>
      </c>
      <c r="W120" s="47" t="str">
        <f aca="false">IF($A120="","",IF(AND(INDEX(工程マスタ!$I$5:$I$154,$A120)="○",$E120&gt;=W$3,$E120&lt;=W$3+6),"▼",IF(AND($E120&gt;=W$3,$E120&lt;=W$3+6),$A120,"")))</f>
        <v/>
      </c>
      <c r="X120" s="47" t="str">
        <f aca="false">IF($A120="","",IF(AND(INDEX(工程マスタ!$I$5:$I$154,$A120)="○",$E120&gt;=X$3,$E120&lt;=X$3+6),"▼",IF(AND($E120&gt;=X$3,$E120&lt;=X$3+6),$A120,"")))</f>
        <v/>
      </c>
      <c r="Y120" s="47" t="str">
        <f aca="false">IF($A120="","",IF(AND(INDEX(工程マスタ!$I$5:$I$154,$A120)="○",$E120&gt;=Y$3,$E120&lt;=Y$3+6),"▼",IF(AND($E120&gt;=Y$3,$E120&lt;=Y$3+6),$A120,"")))</f>
        <v/>
      </c>
      <c r="Z120" s="47" t="str">
        <f aca="false">IF($A120="","",IF(AND(INDEX(工程マスタ!$I$5:$I$154,$A120)="○",$E120&gt;=Z$3,$E120&lt;=Z$3+6),"▼",IF(AND($E120&gt;=Z$3,$E120&lt;=Z$3+6),$A120,"")))</f>
        <v/>
      </c>
      <c r="AA120" s="47" t="str">
        <f aca="false">IF($A120="","",IF(AND(INDEX(工程マスタ!$I$5:$I$154,$A120)="○",$E120&gt;=AA$3,$E120&lt;=AA$3+6),"▼",IF(AND($E120&gt;=AA$3,$E120&lt;=AA$3+6),$A120,"")))</f>
        <v/>
      </c>
      <c r="AB120" s="47" t="str">
        <f aca="false">IF($A120="","",IF(AND(INDEX(工程マスタ!$I$5:$I$154,$A120)="○",$E120&gt;=AB$3,$E120&lt;=AB$3+6),"▼",IF(AND($E120&gt;=AB$3,$E120&lt;=AB$3+6),$A120,"")))</f>
        <v/>
      </c>
      <c r="AC120" s="47" t="str">
        <f aca="false">IF($A120="","",IF(AND(INDEX(工程マスタ!$I$5:$I$154,$A120)="○",$E120&gt;=AC$3,$E120&lt;=AC$3+6),"▼",IF(AND($E120&gt;=AC$3,$E120&lt;=AC$3+6),$A120,"")))</f>
        <v/>
      </c>
      <c r="AD120" s="47" t="str">
        <f aca="false">IF($A120="","",IF(AND(INDEX(工程マスタ!$I$5:$I$154,$A120)="○",$E120&gt;=AD$3,$E120&lt;=AD$3+6),"▼",IF(AND($E120&gt;=AD$3,$E120&lt;=AD$3+6),$A120,"")))</f>
        <v/>
      </c>
      <c r="AE120" s="47" t="str">
        <f aca="false">IF($A120="","",IF(AND(INDEX(工程マスタ!$I$5:$I$154,$A120)="○",$E120&gt;=AE$3,$E120&lt;=AE$3+6),"▼",IF(AND($E120&gt;=AE$3,$E120&lt;=AE$3+6),$A120,"")))</f>
        <v/>
      </c>
      <c r="AF120" s="47" t="str">
        <f aca="false">IF($A120="","",IF(AND(INDEX(工程マスタ!$I$5:$I$154,$A120)="○",$E120&gt;=AF$3,$E120&lt;=AF$3+6),"▼",IF(AND($E120&gt;=AF$3,$E120&lt;=AF$3+6),$A120,"")))</f>
        <v/>
      </c>
      <c r="AG120" s="47" t="str">
        <f aca="false">IF($A120="","",IF(AND(INDEX(工程マスタ!$I$5:$I$154,$A120)="○",$E120&gt;=AG$3,$E120&lt;=AG$3+6),"▼",IF(AND($E120&gt;=AG$3,$E120&lt;=AG$3+6),$A120,"")))</f>
        <v/>
      </c>
      <c r="AH120" s="47" t="str">
        <f aca="false">IF($A120="","",IF(AND(INDEX(工程マスタ!$I$5:$I$154,$A120)="○",$E120&gt;=AH$3,$E120&lt;=AH$3+6),"▼",IF(AND($E120&gt;=AH$3,$E120&lt;=AH$3+6),$A120,"")))</f>
        <v/>
      </c>
      <c r="AI120" s="47" t="str">
        <f aca="false">IF($A120="","",IF(AND(INDEX(工程マスタ!$I$5:$I$154,$A120)="○",$E120&gt;=AI$3,$E120&lt;=AI$3+6),"▼",IF(AND($E120&gt;=AI$3,$E120&lt;=AI$3+6),$A120,"")))</f>
        <v/>
      </c>
      <c r="AJ120" s="47" t="str">
        <f aca="false">IF($A120="","",IF(AND(INDEX(工程マスタ!$I$5:$I$154,$A120)="○",$E120&gt;=AJ$3,$E120&lt;=AJ$3+6),"▼",IF(AND($E120&gt;=AJ$3,$E120&lt;=AJ$3+6),$A120,"")))</f>
        <v/>
      </c>
      <c r="AK120" s="47" t="str">
        <f aca="false">IF($A120="","",IF(AND(INDEX(工程マスタ!$I$5:$I$154,$A120)="○",$E120&gt;=AK$3,$E120&lt;=AK$3+6),"▼",IF(AND($E120&gt;=AK$3,$E120&lt;=AK$3+6),$A120,"")))</f>
        <v/>
      </c>
      <c r="AL120" s="47" t="str">
        <f aca="false">IF($A120="","",IF(AND(INDEX(工程マスタ!$I$5:$I$154,$A120)="○",$E120&gt;=AL$3,$E120&lt;=AL$3+6),"▼",IF(AND($E120&gt;=AL$3,$E120&lt;=AL$3+6),$A120,"")))</f>
        <v/>
      </c>
      <c r="AM120" s="47" t="str">
        <f aca="false">IF($A120="","",IF(AND(INDEX(工程マスタ!$I$5:$I$154,$A120)="○",$E120&gt;=AM$3,$E120&lt;=AM$3+6),"▼",IF(AND($E120&gt;=AM$3,$E120&lt;=AM$3+6),$A120,"")))</f>
        <v/>
      </c>
      <c r="AN120" s="47" t="str">
        <f aca="false">IF($A120="","",IF(AND(INDEX(工程マスタ!$I$5:$I$154,$A120)="○",$E120&gt;=AN$3,$E120&lt;=AN$3+6),"▼",IF(AND($E120&gt;=AN$3,$E120&lt;=AN$3+6),$A120,"")))</f>
        <v/>
      </c>
      <c r="AO120" s="47" t="str">
        <f aca="false">IF($A120="","",IF(AND(INDEX(工程マスタ!$I$5:$I$154,$A120)="○",$E120&gt;=AO$3,$E120&lt;=AO$3+6),"▼",IF(AND($E120&gt;=AO$3,$E120&lt;=AO$3+6),$A120,"")))</f>
        <v/>
      </c>
      <c r="AP120" s="47" t="str">
        <f aca="false">IF($A120="","",IF(AND(INDEX(工程マスタ!$I$5:$I$154,$A120)="○",$E120&gt;=AP$3,$E120&lt;=AP$3+6),"▼",IF(AND($E120&gt;=AP$3,$E120&lt;=AP$3+6),$A120,"")))</f>
        <v/>
      </c>
      <c r="AQ120" s="47" t="str">
        <f aca="false">IF($A120="","",IF(AND(INDEX(工程マスタ!$I$5:$I$154,$A120)="○",$E120&gt;=AQ$3,$E120&lt;=AQ$3+6),"▼",IF(AND($E120&gt;=AQ$3,$E120&lt;=AQ$3+6),$A120,"")))</f>
        <v/>
      </c>
      <c r="AR120" s="47" t="str">
        <f aca="false">IF($A120="","",IF(AND(INDEX(工程マスタ!$I$5:$I$154,$A120)="○",$E120&gt;=AR$3,$E120&lt;=AR$3+6),"▼",IF(AND($E120&gt;=AR$3,$E120&lt;=AR$3+6),$A120,"")))</f>
        <v/>
      </c>
      <c r="AS120" s="47" t="str">
        <f aca="false">IF($A120="","",IF(AND(INDEX(工程マスタ!$I$5:$I$154,$A120)="○",$E120&gt;=AS$3,$E120&lt;=AS$3+6),"▼",IF(AND($E120&gt;=AS$3,$E120&lt;=AS$3+6),$A120,"")))</f>
        <v/>
      </c>
      <c r="AT120" s="47" t="str">
        <f aca="false">IF($A120="","",IF(AND(INDEX(工程マスタ!$I$5:$I$154,$A120)="○",$E120&gt;=AT$3,$E120&lt;=AT$3+6),"▼",IF(AND($E120&gt;=AT$3,$E120&lt;=AT$3+6),$A120,"")))</f>
        <v/>
      </c>
      <c r="AU120" s="47" t="str">
        <f aca="false">IF($A120="","",IF(AND(INDEX(工程マスタ!$I$5:$I$154,$A120)="○",$E120&gt;=AU$3,$E120&lt;=AU$3+6),"▼",IF(AND($E120&gt;=AU$3,$E120&lt;=AU$3+6),$A120,"")))</f>
        <v/>
      </c>
      <c r="AV120" s="47" t="str">
        <f aca="false">IF($A120="","",IF(AND(INDEX(工程マスタ!$I$5:$I$154,$A120)="○",$E120&gt;=AV$3,$E120&lt;=AV$3+6),"▼",IF(AND($E120&gt;=AV$3,$E120&lt;=AV$3+6),$A120,"")))</f>
        <v/>
      </c>
      <c r="AW120" s="47" t="str">
        <f aca="false">IF($A120="","",IF(AND(INDEX(工程マスタ!$I$5:$I$154,$A120)="○",$E120&gt;=AW$3,$E120&lt;=AW$3+6),"▼",IF(AND($E120&gt;=AW$3,$E120&lt;=AW$3+6),$A120,"")))</f>
        <v/>
      </c>
      <c r="AX120" s="47" t="str">
        <f aca="false">IF($A120="","",IF(AND(INDEX(工程マスタ!$I$5:$I$154,$A120)="○",$E120&gt;=AX$3,$E120&lt;=AX$3+6),"▼",IF(AND($E120&gt;=AX$3,$E120&lt;=AX$3+6),$A120,"")))</f>
        <v/>
      </c>
      <c r="AY120" s="47" t="str">
        <f aca="false">IF($A120="","",IF(AND(INDEX(工程マスタ!$I$5:$I$154,$A120)="○",$E120&gt;=AY$3,$E120&lt;=AY$3+6),"▼",IF(AND($E120&gt;=AY$3,$E120&lt;=AY$3+6),$A120,"")))</f>
        <v/>
      </c>
      <c r="AZ120" s="47" t="str">
        <f aca="false">IF($A120="","",IF(AND(INDEX(工程マスタ!$I$5:$I$154,$A120)="○",$E120&gt;=AZ$3,$E120&lt;=AZ$3+6),"▼",IF(AND($E120&gt;=AZ$3,$E120&lt;=AZ$3+6),$A120,"")))</f>
        <v/>
      </c>
      <c r="BA120" s="47" t="str">
        <f aca="false">IF($A120="","",IF(AND(INDEX(工程マスタ!$I$5:$I$154,$A120)="○",$E120&gt;=BA$3,$E120&lt;=BA$3+6),"▼",IF(AND($E120&gt;=BA$3,$E120&lt;=BA$3+6),$A120,"")))</f>
        <v/>
      </c>
      <c r="BB120" s="47" t="str">
        <f aca="false">IF($A120="","",IF(AND(INDEX(工程マスタ!$I$5:$I$154,$A120)="○",$E120&gt;=BB$3,$E120&lt;=BB$3+6),"▼",IF(AND($E120&gt;=BB$3,$E120&lt;=BB$3+6),$A120,"")))</f>
        <v/>
      </c>
      <c r="BC120" s="47" t="str">
        <f aca="false">IF($A120="","",IF(AND(INDEX(工程マスタ!$I$5:$I$154,$A120)="○",$E120&gt;=BC$3,$E120&lt;=BC$3+6),"▼",IF(AND($E120&gt;=BC$3,$E120&lt;=BC$3+6),$A120,"")))</f>
        <v/>
      </c>
      <c r="BD120" s="47" t="str">
        <f aca="false">IF($A120="","",IF(AND(INDEX(工程マスタ!$I$5:$I$154,$A120)="○",$E120&gt;=BD$3,$E120&lt;=BD$3+6),"▼",IF(AND($E120&gt;=BD$3,$E120&lt;=BD$3+6),$A120,"")))</f>
        <v/>
      </c>
      <c r="BE120" s="47" t="str">
        <f aca="false">IF($A120="","",IF(AND(INDEX(工程マスタ!$I$5:$I$154,$A120)="○",$E120&gt;=BE$3,$E120&lt;=BE$3+6),"▼",IF(AND($E120&gt;=BE$3,$E120&lt;=BE$3+6),$A120,"")))</f>
        <v/>
      </c>
      <c r="BF120" s="47" t="str">
        <f aca="false">IF($A120="","",IF(AND(INDEX(工程マスタ!$I$5:$I$154,$A120)="○",$E120&gt;=BF$3,$E120&lt;=BF$3+6),"▼",IF(AND($E120&gt;=BF$3,$E120&lt;=BF$3+6),$A120,"")))</f>
        <v/>
      </c>
      <c r="BG120" s="47" t="str">
        <f aca="false">IF($A120="","",IF(AND(INDEX(工程マスタ!$I$5:$I$154,$A120)="○",$E120&gt;=BG$3,$E120&lt;=BG$3+6),"▼",IF(AND($E120&gt;=BG$3,$E120&lt;=BG$3+6),$A120,"")))</f>
        <v/>
      </c>
      <c r="BH120" s="47" t="str">
        <f aca="false">IF($A120="","",IF(AND(INDEX(工程マスタ!$I$5:$I$154,$A120)="○",$E120&gt;=BH$3,$E120&lt;=BH$3+6),"▼",IF(AND($E120&gt;=BH$3,$E120&lt;=BH$3+6),$A120,"")))</f>
        <v/>
      </c>
      <c r="BI120" s="47" t="str">
        <f aca="false">IF($A120="","",IF(AND(INDEX(工程マスタ!$I$5:$I$154,$A120)="○",$E120&gt;=BI$3,$E120&lt;=BI$3+6),"▼",IF(AND($E120&gt;=BI$3,$E120&lt;=BI$3+6),$A120,"")))</f>
        <v/>
      </c>
      <c r="BJ120" s="47" t="str">
        <f aca="false">IF($A120="","",IF(AND(INDEX(工程マスタ!$I$5:$I$154,$A120)="○",$E120&gt;=BJ$3,$E120&lt;=BJ$3+6),"▼",IF(AND($E120&gt;=BJ$3,$E120&lt;=BJ$3+6),$A120,"")))</f>
        <v/>
      </c>
    </row>
    <row r="121" customFormat="false" ht="15" hidden="false" customHeight="false" outlineLevel="0" collapsed="false">
      <c r="A121" s="28" t="str">
        <f aca="false">IF(工程マスタ!$C119="","",工程マスタ!$A119)</f>
        <v/>
      </c>
      <c r="B121" s="46" t="str">
        <f aca="false">IF($A121="","",工程マスタ!$C119)</f>
        <v/>
      </c>
      <c r="C121" s="28" t="str">
        <f aca="false">IF($A121="","",MAX(1,工程マスタ!$G119))</f>
        <v/>
      </c>
      <c r="D121" s="28" t="str">
        <f aca="false">IF($A121="","",_xlfn.TEXTJOIN(",",TRUE(),工程マスタ!$N119:$P119))</f>
        <v/>
      </c>
      <c r="E121" s="29" t="str">
        <f aca="false">IF($A121="","",IF(COUNT(工程マスタ!$N119:$P119)=0,設定!$B$8,MAX(IF(工程マスタ!$N119="",0,INDEX($F$7:$F$156,工程マスタ!$N119)),IF(工程マスタ!$O119="",0,INDEX($F$7:$F$156,工程マスタ!$O119)),IF(工程マスタ!$P119="",0,INDEX($F$7:$F$156,工程マスタ!$P119)))+1))</f>
        <v/>
      </c>
      <c r="F121" s="29" t="str">
        <f aca="false">IF($A121="","",$E121+$C121-1)</f>
        <v/>
      </c>
      <c r="G121" s="29" t="str">
        <f aca="false">IF($A121="","",$H121-$C121+1)</f>
        <v/>
      </c>
      <c r="H121" s="29" t="str">
        <f aca="false" t="array" ref="H121:H121">IF($A121="","",IF(SUMPRODUCT((工程マスタ!$N$120:$N$154=$A121)*1)+SUMPRODUCT((工程マスタ!$O$120:$O$154=$A121)*1)+SUMPRODUCT((工程マスタ!$P$120:$P$154=$A121)*1)=0,MAX($F$7:$F$156),MIN(IF((工程マスタ!$N$120:$N$154=$A121)+(工程マスタ!$O$120:$O$154=$A121)+(工程マスタ!$P$120:$P$154=$A121),$G122:$G$156))-1))</f>
        <v/>
      </c>
      <c r="I121" s="28" t="str">
        <f aca="false">IF($A121="","",$G121-$E121)</f>
        <v/>
      </c>
      <c r="J121" s="28" t="str">
        <f aca="false">IF($A121="","",IF($I121&lt;=0,"●",""))</f>
        <v/>
      </c>
      <c r="K121" s="47" t="str">
        <f aca="false">IF($A121="","",IF(AND(INDEX(工程マスタ!$I$5:$I$154,$A121)="○",$E121&gt;=K$3,$E121&lt;=K$3+6),"▼",IF(AND($E121&gt;=K$3,$E121&lt;=K$3+6),$A121,"")))</f>
        <v/>
      </c>
      <c r="L121" s="47" t="str">
        <f aca="false">IF($A121="","",IF(AND(INDEX(工程マスタ!$I$5:$I$154,$A121)="○",$E121&gt;=L$3,$E121&lt;=L$3+6),"▼",IF(AND($E121&gt;=L$3,$E121&lt;=L$3+6),$A121,"")))</f>
        <v/>
      </c>
      <c r="M121" s="47" t="str">
        <f aca="false">IF($A121="","",IF(AND(INDEX(工程マスタ!$I$5:$I$154,$A121)="○",$E121&gt;=M$3,$E121&lt;=M$3+6),"▼",IF(AND($E121&gt;=M$3,$E121&lt;=M$3+6),$A121,"")))</f>
        <v/>
      </c>
      <c r="N121" s="47" t="str">
        <f aca="false">IF($A121="","",IF(AND(INDEX(工程マスタ!$I$5:$I$154,$A121)="○",$E121&gt;=N$3,$E121&lt;=N$3+6),"▼",IF(AND($E121&gt;=N$3,$E121&lt;=N$3+6),$A121,"")))</f>
        <v/>
      </c>
      <c r="O121" s="47" t="str">
        <f aca="false">IF($A121="","",IF(AND(INDEX(工程マスタ!$I$5:$I$154,$A121)="○",$E121&gt;=O$3,$E121&lt;=O$3+6),"▼",IF(AND($E121&gt;=O$3,$E121&lt;=O$3+6),$A121,"")))</f>
        <v/>
      </c>
      <c r="P121" s="47" t="str">
        <f aca="false">IF($A121="","",IF(AND(INDEX(工程マスタ!$I$5:$I$154,$A121)="○",$E121&gt;=P$3,$E121&lt;=P$3+6),"▼",IF(AND($E121&gt;=P$3,$E121&lt;=P$3+6),$A121,"")))</f>
        <v/>
      </c>
      <c r="Q121" s="47" t="str">
        <f aca="false">IF($A121="","",IF(AND(INDEX(工程マスタ!$I$5:$I$154,$A121)="○",$E121&gt;=Q$3,$E121&lt;=Q$3+6),"▼",IF(AND($E121&gt;=Q$3,$E121&lt;=Q$3+6),$A121,"")))</f>
        <v/>
      </c>
      <c r="R121" s="47" t="str">
        <f aca="false">IF($A121="","",IF(AND(INDEX(工程マスタ!$I$5:$I$154,$A121)="○",$E121&gt;=R$3,$E121&lt;=R$3+6),"▼",IF(AND($E121&gt;=R$3,$E121&lt;=R$3+6),$A121,"")))</f>
        <v/>
      </c>
      <c r="S121" s="47" t="str">
        <f aca="false">IF($A121="","",IF(AND(INDEX(工程マスタ!$I$5:$I$154,$A121)="○",$E121&gt;=S$3,$E121&lt;=S$3+6),"▼",IF(AND($E121&gt;=S$3,$E121&lt;=S$3+6),$A121,"")))</f>
        <v/>
      </c>
      <c r="T121" s="47" t="str">
        <f aca="false">IF($A121="","",IF(AND(INDEX(工程マスタ!$I$5:$I$154,$A121)="○",$E121&gt;=T$3,$E121&lt;=T$3+6),"▼",IF(AND($E121&gt;=T$3,$E121&lt;=T$3+6),$A121,"")))</f>
        <v/>
      </c>
      <c r="U121" s="47" t="str">
        <f aca="false">IF($A121="","",IF(AND(INDEX(工程マスタ!$I$5:$I$154,$A121)="○",$E121&gt;=U$3,$E121&lt;=U$3+6),"▼",IF(AND($E121&gt;=U$3,$E121&lt;=U$3+6),$A121,"")))</f>
        <v/>
      </c>
      <c r="V121" s="47" t="str">
        <f aca="false">IF($A121="","",IF(AND(INDEX(工程マスタ!$I$5:$I$154,$A121)="○",$E121&gt;=V$3,$E121&lt;=V$3+6),"▼",IF(AND($E121&gt;=V$3,$E121&lt;=V$3+6),$A121,"")))</f>
        <v/>
      </c>
      <c r="W121" s="47" t="str">
        <f aca="false">IF($A121="","",IF(AND(INDEX(工程マスタ!$I$5:$I$154,$A121)="○",$E121&gt;=W$3,$E121&lt;=W$3+6),"▼",IF(AND($E121&gt;=W$3,$E121&lt;=W$3+6),$A121,"")))</f>
        <v/>
      </c>
      <c r="X121" s="47" t="str">
        <f aca="false">IF($A121="","",IF(AND(INDEX(工程マスタ!$I$5:$I$154,$A121)="○",$E121&gt;=X$3,$E121&lt;=X$3+6),"▼",IF(AND($E121&gt;=X$3,$E121&lt;=X$3+6),$A121,"")))</f>
        <v/>
      </c>
      <c r="Y121" s="47" t="str">
        <f aca="false">IF($A121="","",IF(AND(INDEX(工程マスタ!$I$5:$I$154,$A121)="○",$E121&gt;=Y$3,$E121&lt;=Y$3+6),"▼",IF(AND($E121&gt;=Y$3,$E121&lt;=Y$3+6),$A121,"")))</f>
        <v/>
      </c>
      <c r="Z121" s="47" t="str">
        <f aca="false">IF($A121="","",IF(AND(INDEX(工程マスタ!$I$5:$I$154,$A121)="○",$E121&gt;=Z$3,$E121&lt;=Z$3+6),"▼",IF(AND($E121&gt;=Z$3,$E121&lt;=Z$3+6),$A121,"")))</f>
        <v/>
      </c>
      <c r="AA121" s="47" t="str">
        <f aca="false">IF($A121="","",IF(AND(INDEX(工程マスタ!$I$5:$I$154,$A121)="○",$E121&gt;=AA$3,$E121&lt;=AA$3+6),"▼",IF(AND($E121&gt;=AA$3,$E121&lt;=AA$3+6),$A121,"")))</f>
        <v/>
      </c>
      <c r="AB121" s="47" t="str">
        <f aca="false">IF($A121="","",IF(AND(INDEX(工程マスタ!$I$5:$I$154,$A121)="○",$E121&gt;=AB$3,$E121&lt;=AB$3+6),"▼",IF(AND($E121&gt;=AB$3,$E121&lt;=AB$3+6),$A121,"")))</f>
        <v/>
      </c>
      <c r="AC121" s="47" t="str">
        <f aca="false">IF($A121="","",IF(AND(INDEX(工程マスタ!$I$5:$I$154,$A121)="○",$E121&gt;=AC$3,$E121&lt;=AC$3+6),"▼",IF(AND($E121&gt;=AC$3,$E121&lt;=AC$3+6),$A121,"")))</f>
        <v/>
      </c>
      <c r="AD121" s="47" t="str">
        <f aca="false">IF($A121="","",IF(AND(INDEX(工程マスタ!$I$5:$I$154,$A121)="○",$E121&gt;=AD$3,$E121&lt;=AD$3+6),"▼",IF(AND($E121&gt;=AD$3,$E121&lt;=AD$3+6),$A121,"")))</f>
        <v/>
      </c>
      <c r="AE121" s="47" t="str">
        <f aca="false">IF($A121="","",IF(AND(INDEX(工程マスタ!$I$5:$I$154,$A121)="○",$E121&gt;=AE$3,$E121&lt;=AE$3+6),"▼",IF(AND($E121&gt;=AE$3,$E121&lt;=AE$3+6),$A121,"")))</f>
        <v/>
      </c>
      <c r="AF121" s="47" t="str">
        <f aca="false">IF($A121="","",IF(AND(INDEX(工程マスタ!$I$5:$I$154,$A121)="○",$E121&gt;=AF$3,$E121&lt;=AF$3+6),"▼",IF(AND($E121&gt;=AF$3,$E121&lt;=AF$3+6),$A121,"")))</f>
        <v/>
      </c>
      <c r="AG121" s="47" t="str">
        <f aca="false">IF($A121="","",IF(AND(INDEX(工程マスタ!$I$5:$I$154,$A121)="○",$E121&gt;=AG$3,$E121&lt;=AG$3+6),"▼",IF(AND($E121&gt;=AG$3,$E121&lt;=AG$3+6),$A121,"")))</f>
        <v/>
      </c>
      <c r="AH121" s="47" t="str">
        <f aca="false">IF($A121="","",IF(AND(INDEX(工程マスタ!$I$5:$I$154,$A121)="○",$E121&gt;=AH$3,$E121&lt;=AH$3+6),"▼",IF(AND($E121&gt;=AH$3,$E121&lt;=AH$3+6),$A121,"")))</f>
        <v/>
      </c>
      <c r="AI121" s="47" t="str">
        <f aca="false">IF($A121="","",IF(AND(INDEX(工程マスタ!$I$5:$I$154,$A121)="○",$E121&gt;=AI$3,$E121&lt;=AI$3+6),"▼",IF(AND($E121&gt;=AI$3,$E121&lt;=AI$3+6),$A121,"")))</f>
        <v/>
      </c>
      <c r="AJ121" s="47" t="str">
        <f aca="false">IF($A121="","",IF(AND(INDEX(工程マスタ!$I$5:$I$154,$A121)="○",$E121&gt;=AJ$3,$E121&lt;=AJ$3+6),"▼",IF(AND($E121&gt;=AJ$3,$E121&lt;=AJ$3+6),$A121,"")))</f>
        <v/>
      </c>
      <c r="AK121" s="47" t="str">
        <f aca="false">IF($A121="","",IF(AND(INDEX(工程マスタ!$I$5:$I$154,$A121)="○",$E121&gt;=AK$3,$E121&lt;=AK$3+6),"▼",IF(AND($E121&gt;=AK$3,$E121&lt;=AK$3+6),$A121,"")))</f>
        <v/>
      </c>
      <c r="AL121" s="47" t="str">
        <f aca="false">IF($A121="","",IF(AND(INDEX(工程マスタ!$I$5:$I$154,$A121)="○",$E121&gt;=AL$3,$E121&lt;=AL$3+6),"▼",IF(AND($E121&gt;=AL$3,$E121&lt;=AL$3+6),$A121,"")))</f>
        <v/>
      </c>
      <c r="AM121" s="47" t="str">
        <f aca="false">IF($A121="","",IF(AND(INDEX(工程マスタ!$I$5:$I$154,$A121)="○",$E121&gt;=AM$3,$E121&lt;=AM$3+6),"▼",IF(AND($E121&gt;=AM$3,$E121&lt;=AM$3+6),$A121,"")))</f>
        <v/>
      </c>
      <c r="AN121" s="47" t="str">
        <f aca="false">IF($A121="","",IF(AND(INDEX(工程マスタ!$I$5:$I$154,$A121)="○",$E121&gt;=AN$3,$E121&lt;=AN$3+6),"▼",IF(AND($E121&gt;=AN$3,$E121&lt;=AN$3+6),$A121,"")))</f>
        <v/>
      </c>
      <c r="AO121" s="47" t="str">
        <f aca="false">IF($A121="","",IF(AND(INDEX(工程マスタ!$I$5:$I$154,$A121)="○",$E121&gt;=AO$3,$E121&lt;=AO$3+6),"▼",IF(AND($E121&gt;=AO$3,$E121&lt;=AO$3+6),$A121,"")))</f>
        <v/>
      </c>
      <c r="AP121" s="47" t="str">
        <f aca="false">IF($A121="","",IF(AND(INDEX(工程マスタ!$I$5:$I$154,$A121)="○",$E121&gt;=AP$3,$E121&lt;=AP$3+6),"▼",IF(AND($E121&gt;=AP$3,$E121&lt;=AP$3+6),$A121,"")))</f>
        <v/>
      </c>
      <c r="AQ121" s="47" t="str">
        <f aca="false">IF($A121="","",IF(AND(INDEX(工程マスタ!$I$5:$I$154,$A121)="○",$E121&gt;=AQ$3,$E121&lt;=AQ$3+6),"▼",IF(AND($E121&gt;=AQ$3,$E121&lt;=AQ$3+6),$A121,"")))</f>
        <v/>
      </c>
      <c r="AR121" s="47" t="str">
        <f aca="false">IF($A121="","",IF(AND(INDEX(工程マスタ!$I$5:$I$154,$A121)="○",$E121&gt;=AR$3,$E121&lt;=AR$3+6),"▼",IF(AND($E121&gt;=AR$3,$E121&lt;=AR$3+6),$A121,"")))</f>
        <v/>
      </c>
      <c r="AS121" s="47" t="str">
        <f aca="false">IF($A121="","",IF(AND(INDEX(工程マスタ!$I$5:$I$154,$A121)="○",$E121&gt;=AS$3,$E121&lt;=AS$3+6),"▼",IF(AND($E121&gt;=AS$3,$E121&lt;=AS$3+6),$A121,"")))</f>
        <v/>
      </c>
      <c r="AT121" s="47" t="str">
        <f aca="false">IF($A121="","",IF(AND(INDEX(工程マスタ!$I$5:$I$154,$A121)="○",$E121&gt;=AT$3,$E121&lt;=AT$3+6),"▼",IF(AND($E121&gt;=AT$3,$E121&lt;=AT$3+6),$A121,"")))</f>
        <v/>
      </c>
      <c r="AU121" s="47" t="str">
        <f aca="false">IF($A121="","",IF(AND(INDEX(工程マスタ!$I$5:$I$154,$A121)="○",$E121&gt;=AU$3,$E121&lt;=AU$3+6),"▼",IF(AND($E121&gt;=AU$3,$E121&lt;=AU$3+6),$A121,"")))</f>
        <v/>
      </c>
      <c r="AV121" s="47" t="str">
        <f aca="false">IF($A121="","",IF(AND(INDEX(工程マスタ!$I$5:$I$154,$A121)="○",$E121&gt;=AV$3,$E121&lt;=AV$3+6),"▼",IF(AND($E121&gt;=AV$3,$E121&lt;=AV$3+6),$A121,"")))</f>
        <v/>
      </c>
      <c r="AW121" s="47" t="str">
        <f aca="false">IF($A121="","",IF(AND(INDEX(工程マスタ!$I$5:$I$154,$A121)="○",$E121&gt;=AW$3,$E121&lt;=AW$3+6),"▼",IF(AND($E121&gt;=AW$3,$E121&lt;=AW$3+6),$A121,"")))</f>
        <v/>
      </c>
      <c r="AX121" s="47" t="str">
        <f aca="false">IF($A121="","",IF(AND(INDEX(工程マスタ!$I$5:$I$154,$A121)="○",$E121&gt;=AX$3,$E121&lt;=AX$3+6),"▼",IF(AND($E121&gt;=AX$3,$E121&lt;=AX$3+6),$A121,"")))</f>
        <v/>
      </c>
      <c r="AY121" s="47" t="str">
        <f aca="false">IF($A121="","",IF(AND(INDEX(工程マスタ!$I$5:$I$154,$A121)="○",$E121&gt;=AY$3,$E121&lt;=AY$3+6),"▼",IF(AND($E121&gt;=AY$3,$E121&lt;=AY$3+6),$A121,"")))</f>
        <v/>
      </c>
      <c r="AZ121" s="47" t="str">
        <f aca="false">IF($A121="","",IF(AND(INDEX(工程マスタ!$I$5:$I$154,$A121)="○",$E121&gt;=AZ$3,$E121&lt;=AZ$3+6),"▼",IF(AND($E121&gt;=AZ$3,$E121&lt;=AZ$3+6),$A121,"")))</f>
        <v/>
      </c>
      <c r="BA121" s="47" t="str">
        <f aca="false">IF($A121="","",IF(AND(INDEX(工程マスタ!$I$5:$I$154,$A121)="○",$E121&gt;=BA$3,$E121&lt;=BA$3+6),"▼",IF(AND($E121&gt;=BA$3,$E121&lt;=BA$3+6),$A121,"")))</f>
        <v/>
      </c>
      <c r="BB121" s="47" t="str">
        <f aca="false">IF($A121="","",IF(AND(INDEX(工程マスタ!$I$5:$I$154,$A121)="○",$E121&gt;=BB$3,$E121&lt;=BB$3+6),"▼",IF(AND($E121&gt;=BB$3,$E121&lt;=BB$3+6),$A121,"")))</f>
        <v/>
      </c>
      <c r="BC121" s="47" t="str">
        <f aca="false">IF($A121="","",IF(AND(INDEX(工程マスタ!$I$5:$I$154,$A121)="○",$E121&gt;=BC$3,$E121&lt;=BC$3+6),"▼",IF(AND($E121&gt;=BC$3,$E121&lt;=BC$3+6),$A121,"")))</f>
        <v/>
      </c>
      <c r="BD121" s="47" t="str">
        <f aca="false">IF($A121="","",IF(AND(INDEX(工程マスタ!$I$5:$I$154,$A121)="○",$E121&gt;=BD$3,$E121&lt;=BD$3+6),"▼",IF(AND($E121&gt;=BD$3,$E121&lt;=BD$3+6),$A121,"")))</f>
        <v/>
      </c>
      <c r="BE121" s="47" t="str">
        <f aca="false">IF($A121="","",IF(AND(INDEX(工程マスタ!$I$5:$I$154,$A121)="○",$E121&gt;=BE$3,$E121&lt;=BE$3+6),"▼",IF(AND($E121&gt;=BE$3,$E121&lt;=BE$3+6),$A121,"")))</f>
        <v/>
      </c>
      <c r="BF121" s="47" t="str">
        <f aca="false">IF($A121="","",IF(AND(INDEX(工程マスタ!$I$5:$I$154,$A121)="○",$E121&gt;=BF$3,$E121&lt;=BF$3+6),"▼",IF(AND($E121&gt;=BF$3,$E121&lt;=BF$3+6),$A121,"")))</f>
        <v/>
      </c>
      <c r="BG121" s="47" t="str">
        <f aca="false">IF($A121="","",IF(AND(INDEX(工程マスタ!$I$5:$I$154,$A121)="○",$E121&gt;=BG$3,$E121&lt;=BG$3+6),"▼",IF(AND($E121&gt;=BG$3,$E121&lt;=BG$3+6),$A121,"")))</f>
        <v/>
      </c>
      <c r="BH121" s="47" t="str">
        <f aca="false">IF($A121="","",IF(AND(INDEX(工程マスタ!$I$5:$I$154,$A121)="○",$E121&gt;=BH$3,$E121&lt;=BH$3+6),"▼",IF(AND($E121&gt;=BH$3,$E121&lt;=BH$3+6),$A121,"")))</f>
        <v/>
      </c>
      <c r="BI121" s="47" t="str">
        <f aca="false">IF($A121="","",IF(AND(INDEX(工程マスタ!$I$5:$I$154,$A121)="○",$E121&gt;=BI$3,$E121&lt;=BI$3+6),"▼",IF(AND($E121&gt;=BI$3,$E121&lt;=BI$3+6),$A121,"")))</f>
        <v/>
      </c>
      <c r="BJ121" s="47" t="str">
        <f aca="false">IF($A121="","",IF(AND(INDEX(工程マスタ!$I$5:$I$154,$A121)="○",$E121&gt;=BJ$3,$E121&lt;=BJ$3+6),"▼",IF(AND($E121&gt;=BJ$3,$E121&lt;=BJ$3+6),$A121,"")))</f>
        <v/>
      </c>
    </row>
    <row r="122" customFormat="false" ht="15" hidden="false" customHeight="false" outlineLevel="0" collapsed="false">
      <c r="A122" s="28" t="str">
        <f aca="false">IF(工程マスタ!$C120="","",工程マスタ!$A120)</f>
        <v/>
      </c>
      <c r="B122" s="46" t="str">
        <f aca="false">IF($A122="","",工程マスタ!$C120)</f>
        <v/>
      </c>
      <c r="C122" s="28" t="str">
        <f aca="false">IF($A122="","",MAX(1,工程マスタ!$G120))</f>
        <v/>
      </c>
      <c r="D122" s="28" t="str">
        <f aca="false">IF($A122="","",_xlfn.TEXTJOIN(",",TRUE(),工程マスタ!$N120:$P120))</f>
        <v/>
      </c>
      <c r="E122" s="29" t="str">
        <f aca="false">IF($A122="","",IF(COUNT(工程マスタ!$N120:$P120)=0,設定!$B$8,MAX(IF(工程マスタ!$N120="",0,INDEX($F$7:$F$156,工程マスタ!$N120)),IF(工程マスタ!$O120="",0,INDEX($F$7:$F$156,工程マスタ!$O120)),IF(工程マスタ!$P120="",0,INDEX($F$7:$F$156,工程マスタ!$P120)))+1))</f>
        <v/>
      </c>
      <c r="F122" s="29" t="str">
        <f aca="false">IF($A122="","",$E122+$C122-1)</f>
        <v/>
      </c>
      <c r="G122" s="29" t="str">
        <f aca="false">IF($A122="","",$H122-$C122+1)</f>
        <v/>
      </c>
      <c r="H122" s="29" t="str">
        <f aca="false" t="array" ref="H122:H122">IF($A122="","",IF(SUMPRODUCT((工程マスタ!$N$121:$N$154=$A122)*1)+SUMPRODUCT((工程マスタ!$O$121:$O$154=$A122)*1)+SUMPRODUCT((工程マスタ!$P$121:$P$154=$A122)*1)=0,MAX($F$7:$F$156),MIN(IF((工程マスタ!$N$121:$N$154=$A122)+(工程マスタ!$O$121:$O$154=$A122)+(工程マスタ!$P$121:$P$154=$A122),$G123:$G$156))-1))</f>
        <v/>
      </c>
      <c r="I122" s="28" t="str">
        <f aca="false">IF($A122="","",$G122-$E122)</f>
        <v/>
      </c>
      <c r="J122" s="28" t="str">
        <f aca="false">IF($A122="","",IF($I122&lt;=0,"●",""))</f>
        <v/>
      </c>
      <c r="K122" s="47" t="str">
        <f aca="false">IF($A122="","",IF(AND(INDEX(工程マスタ!$I$5:$I$154,$A122)="○",$E122&gt;=K$3,$E122&lt;=K$3+6),"▼",IF(AND($E122&gt;=K$3,$E122&lt;=K$3+6),$A122,"")))</f>
        <v/>
      </c>
      <c r="L122" s="47" t="str">
        <f aca="false">IF($A122="","",IF(AND(INDEX(工程マスタ!$I$5:$I$154,$A122)="○",$E122&gt;=L$3,$E122&lt;=L$3+6),"▼",IF(AND($E122&gt;=L$3,$E122&lt;=L$3+6),$A122,"")))</f>
        <v/>
      </c>
      <c r="M122" s="47" t="str">
        <f aca="false">IF($A122="","",IF(AND(INDEX(工程マスタ!$I$5:$I$154,$A122)="○",$E122&gt;=M$3,$E122&lt;=M$3+6),"▼",IF(AND($E122&gt;=M$3,$E122&lt;=M$3+6),$A122,"")))</f>
        <v/>
      </c>
      <c r="N122" s="47" t="str">
        <f aca="false">IF($A122="","",IF(AND(INDEX(工程マスタ!$I$5:$I$154,$A122)="○",$E122&gt;=N$3,$E122&lt;=N$3+6),"▼",IF(AND($E122&gt;=N$3,$E122&lt;=N$3+6),$A122,"")))</f>
        <v/>
      </c>
      <c r="O122" s="47" t="str">
        <f aca="false">IF($A122="","",IF(AND(INDEX(工程マスタ!$I$5:$I$154,$A122)="○",$E122&gt;=O$3,$E122&lt;=O$3+6),"▼",IF(AND($E122&gt;=O$3,$E122&lt;=O$3+6),$A122,"")))</f>
        <v/>
      </c>
      <c r="P122" s="47" t="str">
        <f aca="false">IF($A122="","",IF(AND(INDEX(工程マスタ!$I$5:$I$154,$A122)="○",$E122&gt;=P$3,$E122&lt;=P$3+6),"▼",IF(AND($E122&gt;=P$3,$E122&lt;=P$3+6),$A122,"")))</f>
        <v/>
      </c>
      <c r="Q122" s="47" t="str">
        <f aca="false">IF($A122="","",IF(AND(INDEX(工程マスタ!$I$5:$I$154,$A122)="○",$E122&gt;=Q$3,$E122&lt;=Q$3+6),"▼",IF(AND($E122&gt;=Q$3,$E122&lt;=Q$3+6),$A122,"")))</f>
        <v/>
      </c>
      <c r="R122" s="47" t="str">
        <f aca="false">IF($A122="","",IF(AND(INDEX(工程マスタ!$I$5:$I$154,$A122)="○",$E122&gt;=R$3,$E122&lt;=R$3+6),"▼",IF(AND($E122&gt;=R$3,$E122&lt;=R$3+6),$A122,"")))</f>
        <v/>
      </c>
      <c r="S122" s="47" t="str">
        <f aca="false">IF($A122="","",IF(AND(INDEX(工程マスタ!$I$5:$I$154,$A122)="○",$E122&gt;=S$3,$E122&lt;=S$3+6),"▼",IF(AND($E122&gt;=S$3,$E122&lt;=S$3+6),$A122,"")))</f>
        <v/>
      </c>
      <c r="T122" s="47" t="str">
        <f aca="false">IF($A122="","",IF(AND(INDEX(工程マスタ!$I$5:$I$154,$A122)="○",$E122&gt;=T$3,$E122&lt;=T$3+6),"▼",IF(AND($E122&gt;=T$3,$E122&lt;=T$3+6),$A122,"")))</f>
        <v/>
      </c>
      <c r="U122" s="47" t="str">
        <f aca="false">IF($A122="","",IF(AND(INDEX(工程マスタ!$I$5:$I$154,$A122)="○",$E122&gt;=U$3,$E122&lt;=U$3+6),"▼",IF(AND($E122&gt;=U$3,$E122&lt;=U$3+6),$A122,"")))</f>
        <v/>
      </c>
      <c r="V122" s="47" t="str">
        <f aca="false">IF($A122="","",IF(AND(INDEX(工程マスタ!$I$5:$I$154,$A122)="○",$E122&gt;=V$3,$E122&lt;=V$3+6),"▼",IF(AND($E122&gt;=V$3,$E122&lt;=V$3+6),$A122,"")))</f>
        <v/>
      </c>
      <c r="W122" s="47" t="str">
        <f aca="false">IF($A122="","",IF(AND(INDEX(工程マスタ!$I$5:$I$154,$A122)="○",$E122&gt;=W$3,$E122&lt;=W$3+6),"▼",IF(AND($E122&gt;=W$3,$E122&lt;=W$3+6),$A122,"")))</f>
        <v/>
      </c>
      <c r="X122" s="47" t="str">
        <f aca="false">IF($A122="","",IF(AND(INDEX(工程マスタ!$I$5:$I$154,$A122)="○",$E122&gt;=X$3,$E122&lt;=X$3+6),"▼",IF(AND($E122&gt;=X$3,$E122&lt;=X$3+6),$A122,"")))</f>
        <v/>
      </c>
      <c r="Y122" s="47" t="str">
        <f aca="false">IF($A122="","",IF(AND(INDEX(工程マスタ!$I$5:$I$154,$A122)="○",$E122&gt;=Y$3,$E122&lt;=Y$3+6),"▼",IF(AND($E122&gt;=Y$3,$E122&lt;=Y$3+6),$A122,"")))</f>
        <v/>
      </c>
      <c r="Z122" s="47" t="str">
        <f aca="false">IF($A122="","",IF(AND(INDEX(工程マスタ!$I$5:$I$154,$A122)="○",$E122&gt;=Z$3,$E122&lt;=Z$3+6),"▼",IF(AND($E122&gt;=Z$3,$E122&lt;=Z$3+6),$A122,"")))</f>
        <v/>
      </c>
      <c r="AA122" s="47" t="str">
        <f aca="false">IF($A122="","",IF(AND(INDEX(工程マスタ!$I$5:$I$154,$A122)="○",$E122&gt;=AA$3,$E122&lt;=AA$3+6),"▼",IF(AND($E122&gt;=AA$3,$E122&lt;=AA$3+6),$A122,"")))</f>
        <v/>
      </c>
      <c r="AB122" s="47" t="str">
        <f aca="false">IF($A122="","",IF(AND(INDEX(工程マスタ!$I$5:$I$154,$A122)="○",$E122&gt;=AB$3,$E122&lt;=AB$3+6),"▼",IF(AND($E122&gt;=AB$3,$E122&lt;=AB$3+6),$A122,"")))</f>
        <v/>
      </c>
      <c r="AC122" s="47" t="str">
        <f aca="false">IF($A122="","",IF(AND(INDEX(工程マスタ!$I$5:$I$154,$A122)="○",$E122&gt;=AC$3,$E122&lt;=AC$3+6),"▼",IF(AND($E122&gt;=AC$3,$E122&lt;=AC$3+6),$A122,"")))</f>
        <v/>
      </c>
      <c r="AD122" s="47" t="str">
        <f aca="false">IF($A122="","",IF(AND(INDEX(工程マスタ!$I$5:$I$154,$A122)="○",$E122&gt;=AD$3,$E122&lt;=AD$3+6),"▼",IF(AND($E122&gt;=AD$3,$E122&lt;=AD$3+6),$A122,"")))</f>
        <v/>
      </c>
      <c r="AE122" s="47" t="str">
        <f aca="false">IF($A122="","",IF(AND(INDEX(工程マスタ!$I$5:$I$154,$A122)="○",$E122&gt;=AE$3,$E122&lt;=AE$3+6),"▼",IF(AND($E122&gt;=AE$3,$E122&lt;=AE$3+6),$A122,"")))</f>
        <v/>
      </c>
      <c r="AF122" s="47" t="str">
        <f aca="false">IF($A122="","",IF(AND(INDEX(工程マスタ!$I$5:$I$154,$A122)="○",$E122&gt;=AF$3,$E122&lt;=AF$3+6),"▼",IF(AND($E122&gt;=AF$3,$E122&lt;=AF$3+6),$A122,"")))</f>
        <v/>
      </c>
      <c r="AG122" s="47" t="str">
        <f aca="false">IF($A122="","",IF(AND(INDEX(工程マスタ!$I$5:$I$154,$A122)="○",$E122&gt;=AG$3,$E122&lt;=AG$3+6),"▼",IF(AND($E122&gt;=AG$3,$E122&lt;=AG$3+6),$A122,"")))</f>
        <v/>
      </c>
      <c r="AH122" s="47" t="str">
        <f aca="false">IF($A122="","",IF(AND(INDEX(工程マスタ!$I$5:$I$154,$A122)="○",$E122&gt;=AH$3,$E122&lt;=AH$3+6),"▼",IF(AND($E122&gt;=AH$3,$E122&lt;=AH$3+6),$A122,"")))</f>
        <v/>
      </c>
      <c r="AI122" s="47" t="str">
        <f aca="false">IF($A122="","",IF(AND(INDEX(工程マスタ!$I$5:$I$154,$A122)="○",$E122&gt;=AI$3,$E122&lt;=AI$3+6),"▼",IF(AND($E122&gt;=AI$3,$E122&lt;=AI$3+6),$A122,"")))</f>
        <v/>
      </c>
      <c r="AJ122" s="47" t="str">
        <f aca="false">IF($A122="","",IF(AND(INDEX(工程マスタ!$I$5:$I$154,$A122)="○",$E122&gt;=AJ$3,$E122&lt;=AJ$3+6),"▼",IF(AND($E122&gt;=AJ$3,$E122&lt;=AJ$3+6),$A122,"")))</f>
        <v/>
      </c>
      <c r="AK122" s="47" t="str">
        <f aca="false">IF($A122="","",IF(AND(INDEX(工程マスタ!$I$5:$I$154,$A122)="○",$E122&gt;=AK$3,$E122&lt;=AK$3+6),"▼",IF(AND($E122&gt;=AK$3,$E122&lt;=AK$3+6),$A122,"")))</f>
        <v/>
      </c>
      <c r="AL122" s="47" t="str">
        <f aca="false">IF($A122="","",IF(AND(INDEX(工程マスタ!$I$5:$I$154,$A122)="○",$E122&gt;=AL$3,$E122&lt;=AL$3+6),"▼",IF(AND($E122&gt;=AL$3,$E122&lt;=AL$3+6),$A122,"")))</f>
        <v/>
      </c>
      <c r="AM122" s="47" t="str">
        <f aca="false">IF($A122="","",IF(AND(INDEX(工程マスタ!$I$5:$I$154,$A122)="○",$E122&gt;=AM$3,$E122&lt;=AM$3+6),"▼",IF(AND($E122&gt;=AM$3,$E122&lt;=AM$3+6),$A122,"")))</f>
        <v/>
      </c>
      <c r="AN122" s="47" t="str">
        <f aca="false">IF($A122="","",IF(AND(INDEX(工程マスタ!$I$5:$I$154,$A122)="○",$E122&gt;=AN$3,$E122&lt;=AN$3+6),"▼",IF(AND($E122&gt;=AN$3,$E122&lt;=AN$3+6),$A122,"")))</f>
        <v/>
      </c>
      <c r="AO122" s="47" t="str">
        <f aca="false">IF($A122="","",IF(AND(INDEX(工程マスタ!$I$5:$I$154,$A122)="○",$E122&gt;=AO$3,$E122&lt;=AO$3+6),"▼",IF(AND($E122&gt;=AO$3,$E122&lt;=AO$3+6),$A122,"")))</f>
        <v/>
      </c>
      <c r="AP122" s="47" t="str">
        <f aca="false">IF($A122="","",IF(AND(INDEX(工程マスタ!$I$5:$I$154,$A122)="○",$E122&gt;=AP$3,$E122&lt;=AP$3+6),"▼",IF(AND($E122&gt;=AP$3,$E122&lt;=AP$3+6),$A122,"")))</f>
        <v/>
      </c>
      <c r="AQ122" s="47" t="str">
        <f aca="false">IF($A122="","",IF(AND(INDEX(工程マスタ!$I$5:$I$154,$A122)="○",$E122&gt;=AQ$3,$E122&lt;=AQ$3+6),"▼",IF(AND($E122&gt;=AQ$3,$E122&lt;=AQ$3+6),$A122,"")))</f>
        <v/>
      </c>
      <c r="AR122" s="47" t="str">
        <f aca="false">IF($A122="","",IF(AND(INDEX(工程マスタ!$I$5:$I$154,$A122)="○",$E122&gt;=AR$3,$E122&lt;=AR$3+6),"▼",IF(AND($E122&gt;=AR$3,$E122&lt;=AR$3+6),$A122,"")))</f>
        <v/>
      </c>
      <c r="AS122" s="47" t="str">
        <f aca="false">IF($A122="","",IF(AND(INDEX(工程マスタ!$I$5:$I$154,$A122)="○",$E122&gt;=AS$3,$E122&lt;=AS$3+6),"▼",IF(AND($E122&gt;=AS$3,$E122&lt;=AS$3+6),$A122,"")))</f>
        <v/>
      </c>
      <c r="AT122" s="47" t="str">
        <f aca="false">IF($A122="","",IF(AND(INDEX(工程マスタ!$I$5:$I$154,$A122)="○",$E122&gt;=AT$3,$E122&lt;=AT$3+6),"▼",IF(AND($E122&gt;=AT$3,$E122&lt;=AT$3+6),$A122,"")))</f>
        <v/>
      </c>
      <c r="AU122" s="47" t="str">
        <f aca="false">IF($A122="","",IF(AND(INDEX(工程マスタ!$I$5:$I$154,$A122)="○",$E122&gt;=AU$3,$E122&lt;=AU$3+6),"▼",IF(AND($E122&gt;=AU$3,$E122&lt;=AU$3+6),$A122,"")))</f>
        <v/>
      </c>
      <c r="AV122" s="47" t="str">
        <f aca="false">IF($A122="","",IF(AND(INDEX(工程マスタ!$I$5:$I$154,$A122)="○",$E122&gt;=AV$3,$E122&lt;=AV$3+6),"▼",IF(AND($E122&gt;=AV$3,$E122&lt;=AV$3+6),$A122,"")))</f>
        <v/>
      </c>
      <c r="AW122" s="47" t="str">
        <f aca="false">IF($A122="","",IF(AND(INDEX(工程マスタ!$I$5:$I$154,$A122)="○",$E122&gt;=AW$3,$E122&lt;=AW$3+6),"▼",IF(AND($E122&gt;=AW$3,$E122&lt;=AW$3+6),$A122,"")))</f>
        <v/>
      </c>
      <c r="AX122" s="47" t="str">
        <f aca="false">IF($A122="","",IF(AND(INDEX(工程マスタ!$I$5:$I$154,$A122)="○",$E122&gt;=AX$3,$E122&lt;=AX$3+6),"▼",IF(AND($E122&gt;=AX$3,$E122&lt;=AX$3+6),$A122,"")))</f>
        <v/>
      </c>
      <c r="AY122" s="47" t="str">
        <f aca="false">IF($A122="","",IF(AND(INDEX(工程マスタ!$I$5:$I$154,$A122)="○",$E122&gt;=AY$3,$E122&lt;=AY$3+6),"▼",IF(AND($E122&gt;=AY$3,$E122&lt;=AY$3+6),$A122,"")))</f>
        <v/>
      </c>
      <c r="AZ122" s="47" t="str">
        <f aca="false">IF($A122="","",IF(AND(INDEX(工程マスタ!$I$5:$I$154,$A122)="○",$E122&gt;=AZ$3,$E122&lt;=AZ$3+6),"▼",IF(AND($E122&gt;=AZ$3,$E122&lt;=AZ$3+6),$A122,"")))</f>
        <v/>
      </c>
      <c r="BA122" s="47" t="str">
        <f aca="false">IF($A122="","",IF(AND(INDEX(工程マスタ!$I$5:$I$154,$A122)="○",$E122&gt;=BA$3,$E122&lt;=BA$3+6),"▼",IF(AND($E122&gt;=BA$3,$E122&lt;=BA$3+6),$A122,"")))</f>
        <v/>
      </c>
      <c r="BB122" s="47" t="str">
        <f aca="false">IF($A122="","",IF(AND(INDEX(工程マスタ!$I$5:$I$154,$A122)="○",$E122&gt;=BB$3,$E122&lt;=BB$3+6),"▼",IF(AND($E122&gt;=BB$3,$E122&lt;=BB$3+6),$A122,"")))</f>
        <v/>
      </c>
      <c r="BC122" s="47" t="str">
        <f aca="false">IF($A122="","",IF(AND(INDEX(工程マスタ!$I$5:$I$154,$A122)="○",$E122&gt;=BC$3,$E122&lt;=BC$3+6),"▼",IF(AND($E122&gt;=BC$3,$E122&lt;=BC$3+6),$A122,"")))</f>
        <v/>
      </c>
      <c r="BD122" s="47" t="str">
        <f aca="false">IF($A122="","",IF(AND(INDEX(工程マスタ!$I$5:$I$154,$A122)="○",$E122&gt;=BD$3,$E122&lt;=BD$3+6),"▼",IF(AND($E122&gt;=BD$3,$E122&lt;=BD$3+6),$A122,"")))</f>
        <v/>
      </c>
      <c r="BE122" s="47" t="str">
        <f aca="false">IF($A122="","",IF(AND(INDEX(工程マスタ!$I$5:$I$154,$A122)="○",$E122&gt;=BE$3,$E122&lt;=BE$3+6),"▼",IF(AND($E122&gt;=BE$3,$E122&lt;=BE$3+6),$A122,"")))</f>
        <v/>
      </c>
      <c r="BF122" s="47" t="str">
        <f aca="false">IF($A122="","",IF(AND(INDEX(工程マスタ!$I$5:$I$154,$A122)="○",$E122&gt;=BF$3,$E122&lt;=BF$3+6),"▼",IF(AND($E122&gt;=BF$3,$E122&lt;=BF$3+6),$A122,"")))</f>
        <v/>
      </c>
      <c r="BG122" s="47" t="str">
        <f aca="false">IF($A122="","",IF(AND(INDEX(工程マスタ!$I$5:$I$154,$A122)="○",$E122&gt;=BG$3,$E122&lt;=BG$3+6),"▼",IF(AND($E122&gt;=BG$3,$E122&lt;=BG$3+6),$A122,"")))</f>
        <v/>
      </c>
      <c r="BH122" s="47" t="str">
        <f aca="false">IF($A122="","",IF(AND(INDEX(工程マスタ!$I$5:$I$154,$A122)="○",$E122&gt;=BH$3,$E122&lt;=BH$3+6),"▼",IF(AND($E122&gt;=BH$3,$E122&lt;=BH$3+6),$A122,"")))</f>
        <v/>
      </c>
      <c r="BI122" s="47" t="str">
        <f aca="false">IF($A122="","",IF(AND(INDEX(工程マスタ!$I$5:$I$154,$A122)="○",$E122&gt;=BI$3,$E122&lt;=BI$3+6),"▼",IF(AND($E122&gt;=BI$3,$E122&lt;=BI$3+6),$A122,"")))</f>
        <v/>
      </c>
      <c r="BJ122" s="47" t="str">
        <f aca="false">IF($A122="","",IF(AND(INDEX(工程マスタ!$I$5:$I$154,$A122)="○",$E122&gt;=BJ$3,$E122&lt;=BJ$3+6),"▼",IF(AND($E122&gt;=BJ$3,$E122&lt;=BJ$3+6),$A122,"")))</f>
        <v/>
      </c>
    </row>
    <row r="123" customFormat="false" ht="15" hidden="false" customHeight="false" outlineLevel="0" collapsed="false">
      <c r="A123" s="28" t="str">
        <f aca="false">IF(工程マスタ!$C121="","",工程マスタ!$A121)</f>
        <v/>
      </c>
      <c r="B123" s="46" t="str">
        <f aca="false">IF($A123="","",工程マスタ!$C121)</f>
        <v/>
      </c>
      <c r="C123" s="28" t="str">
        <f aca="false">IF($A123="","",MAX(1,工程マスタ!$G121))</f>
        <v/>
      </c>
      <c r="D123" s="28" t="str">
        <f aca="false">IF($A123="","",_xlfn.TEXTJOIN(",",TRUE(),工程マスタ!$N121:$P121))</f>
        <v/>
      </c>
      <c r="E123" s="29" t="str">
        <f aca="false">IF($A123="","",IF(COUNT(工程マスタ!$N121:$P121)=0,設定!$B$8,MAX(IF(工程マスタ!$N121="",0,INDEX($F$7:$F$156,工程マスタ!$N121)),IF(工程マスタ!$O121="",0,INDEX($F$7:$F$156,工程マスタ!$O121)),IF(工程マスタ!$P121="",0,INDEX($F$7:$F$156,工程マスタ!$P121)))+1))</f>
        <v/>
      </c>
      <c r="F123" s="29" t="str">
        <f aca="false">IF($A123="","",$E123+$C123-1)</f>
        <v/>
      </c>
      <c r="G123" s="29" t="str">
        <f aca="false">IF($A123="","",$H123-$C123+1)</f>
        <v/>
      </c>
      <c r="H123" s="29" t="str">
        <f aca="false" t="array" ref="H123:H123">IF($A123="","",IF(SUMPRODUCT((工程マスタ!$N$122:$N$154=$A123)*1)+SUMPRODUCT((工程マスタ!$O$122:$O$154=$A123)*1)+SUMPRODUCT((工程マスタ!$P$122:$P$154=$A123)*1)=0,MAX($F$7:$F$156),MIN(IF((工程マスタ!$N$122:$N$154=$A123)+(工程マスタ!$O$122:$O$154=$A123)+(工程マスタ!$P$122:$P$154=$A123),$G124:$G$156))-1))</f>
        <v/>
      </c>
      <c r="I123" s="28" t="str">
        <f aca="false">IF($A123="","",$G123-$E123)</f>
        <v/>
      </c>
      <c r="J123" s="28" t="str">
        <f aca="false">IF($A123="","",IF($I123&lt;=0,"●",""))</f>
        <v/>
      </c>
      <c r="K123" s="47" t="str">
        <f aca="false">IF($A123="","",IF(AND(INDEX(工程マスタ!$I$5:$I$154,$A123)="○",$E123&gt;=K$3,$E123&lt;=K$3+6),"▼",IF(AND($E123&gt;=K$3,$E123&lt;=K$3+6),$A123,"")))</f>
        <v/>
      </c>
      <c r="L123" s="47" t="str">
        <f aca="false">IF($A123="","",IF(AND(INDEX(工程マスタ!$I$5:$I$154,$A123)="○",$E123&gt;=L$3,$E123&lt;=L$3+6),"▼",IF(AND($E123&gt;=L$3,$E123&lt;=L$3+6),$A123,"")))</f>
        <v/>
      </c>
      <c r="M123" s="47" t="str">
        <f aca="false">IF($A123="","",IF(AND(INDEX(工程マスタ!$I$5:$I$154,$A123)="○",$E123&gt;=M$3,$E123&lt;=M$3+6),"▼",IF(AND($E123&gt;=M$3,$E123&lt;=M$3+6),$A123,"")))</f>
        <v/>
      </c>
      <c r="N123" s="47" t="str">
        <f aca="false">IF($A123="","",IF(AND(INDEX(工程マスタ!$I$5:$I$154,$A123)="○",$E123&gt;=N$3,$E123&lt;=N$3+6),"▼",IF(AND($E123&gt;=N$3,$E123&lt;=N$3+6),$A123,"")))</f>
        <v/>
      </c>
      <c r="O123" s="47" t="str">
        <f aca="false">IF($A123="","",IF(AND(INDEX(工程マスタ!$I$5:$I$154,$A123)="○",$E123&gt;=O$3,$E123&lt;=O$3+6),"▼",IF(AND($E123&gt;=O$3,$E123&lt;=O$3+6),$A123,"")))</f>
        <v/>
      </c>
      <c r="P123" s="47" t="str">
        <f aca="false">IF($A123="","",IF(AND(INDEX(工程マスタ!$I$5:$I$154,$A123)="○",$E123&gt;=P$3,$E123&lt;=P$3+6),"▼",IF(AND($E123&gt;=P$3,$E123&lt;=P$3+6),$A123,"")))</f>
        <v/>
      </c>
      <c r="Q123" s="47" t="str">
        <f aca="false">IF($A123="","",IF(AND(INDEX(工程マスタ!$I$5:$I$154,$A123)="○",$E123&gt;=Q$3,$E123&lt;=Q$3+6),"▼",IF(AND($E123&gt;=Q$3,$E123&lt;=Q$3+6),$A123,"")))</f>
        <v/>
      </c>
      <c r="R123" s="47" t="str">
        <f aca="false">IF($A123="","",IF(AND(INDEX(工程マスタ!$I$5:$I$154,$A123)="○",$E123&gt;=R$3,$E123&lt;=R$3+6),"▼",IF(AND($E123&gt;=R$3,$E123&lt;=R$3+6),$A123,"")))</f>
        <v/>
      </c>
      <c r="S123" s="47" t="str">
        <f aca="false">IF($A123="","",IF(AND(INDEX(工程マスタ!$I$5:$I$154,$A123)="○",$E123&gt;=S$3,$E123&lt;=S$3+6),"▼",IF(AND($E123&gt;=S$3,$E123&lt;=S$3+6),$A123,"")))</f>
        <v/>
      </c>
      <c r="T123" s="47" t="str">
        <f aca="false">IF($A123="","",IF(AND(INDEX(工程マスタ!$I$5:$I$154,$A123)="○",$E123&gt;=T$3,$E123&lt;=T$3+6),"▼",IF(AND($E123&gt;=T$3,$E123&lt;=T$3+6),$A123,"")))</f>
        <v/>
      </c>
      <c r="U123" s="47" t="str">
        <f aca="false">IF($A123="","",IF(AND(INDEX(工程マスタ!$I$5:$I$154,$A123)="○",$E123&gt;=U$3,$E123&lt;=U$3+6),"▼",IF(AND($E123&gt;=U$3,$E123&lt;=U$3+6),$A123,"")))</f>
        <v/>
      </c>
      <c r="V123" s="47" t="str">
        <f aca="false">IF($A123="","",IF(AND(INDEX(工程マスタ!$I$5:$I$154,$A123)="○",$E123&gt;=V$3,$E123&lt;=V$3+6),"▼",IF(AND($E123&gt;=V$3,$E123&lt;=V$3+6),$A123,"")))</f>
        <v/>
      </c>
      <c r="W123" s="47" t="str">
        <f aca="false">IF($A123="","",IF(AND(INDEX(工程マスタ!$I$5:$I$154,$A123)="○",$E123&gt;=W$3,$E123&lt;=W$3+6),"▼",IF(AND($E123&gt;=W$3,$E123&lt;=W$3+6),$A123,"")))</f>
        <v/>
      </c>
      <c r="X123" s="47" t="str">
        <f aca="false">IF($A123="","",IF(AND(INDEX(工程マスタ!$I$5:$I$154,$A123)="○",$E123&gt;=X$3,$E123&lt;=X$3+6),"▼",IF(AND($E123&gt;=X$3,$E123&lt;=X$3+6),$A123,"")))</f>
        <v/>
      </c>
      <c r="Y123" s="47" t="str">
        <f aca="false">IF($A123="","",IF(AND(INDEX(工程マスタ!$I$5:$I$154,$A123)="○",$E123&gt;=Y$3,$E123&lt;=Y$3+6),"▼",IF(AND($E123&gt;=Y$3,$E123&lt;=Y$3+6),$A123,"")))</f>
        <v/>
      </c>
      <c r="Z123" s="47" t="str">
        <f aca="false">IF($A123="","",IF(AND(INDEX(工程マスタ!$I$5:$I$154,$A123)="○",$E123&gt;=Z$3,$E123&lt;=Z$3+6),"▼",IF(AND($E123&gt;=Z$3,$E123&lt;=Z$3+6),$A123,"")))</f>
        <v/>
      </c>
      <c r="AA123" s="47" t="str">
        <f aca="false">IF($A123="","",IF(AND(INDEX(工程マスタ!$I$5:$I$154,$A123)="○",$E123&gt;=AA$3,$E123&lt;=AA$3+6),"▼",IF(AND($E123&gt;=AA$3,$E123&lt;=AA$3+6),$A123,"")))</f>
        <v/>
      </c>
      <c r="AB123" s="47" t="str">
        <f aca="false">IF($A123="","",IF(AND(INDEX(工程マスタ!$I$5:$I$154,$A123)="○",$E123&gt;=AB$3,$E123&lt;=AB$3+6),"▼",IF(AND($E123&gt;=AB$3,$E123&lt;=AB$3+6),$A123,"")))</f>
        <v/>
      </c>
      <c r="AC123" s="47" t="str">
        <f aca="false">IF($A123="","",IF(AND(INDEX(工程マスタ!$I$5:$I$154,$A123)="○",$E123&gt;=AC$3,$E123&lt;=AC$3+6),"▼",IF(AND($E123&gt;=AC$3,$E123&lt;=AC$3+6),$A123,"")))</f>
        <v/>
      </c>
      <c r="AD123" s="47" t="str">
        <f aca="false">IF($A123="","",IF(AND(INDEX(工程マスタ!$I$5:$I$154,$A123)="○",$E123&gt;=AD$3,$E123&lt;=AD$3+6),"▼",IF(AND($E123&gt;=AD$3,$E123&lt;=AD$3+6),$A123,"")))</f>
        <v/>
      </c>
      <c r="AE123" s="47" t="str">
        <f aca="false">IF($A123="","",IF(AND(INDEX(工程マスタ!$I$5:$I$154,$A123)="○",$E123&gt;=AE$3,$E123&lt;=AE$3+6),"▼",IF(AND($E123&gt;=AE$3,$E123&lt;=AE$3+6),$A123,"")))</f>
        <v/>
      </c>
      <c r="AF123" s="47" t="str">
        <f aca="false">IF($A123="","",IF(AND(INDEX(工程マスタ!$I$5:$I$154,$A123)="○",$E123&gt;=AF$3,$E123&lt;=AF$3+6),"▼",IF(AND($E123&gt;=AF$3,$E123&lt;=AF$3+6),$A123,"")))</f>
        <v/>
      </c>
      <c r="AG123" s="47" t="str">
        <f aca="false">IF($A123="","",IF(AND(INDEX(工程マスタ!$I$5:$I$154,$A123)="○",$E123&gt;=AG$3,$E123&lt;=AG$3+6),"▼",IF(AND($E123&gt;=AG$3,$E123&lt;=AG$3+6),$A123,"")))</f>
        <v/>
      </c>
      <c r="AH123" s="47" t="str">
        <f aca="false">IF($A123="","",IF(AND(INDEX(工程マスタ!$I$5:$I$154,$A123)="○",$E123&gt;=AH$3,$E123&lt;=AH$3+6),"▼",IF(AND($E123&gt;=AH$3,$E123&lt;=AH$3+6),$A123,"")))</f>
        <v/>
      </c>
      <c r="AI123" s="47" t="str">
        <f aca="false">IF($A123="","",IF(AND(INDEX(工程マスタ!$I$5:$I$154,$A123)="○",$E123&gt;=AI$3,$E123&lt;=AI$3+6),"▼",IF(AND($E123&gt;=AI$3,$E123&lt;=AI$3+6),$A123,"")))</f>
        <v/>
      </c>
      <c r="AJ123" s="47" t="str">
        <f aca="false">IF($A123="","",IF(AND(INDEX(工程マスタ!$I$5:$I$154,$A123)="○",$E123&gt;=AJ$3,$E123&lt;=AJ$3+6),"▼",IF(AND($E123&gt;=AJ$3,$E123&lt;=AJ$3+6),$A123,"")))</f>
        <v/>
      </c>
      <c r="AK123" s="47" t="str">
        <f aca="false">IF($A123="","",IF(AND(INDEX(工程マスタ!$I$5:$I$154,$A123)="○",$E123&gt;=AK$3,$E123&lt;=AK$3+6),"▼",IF(AND($E123&gt;=AK$3,$E123&lt;=AK$3+6),$A123,"")))</f>
        <v/>
      </c>
      <c r="AL123" s="47" t="str">
        <f aca="false">IF($A123="","",IF(AND(INDEX(工程マスタ!$I$5:$I$154,$A123)="○",$E123&gt;=AL$3,$E123&lt;=AL$3+6),"▼",IF(AND($E123&gt;=AL$3,$E123&lt;=AL$3+6),$A123,"")))</f>
        <v/>
      </c>
      <c r="AM123" s="47" t="str">
        <f aca="false">IF($A123="","",IF(AND(INDEX(工程マスタ!$I$5:$I$154,$A123)="○",$E123&gt;=AM$3,$E123&lt;=AM$3+6),"▼",IF(AND($E123&gt;=AM$3,$E123&lt;=AM$3+6),$A123,"")))</f>
        <v/>
      </c>
      <c r="AN123" s="47" t="str">
        <f aca="false">IF($A123="","",IF(AND(INDEX(工程マスタ!$I$5:$I$154,$A123)="○",$E123&gt;=AN$3,$E123&lt;=AN$3+6),"▼",IF(AND($E123&gt;=AN$3,$E123&lt;=AN$3+6),$A123,"")))</f>
        <v/>
      </c>
      <c r="AO123" s="47" t="str">
        <f aca="false">IF($A123="","",IF(AND(INDEX(工程マスタ!$I$5:$I$154,$A123)="○",$E123&gt;=AO$3,$E123&lt;=AO$3+6),"▼",IF(AND($E123&gt;=AO$3,$E123&lt;=AO$3+6),$A123,"")))</f>
        <v/>
      </c>
      <c r="AP123" s="47" t="str">
        <f aca="false">IF($A123="","",IF(AND(INDEX(工程マスタ!$I$5:$I$154,$A123)="○",$E123&gt;=AP$3,$E123&lt;=AP$3+6),"▼",IF(AND($E123&gt;=AP$3,$E123&lt;=AP$3+6),$A123,"")))</f>
        <v/>
      </c>
      <c r="AQ123" s="47" t="str">
        <f aca="false">IF($A123="","",IF(AND(INDEX(工程マスタ!$I$5:$I$154,$A123)="○",$E123&gt;=AQ$3,$E123&lt;=AQ$3+6),"▼",IF(AND($E123&gt;=AQ$3,$E123&lt;=AQ$3+6),$A123,"")))</f>
        <v/>
      </c>
      <c r="AR123" s="47" t="str">
        <f aca="false">IF($A123="","",IF(AND(INDEX(工程マスタ!$I$5:$I$154,$A123)="○",$E123&gt;=AR$3,$E123&lt;=AR$3+6),"▼",IF(AND($E123&gt;=AR$3,$E123&lt;=AR$3+6),$A123,"")))</f>
        <v/>
      </c>
      <c r="AS123" s="47" t="str">
        <f aca="false">IF($A123="","",IF(AND(INDEX(工程マスタ!$I$5:$I$154,$A123)="○",$E123&gt;=AS$3,$E123&lt;=AS$3+6),"▼",IF(AND($E123&gt;=AS$3,$E123&lt;=AS$3+6),$A123,"")))</f>
        <v/>
      </c>
      <c r="AT123" s="47" t="str">
        <f aca="false">IF($A123="","",IF(AND(INDEX(工程マスタ!$I$5:$I$154,$A123)="○",$E123&gt;=AT$3,$E123&lt;=AT$3+6),"▼",IF(AND($E123&gt;=AT$3,$E123&lt;=AT$3+6),$A123,"")))</f>
        <v/>
      </c>
      <c r="AU123" s="47" t="str">
        <f aca="false">IF($A123="","",IF(AND(INDEX(工程マスタ!$I$5:$I$154,$A123)="○",$E123&gt;=AU$3,$E123&lt;=AU$3+6),"▼",IF(AND($E123&gt;=AU$3,$E123&lt;=AU$3+6),$A123,"")))</f>
        <v/>
      </c>
      <c r="AV123" s="47" t="str">
        <f aca="false">IF($A123="","",IF(AND(INDEX(工程マスタ!$I$5:$I$154,$A123)="○",$E123&gt;=AV$3,$E123&lt;=AV$3+6),"▼",IF(AND($E123&gt;=AV$3,$E123&lt;=AV$3+6),$A123,"")))</f>
        <v/>
      </c>
      <c r="AW123" s="47" t="str">
        <f aca="false">IF($A123="","",IF(AND(INDEX(工程マスタ!$I$5:$I$154,$A123)="○",$E123&gt;=AW$3,$E123&lt;=AW$3+6),"▼",IF(AND($E123&gt;=AW$3,$E123&lt;=AW$3+6),$A123,"")))</f>
        <v/>
      </c>
      <c r="AX123" s="47" t="str">
        <f aca="false">IF($A123="","",IF(AND(INDEX(工程マスタ!$I$5:$I$154,$A123)="○",$E123&gt;=AX$3,$E123&lt;=AX$3+6),"▼",IF(AND($E123&gt;=AX$3,$E123&lt;=AX$3+6),$A123,"")))</f>
        <v/>
      </c>
      <c r="AY123" s="47" t="str">
        <f aca="false">IF($A123="","",IF(AND(INDEX(工程マスタ!$I$5:$I$154,$A123)="○",$E123&gt;=AY$3,$E123&lt;=AY$3+6),"▼",IF(AND($E123&gt;=AY$3,$E123&lt;=AY$3+6),$A123,"")))</f>
        <v/>
      </c>
      <c r="AZ123" s="47" t="str">
        <f aca="false">IF($A123="","",IF(AND(INDEX(工程マスタ!$I$5:$I$154,$A123)="○",$E123&gt;=AZ$3,$E123&lt;=AZ$3+6),"▼",IF(AND($E123&gt;=AZ$3,$E123&lt;=AZ$3+6),$A123,"")))</f>
        <v/>
      </c>
      <c r="BA123" s="47" t="str">
        <f aca="false">IF($A123="","",IF(AND(INDEX(工程マスタ!$I$5:$I$154,$A123)="○",$E123&gt;=BA$3,$E123&lt;=BA$3+6),"▼",IF(AND($E123&gt;=BA$3,$E123&lt;=BA$3+6),$A123,"")))</f>
        <v/>
      </c>
      <c r="BB123" s="47" t="str">
        <f aca="false">IF($A123="","",IF(AND(INDEX(工程マスタ!$I$5:$I$154,$A123)="○",$E123&gt;=BB$3,$E123&lt;=BB$3+6),"▼",IF(AND($E123&gt;=BB$3,$E123&lt;=BB$3+6),$A123,"")))</f>
        <v/>
      </c>
      <c r="BC123" s="47" t="str">
        <f aca="false">IF($A123="","",IF(AND(INDEX(工程マスタ!$I$5:$I$154,$A123)="○",$E123&gt;=BC$3,$E123&lt;=BC$3+6),"▼",IF(AND($E123&gt;=BC$3,$E123&lt;=BC$3+6),$A123,"")))</f>
        <v/>
      </c>
      <c r="BD123" s="47" t="str">
        <f aca="false">IF($A123="","",IF(AND(INDEX(工程マスタ!$I$5:$I$154,$A123)="○",$E123&gt;=BD$3,$E123&lt;=BD$3+6),"▼",IF(AND($E123&gt;=BD$3,$E123&lt;=BD$3+6),$A123,"")))</f>
        <v/>
      </c>
      <c r="BE123" s="47" t="str">
        <f aca="false">IF($A123="","",IF(AND(INDEX(工程マスタ!$I$5:$I$154,$A123)="○",$E123&gt;=BE$3,$E123&lt;=BE$3+6),"▼",IF(AND($E123&gt;=BE$3,$E123&lt;=BE$3+6),$A123,"")))</f>
        <v/>
      </c>
      <c r="BF123" s="47" t="str">
        <f aca="false">IF($A123="","",IF(AND(INDEX(工程マスタ!$I$5:$I$154,$A123)="○",$E123&gt;=BF$3,$E123&lt;=BF$3+6),"▼",IF(AND($E123&gt;=BF$3,$E123&lt;=BF$3+6),$A123,"")))</f>
        <v/>
      </c>
      <c r="BG123" s="47" t="str">
        <f aca="false">IF($A123="","",IF(AND(INDEX(工程マスタ!$I$5:$I$154,$A123)="○",$E123&gt;=BG$3,$E123&lt;=BG$3+6),"▼",IF(AND($E123&gt;=BG$3,$E123&lt;=BG$3+6),$A123,"")))</f>
        <v/>
      </c>
      <c r="BH123" s="47" t="str">
        <f aca="false">IF($A123="","",IF(AND(INDEX(工程マスタ!$I$5:$I$154,$A123)="○",$E123&gt;=BH$3,$E123&lt;=BH$3+6),"▼",IF(AND($E123&gt;=BH$3,$E123&lt;=BH$3+6),$A123,"")))</f>
        <v/>
      </c>
      <c r="BI123" s="47" t="str">
        <f aca="false">IF($A123="","",IF(AND(INDEX(工程マスタ!$I$5:$I$154,$A123)="○",$E123&gt;=BI$3,$E123&lt;=BI$3+6),"▼",IF(AND($E123&gt;=BI$3,$E123&lt;=BI$3+6),$A123,"")))</f>
        <v/>
      </c>
      <c r="BJ123" s="47" t="str">
        <f aca="false">IF($A123="","",IF(AND(INDEX(工程マスタ!$I$5:$I$154,$A123)="○",$E123&gt;=BJ$3,$E123&lt;=BJ$3+6),"▼",IF(AND($E123&gt;=BJ$3,$E123&lt;=BJ$3+6),$A123,"")))</f>
        <v/>
      </c>
    </row>
    <row r="124" customFormat="false" ht="15" hidden="false" customHeight="false" outlineLevel="0" collapsed="false">
      <c r="A124" s="28" t="str">
        <f aca="false">IF(工程マスタ!$C122="","",工程マスタ!$A122)</f>
        <v/>
      </c>
      <c r="B124" s="46" t="str">
        <f aca="false">IF($A124="","",工程マスタ!$C122)</f>
        <v/>
      </c>
      <c r="C124" s="28" t="str">
        <f aca="false">IF($A124="","",MAX(1,工程マスタ!$G122))</f>
        <v/>
      </c>
      <c r="D124" s="28" t="str">
        <f aca="false">IF($A124="","",_xlfn.TEXTJOIN(",",TRUE(),工程マスタ!$N122:$P122))</f>
        <v/>
      </c>
      <c r="E124" s="29" t="str">
        <f aca="false">IF($A124="","",IF(COUNT(工程マスタ!$N122:$P122)=0,設定!$B$8,MAX(IF(工程マスタ!$N122="",0,INDEX($F$7:$F$156,工程マスタ!$N122)),IF(工程マスタ!$O122="",0,INDEX($F$7:$F$156,工程マスタ!$O122)),IF(工程マスタ!$P122="",0,INDEX($F$7:$F$156,工程マスタ!$P122)))+1))</f>
        <v/>
      </c>
      <c r="F124" s="29" t="str">
        <f aca="false">IF($A124="","",$E124+$C124-1)</f>
        <v/>
      </c>
      <c r="G124" s="29" t="str">
        <f aca="false">IF($A124="","",$H124-$C124+1)</f>
        <v/>
      </c>
      <c r="H124" s="29" t="str">
        <f aca="false" t="array" ref="H124:H124">IF($A124="","",IF(SUMPRODUCT((工程マスタ!$N$123:$N$154=$A124)*1)+SUMPRODUCT((工程マスタ!$O$123:$O$154=$A124)*1)+SUMPRODUCT((工程マスタ!$P$123:$P$154=$A124)*1)=0,MAX($F$7:$F$156),MIN(IF((工程マスタ!$N$123:$N$154=$A124)+(工程マスタ!$O$123:$O$154=$A124)+(工程マスタ!$P$123:$P$154=$A124),$G125:$G$156))-1))</f>
        <v/>
      </c>
      <c r="I124" s="28" t="str">
        <f aca="false">IF($A124="","",$G124-$E124)</f>
        <v/>
      </c>
      <c r="J124" s="28" t="str">
        <f aca="false">IF($A124="","",IF($I124&lt;=0,"●",""))</f>
        <v/>
      </c>
      <c r="K124" s="47" t="str">
        <f aca="false">IF($A124="","",IF(AND(INDEX(工程マスタ!$I$5:$I$154,$A124)="○",$E124&gt;=K$3,$E124&lt;=K$3+6),"▼",IF(AND($E124&gt;=K$3,$E124&lt;=K$3+6),$A124,"")))</f>
        <v/>
      </c>
      <c r="L124" s="47" t="str">
        <f aca="false">IF($A124="","",IF(AND(INDEX(工程マスタ!$I$5:$I$154,$A124)="○",$E124&gt;=L$3,$E124&lt;=L$3+6),"▼",IF(AND($E124&gt;=L$3,$E124&lt;=L$3+6),$A124,"")))</f>
        <v/>
      </c>
      <c r="M124" s="47" t="str">
        <f aca="false">IF($A124="","",IF(AND(INDEX(工程マスタ!$I$5:$I$154,$A124)="○",$E124&gt;=M$3,$E124&lt;=M$3+6),"▼",IF(AND($E124&gt;=M$3,$E124&lt;=M$3+6),$A124,"")))</f>
        <v/>
      </c>
      <c r="N124" s="47" t="str">
        <f aca="false">IF($A124="","",IF(AND(INDEX(工程マスタ!$I$5:$I$154,$A124)="○",$E124&gt;=N$3,$E124&lt;=N$3+6),"▼",IF(AND($E124&gt;=N$3,$E124&lt;=N$3+6),$A124,"")))</f>
        <v/>
      </c>
      <c r="O124" s="47" t="str">
        <f aca="false">IF($A124="","",IF(AND(INDEX(工程マスタ!$I$5:$I$154,$A124)="○",$E124&gt;=O$3,$E124&lt;=O$3+6),"▼",IF(AND($E124&gt;=O$3,$E124&lt;=O$3+6),$A124,"")))</f>
        <v/>
      </c>
      <c r="P124" s="47" t="str">
        <f aca="false">IF($A124="","",IF(AND(INDEX(工程マスタ!$I$5:$I$154,$A124)="○",$E124&gt;=P$3,$E124&lt;=P$3+6),"▼",IF(AND($E124&gt;=P$3,$E124&lt;=P$3+6),$A124,"")))</f>
        <v/>
      </c>
      <c r="Q124" s="47" t="str">
        <f aca="false">IF($A124="","",IF(AND(INDEX(工程マスタ!$I$5:$I$154,$A124)="○",$E124&gt;=Q$3,$E124&lt;=Q$3+6),"▼",IF(AND($E124&gt;=Q$3,$E124&lt;=Q$3+6),$A124,"")))</f>
        <v/>
      </c>
      <c r="R124" s="47" t="str">
        <f aca="false">IF($A124="","",IF(AND(INDEX(工程マスタ!$I$5:$I$154,$A124)="○",$E124&gt;=R$3,$E124&lt;=R$3+6),"▼",IF(AND($E124&gt;=R$3,$E124&lt;=R$3+6),$A124,"")))</f>
        <v/>
      </c>
      <c r="S124" s="47" t="str">
        <f aca="false">IF($A124="","",IF(AND(INDEX(工程マスタ!$I$5:$I$154,$A124)="○",$E124&gt;=S$3,$E124&lt;=S$3+6),"▼",IF(AND($E124&gt;=S$3,$E124&lt;=S$3+6),$A124,"")))</f>
        <v/>
      </c>
      <c r="T124" s="47" t="str">
        <f aca="false">IF($A124="","",IF(AND(INDEX(工程マスタ!$I$5:$I$154,$A124)="○",$E124&gt;=T$3,$E124&lt;=T$3+6),"▼",IF(AND($E124&gt;=T$3,$E124&lt;=T$3+6),$A124,"")))</f>
        <v/>
      </c>
      <c r="U124" s="47" t="str">
        <f aca="false">IF($A124="","",IF(AND(INDEX(工程マスタ!$I$5:$I$154,$A124)="○",$E124&gt;=U$3,$E124&lt;=U$3+6),"▼",IF(AND($E124&gt;=U$3,$E124&lt;=U$3+6),$A124,"")))</f>
        <v/>
      </c>
      <c r="V124" s="47" t="str">
        <f aca="false">IF($A124="","",IF(AND(INDEX(工程マスタ!$I$5:$I$154,$A124)="○",$E124&gt;=V$3,$E124&lt;=V$3+6),"▼",IF(AND($E124&gt;=V$3,$E124&lt;=V$3+6),$A124,"")))</f>
        <v/>
      </c>
      <c r="W124" s="47" t="str">
        <f aca="false">IF($A124="","",IF(AND(INDEX(工程マスタ!$I$5:$I$154,$A124)="○",$E124&gt;=W$3,$E124&lt;=W$3+6),"▼",IF(AND($E124&gt;=W$3,$E124&lt;=W$3+6),$A124,"")))</f>
        <v/>
      </c>
      <c r="X124" s="47" t="str">
        <f aca="false">IF($A124="","",IF(AND(INDEX(工程マスタ!$I$5:$I$154,$A124)="○",$E124&gt;=X$3,$E124&lt;=X$3+6),"▼",IF(AND($E124&gt;=X$3,$E124&lt;=X$3+6),$A124,"")))</f>
        <v/>
      </c>
      <c r="Y124" s="47" t="str">
        <f aca="false">IF($A124="","",IF(AND(INDEX(工程マスタ!$I$5:$I$154,$A124)="○",$E124&gt;=Y$3,$E124&lt;=Y$3+6),"▼",IF(AND($E124&gt;=Y$3,$E124&lt;=Y$3+6),$A124,"")))</f>
        <v/>
      </c>
      <c r="Z124" s="47" t="str">
        <f aca="false">IF($A124="","",IF(AND(INDEX(工程マスタ!$I$5:$I$154,$A124)="○",$E124&gt;=Z$3,$E124&lt;=Z$3+6),"▼",IF(AND($E124&gt;=Z$3,$E124&lt;=Z$3+6),$A124,"")))</f>
        <v/>
      </c>
      <c r="AA124" s="47" t="str">
        <f aca="false">IF($A124="","",IF(AND(INDEX(工程マスタ!$I$5:$I$154,$A124)="○",$E124&gt;=AA$3,$E124&lt;=AA$3+6),"▼",IF(AND($E124&gt;=AA$3,$E124&lt;=AA$3+6),$A124,"")))</f>
        <v/>
      </c>
      <c r="AB124" s="47" t="str">
        <f aca="false">IF($A124="","",IF(AND(INDEX(工程マスタ!$I$5:$I$154,$A124)="○",$E124&gt;=AB$3,$E124&lt;=AB$3+6),"▼",IF(AND($E124&gt;=AB$3,$E124&lt;=AB$3+6),$A124,"")))</f>
        <v/>
      </c>
      <c r="AC124" s="47" t="str">
        <f aca="false">IF($A124="","",IF(AND(INDEX(工程マスタ!$I$5:$I$154,$A124)="○",$E124&gt;=AC$3,$E124&lt;=AC$3+6),"▼",IF(AND($E124&gt;=AC$3,$E124&lt;=AC$3+6),$A124,"")))</f>
        <v/>
      </c>
      <c r="AD124" s="47" t="str">
        <f aca="false">IF($A124="","",IF(AND(INDEX(工程マスタ!$I$5:$I$154,$A124)="○",$E124&gt;=AD$3,$E124&lt;=AD$3+6),"▼",IF(AND($E124&gt;=AD$3,$E124&lt;=AD$3+6),$A124,"")))</f>
        <v/>
      </c>
      <c r="AE124" s="47" t="str">
        <f aca="false">IF($A124="","",IF(AND(INDEX(工程マスタ!$I$5:$I$154,$A124)="○",$E124&gt;=AE$3,$E124&lt;=AE$3+6),"▼",IF(AND($E124&gt;=AE$3,$E124&lt;=AE$3+6),$A124,"")))</f>
        <v/>
      </c>
      <c r="AF124" s="47" t="str">
        <f aca="false">IF($A124="","",IF(AND(INDEX(工程マスタ!$I$5:$I$154,$A124)="○",$E124&gt;=AF$3,$E124&lt;=AF$3+6),"▼",IF(AND($E124&gt;=AF$3,$E124&lt;=AF$3+6),$A124,"")))</f>
        <v/>
      </c>
      <c r="AG124" s="47" t="str">
        <f aca="false">IF($A124="","",IF(AND(INDEX(工程マスタ!$I$5:$I$154,$A124)="○",$E124&gt;=AG$3,$E124&lt;=AG$3+6),"▼",IF(AND($E124&gt;=AG$3,$E124&lt;=AG$3+6),$A124,"")))</f>
        <v/>
      </c>
      <c r="AH124" s="47" t="str">
        <f aca="false">IF($A124="","",IF(AND(INDEX(工程マスタ!$I$5:$I$154,$A124)="○",$E124&gt;=AH$3,$E124&lt;=AH$3+6),"▼",IF(AND($E124&gt;=AH$3,$E124&lt;=AH$3+6),$A124,"")))</f>
        <v/>
      </c>
      <c r="AI124" s="47" t="str">
        <f aca="false">IF($A124="","",IF(AND(INDEX(工程マスタ!$I$5:$I$154,$A124)="○",$E124&gt;=AI$3,$E124&lt;=AI$3+6),"▼",IF(AND($E124&gt;=AI$3,$E124&lt;=AI$3+6),$A124,"")))</f>
        <v/>
      </c>
      <c r="AJ124" s="47" t="str">
        <f aca="false">IF($A124="","",IF(AND(INDEX(工程マスタ!$I$5:$I$154,$A124)="○",$E124&gt;=AJ$3,$E124&lt;=AJ$3+6),"▼",IF(AND($E124&gt;=AJ$3,$E124&lt;=AJ$3+6),$A124,"")))</f>
        <v/>
      </c>
      <c r="AK124" s="47" t="str">
        <f aca="false">IF($A124="","",IF(AND(INDEX(工程マスタ!$I$5:$I$154,$A124)="○",$E124&gt;=AK$3,$E124&lt;=AK$3+6),"▼",IF(AND($E124&gt;=AK$3,$E124&lt;=AK$3+6),$A124,"")))</f>
        <v/>
      </c>
      <c r="AL124" s="47" t="str">
        <f aca="false">IF($A124="","",IF(AND(INDEX(工程マスタ!$I$5:$I$154,$A124)="○",$E124&gt;=AL$3,$E124&lt;=AL$3+6),"▼",IF(AND($E124&gt;=AL$3,$E124&lt;=AL$3+6),$A124,"")))</f>
        <v/>
      </c>
      <c r="AM124" s="47" t="str">
        <f aca="false">IF($A124="","",IF(AND(INDEX(工程マスタ!$I$5:$I$154,$A124)="○",$E124&gt;=AM$3,$E124&lt;=AM$3+6),"▼",IF(AND($E124&gt;=AM$3,$E124&lt;=AM$3+6),$A124,"")))</f>
        <v/>
      </c>
      <c r="AN124" s="47" t="str">
        <f aca="false">IF($A124="","",IF(AND(INDEX(工程マスタ!$I$5:$I$154,$A124)="○",$E124&gt;=AN$3,$E124&lt;=AN$3+6),"▼",IF(AND($E124&gt;=AN$3,$E124&lt;=AN$3+6),$A124,"")))</f>
        <v/>
      </c>
      <c r="AO124" s="47" t="str">
        <f aca="false">IF($A124="","",IF(AND(INDEX(工程マスタ!$I$5:$I$154,$A124)="○",$E124&gt;=AO$3,$E124&lt;=AO$3+6),"▼",IF(AND($E124&gt;=AO$3,$E124&lt;=AO$3+6),$A124,"")))</f>
        <v/>
      </c>
      <c r="AP124" s="47" t="str">
        <f aca="false">IF($A124="","",IF(AND(INDEX(工程マスタ!$I$5:$I$154,$A124)="○",$E124&gt;=AP$3,$E124&lt;=AP$3+6),"▼",IF(AND($E124&gt;=AP$3,$E124&lt;=AP$3+6),$A124,"")))</f>
        <v/>
      </c>
      <c r="AQ124" s="47" t="str">
        <f aca="false">IF($A124="","",IF(AND(INDEX(工程マスタ!$I$5:$I$154,$A124)="○",$E124&gt;=AQ$3,$E124&lt;=AQ$3+6),"▼",IF(AND($E124&gt;=AQ$3,$E124&lt;=AQ$3+6),$A124,"")))</f>
        <v/>
      </c>
      <c r="AR124" s="47" t="str">
        <f aca="false">IF($A124="","",IF(AND(INDEX(工程マスタ!$I$5:$I$154,$A124)="○",$E124&gt;=AR$3,$E124&lt;=AR$3+6),"▼",IF(AND($E124&gt;=AR$3,$E124&lt;=AR$3+6),$A124,"")))</f>
        <v/>
      </c>
      <c r="AS124" s="47" t="str">
        <f aca="false">IF($A124="","",IF(AND(INDEX(工程マスタ!$I$5:$I$154,$A124)="○",$E124&gt;=AS$3,$E124&lt;=AS$3+6),"▼",IF(AND($E124&gt;=AS$3,$E124&lt;=AS$3+6),$A124,"")))</f>
        <v/>
      </c>
      <c r="AT124" s="47" t="str">
        <f aca="false">IF($A124="","",IF(AND(INDEX(工程マスタ!$I$5:$I$154,$A124)="○",$E124&gt;=AT$3,$E124&lt;=AT$3+6),"▼",IF(AND($E124&gt;=AT$3,$E124&lt;=AT$3+6),$A124,"")))</f>
        <v/>
      </c>
      <c r="AU124" s="47" t="str">
        <f aca="false">IF($A124="","",IF(AND(INDEX(工程マスタ!$I$5:$I$154,$A124)="○",$E124&gt;=AU$3,$E124&lt;=AU$3+6),"▼",IF(AND($E124&gt;=AU$3,$E124&lt;=AU$3+6),$A124,"")))</f>
        <v/>
      </c>
      <c r="AV124" s="47" t="str">
        <f aca="false">IF($A124="","",IF(AND(INDEX(工程マスタ!$I$5:$I$154,$A124)="○",$E124&gt;=AV$3,$E124&lt;=AV$3+6),"▼",IF(AND($E124&gt;=AV$3,$E124&lt;=AV$3+6),$A124,"")))</f>
        <v/>
      </c>
      <c r="AW124" s="47" t="str">
        <f aca="false">IF($A124="","",IF(AND(INDEX(工程マスタ!$I$5:$I$154,$A124)="○",$E124&gt;=AW$3,$E124&lt;=AW$3+6),"▼",IF(AND($E124&gt;=AW$3,$E124&lt;=AW$3+6),$A124,"")))</f>
        <v/>
      </c>
      <c r="AX124" s="47" t="str">
        <f aca="false">IF($A124="","",IF(AND(INDEX(工程マスタ!$I$5:$I$154,$A124)="○",$E124&gt;=AX$3,$E124&lt;=AX$3+6),"▼",IF(AND($E124&gt;=AX$3,$E124&lt;=AX$3+6),$A124,"")))</f>
        <v/>
      </c>
      <c r="AY124" s="47" t="str">
        <f aca="false">IF($A124="","",IF(AND(INDEX(工程マスタ!$I$5:$I$154,$A124)="○",$E124&gt;=AY$3,$E124&lt;=AY$3+6),"▼",IF(AND($E124&gt;=AY$3,$E124&lt;=AY$3+6),$A124,"")))</f>
        <v/>
      </c>
      <c r="AZ124" s="47" t="str">
        <f aca="false">IF($A124="","",IF(AND(INDEX(工程マスタ!$I$5:$I$154,$A124)="○",$E124&gt;=AZ$3,$E124&lt;=AZ$3+6),"▼",IF(AND($E124&gt;=AZ$3,$E124&lt;=AZ$3+6),$A124,"")))</f>
        <v/>
      </c>
      <c r="BA124" s="47" t="str">
        <f aca="false">IF($A124="","",IF(AND(INDEX(工程マスタ!$I$5:$I$154,$A124)="○",$E124&gt;=BA$3,$E124&lt;=BA$3+6),"▼",IF(AND($E124&gt;=BA$3,$E124&lt;=BA$3+6),$A124,"")))</f>
        <v/>
      </c>
      <c r="BB124" s="47" t="str">
        <f aca="false">IF($A124="","",IF(AND(INDEX(工程マスタ!$I$5:$I$154,$A124)="○",$E124&gt;=BB$3,$E124&lt;=BB$3+6),"▼",IF(AND($E124&gt;=BB$3,$E124&lt;=BB$3+6),$A124,"")))</f>
        <v/>
      </c>
      <c r="BC124" s="47" t="str">
        <f aca="false">IF($A124="","",IF(AND(INDEX(工程マスタ!$I$5:$I$154,$A124)="○",$E124&gt;=BC$3,$E124&lt;=BC$3+6),"▼",IF(AND($E124&gt;=BC$3,$E124&lt;=BC$3+6),$A124,"")))</f>
        <v/>
      </c>
      <c r="BD124" s="47" t="str">
        <f aca="false">IF($A124="","",IF(AND(INDEX(工程マスタ!$I$5:$I$154,$A124)="○",$E124&gt;=BD$3,$E124&lt;=BD$3+6),"▼",IF(AND($E124&gt;=BD$3,$E124&lt;=BD$3+6),$A124,"")))</f>
        <v/>
      </c>
      <c r="BE124" s="47" t="str">
        <f aca="false">IF($A124="","",IF(AND(INDEX(工程マスタ!$I$5:$I$154,$A124)="○",$E124&gt;=BE$3,$E124&lt;=BE$3+6),"▼",IF(AND($E124&gt;=BE$3,$E124&lt;=BE$3+6),$A124,"")))</f>
        <v/>
      </c>
      <c r="BF124" s="47" t="str">
        <f aca="false">IF($A124="","",IF(AND(INDEX(工程マスタ!$I$5:$I$154,$A124)="○",$E124&gt;=BF$3,$E124&lt;=BF$3+6),"▼",IF(AND($E124&gt;=BF$3,$E124&lt;=BF$3+6),$A124,"")))</f>
        <v/>
      </c>
      <c r="BG124" s="47" t="str">
        <f aca="false">IF($A124="","",IF(AND(INDEX(工程マスタ!$I$5:$I$154,$A124)="○",$E124&gt;=BG$3,$E124&lt;=BG$3+6),"▼",IF(AND($E124&gt;=BG$3,$E124&lt;=BG$3+6),$A124,"")))</f>
        <v/>
      </c>
      <c r="BH124" s="47" t="str">
        <f aca="false">IF($A124="","",IF(AND(INDEX(工程マスタ!$I$5:$I$154,$A124)="○",$E124&gt;=BH$3,$E124&lt;=BH$3+6),"▼",IF(AND($E124&gt;=BH$3,$E124&lt;=BH$3+6),$A124,"")))</f>
        <v/>
      </c>
      <c r="BI124" s="47" t="str">
        <f aca="false">IF($A124="","",IF(AND(INDEX(工程マスタ!$I$5:$I$154,$A124)="○",$E124&gt;=BI$3,$E124&lt;=BI$3+6),"▼",IF(AND($E124&gt;=BI$3,$E124&lt;=BI$3+6),$A124,"")))</f>
        <v/>
      </c>
      <c r="BJ124" s="47" t="str">
        <f aca="false">IF($A124="","",IF(AND(INDEX(工程マスタ!$I$5:$I$154,$A124)="○",$E124&gt;=BJ$3,$E124&lt;=BJ$3+6),"▼",IF(AND($E124&gt;=BJ$3,$E124&lt;=BJ$3+6),$A124,"")))</f>
        <v/>
      </c>
    </row>
    <row r="125" customFormat="false" ht="15" hidden="false" customHeight="false" outlineLevel="0" collapsed="false">
      <c r="A125" s="28" t="str">
        <f aca="false">IF(工程マスタ!$C123="","",工程マスタ!$A123)</f>
        <v/>
      </c>
      <c r="B125" s="46" t="str">
        <f aca="false">IF($A125="","",工程マスタ!$C123)</f>
        <v/>
      </c>
      <c r="C125" s="28" t="str">
        <f aca="false">IF($A125="","",MAX(1,工程マスタ!$G123))</f>
        <v/>
      </c>
      <c r="D125" s="28" t="str">
        <f aca="false">IF($A125="","",_xlfn.TEXTJOIN(",",TRUE(),工程マスタ!$N123:$P123))</f>
        <v/>
      </c>
      <c r="E125" s="29" t="str">
        <f aca="false">IF($A125="","",IF(COUNT(工程マスタ!$N123:$P123)=0,設定!$B$8,MAX(IF(工程マスタ!$N123="",0,INDEX($F$7:$F$156,工程マスタ!$N123)),IF(工程マスタ!$O123="",0,INDEX($F$7:$F$156,工程マスタ!$O123)),IF(工程マスタ!$P123="",0,INDEX($F$7:$F$156,工程マスタ!$P123)))+1))</f>
        <v/>
      </c>
      <c r="F125" s="29" t="str">
        <f aca="false">IF($A125="","",$E125+$C125-1)</f>
        <v/>
      </c>
      <c r="G125" s="29" t="str">
        <f aca="false">IF($A125="","",$H125-$C125+1)</f>
        <v/>
      </c>
      <c r="H125" s="29" t="str">
        <f aca="false" t="array" ref="H125:H125">IF($A125="","",IF(SUMPRODUCT((工程マスタ!$N$124:$N$154=$A125)*1)+SUMPRODUCT((工程マスタ!$O$124:$O$154=$A125)*1)+SUMPRODUCT((工程マスタ!$P$124:$P$154=$A125)*1)=0,MAX($F$7:$F$156),MIN(IF((工程マスタ!$N$124:$N$154=$A125)+(工程マスタ!$O$124:$O$154=$A125)+(工程マスタ!$P$124:$P$154=$A125),$G126:$G$156))-1))</f>
        <v/>
      </c>
      <c r="I125" s="28" t="str">
        <f aca="false">IF($A125="","",$G125-$E125)</f>
        <v/>
      </c>
      <c r="J125" s="28" t="str">
        <f aca="false">IF($A125="","",IF($I125&lt;=0,"●",""))</f>
        <v/>
      </c>
      <c r="K125" s="47" t="str">
        <f aca="false">IF($A125="","",IF(AND(INDEX(工程マスタ!$I$5:$I$154,$A125)="○",$E125&gt;=K$3,$E125&lt;=K$3+6),"▼",IF(AND($E125&gt;=K$3,$E125&lt;=K$3+6),$A125,"")))</f>
        <v/>
      </c>
      <c r="L125" s="47" t="str">
        <f aca="false">IF($A125="","",IF(AND(INDEX(工程マスタ!$I$5:$I$154,$A125)="○",$E125&gt;=L$3,$E125&lt;=L$3+6),"▼",IF(AND($E125&gt;=L$3,$E125&lt;=L$3+6),$A125,"")))</f>
        <v/>
      </c>
      <c r="M125" s="47" t="str">
        <f aca="false">IF($A125="","",IF(AND(INDEX(工程マスタ!$I$5:$I$154,$A125)="○",$E125&gt;=M$3,$E125&lt;=M$3+6),"▼",IF(AND($E125&gt;=M$3,$E125&lt;=M$3+6),$A125,"")))</f>
        <v/>
      </c>
      <c r="N125" s="47" t="str">
        <f aca="false">IF($A125="","",IF(AND(INDEX(工程マスタ!$I$5:$I$154,$A125)="○",$E125&gt;=N$3,$E125&lt;=N$3+6),"▼",IF(AND($E125&gt;=N$3,$E125&lt;=N$3+6),$A125,"")))</f>
        <v/>
      </c>
      <c r="O125" s="47" t="str">
        <f aca="false">IF($A125="","",IF(AND(INDEX(工程マスタ!$I$5:$I$154,$A125)="○",$E125&gt;=O$3,$E125&lt;=O$3+6),"▼",IF(AND($E125&gt;=O$3,$E125&lt;=O$3+6),$A125,"")))</f>
        <v/>
      </c>
      <c r="P125" s="47" t="str">
        <f aca="false">IF($A125="","",IF(AND(INDEX(工程マスタ!$I$5:$I$154,$A125)="○",$E125&gt;=P$3,$E125&lt;=P$3+6),"▼",IF(AND($E125&gt;=P$3,$E125&lt;=P$3+6),$A125,"")))</f>
        <v/>
      </c>
      <c r="Q125" s="47" t="str">
        <f aca="false">IF($A125="","",IF(AND(INDEX(工程マスタ!$I$5:$I$154,$A125)="○",$E125&gt;=Q$3,$E125&lt;=Q$3+6),"▼",IF(AND($E125&gt;=Q$3,$E125&lt;=Q$3+6),$A125,"")))</f>
        <v/>
      </c>
      <c r="R125" s="47" t="str">
        <f aca="false">IF($A125="","",IF(AND(INDEX(工程マスタ!$I$5:$I$154,$A125)="○",$E125&gt;=R$3,$E125&lt;=R$3+6),"▼",IF(AND($E125&gt;=R$3,$E125&lt;=R$3+6),$A125,"")))</f>
        <v/>
      </c>
      <c r="S125" s="47" t="str">
        <f aca="false">IF($A125="","",IF(AND(INDEX(工程マスタ!$I$5:$I$154,$A125)="○",$E125&gt;=S$3,$E125&lt;=S$3+6),"▼",IF(AND($E125&gt;=S$3,$E125&lt;=S$3+6),$A125,"")))</f>
        <v/>
      </c>
      <c r="T125" s="47" t="str">
        <f aca="false">IF($A125="","",IF(AND(INDEX(工程マスタ!$I$5:$I$154,$A125)="○",$E125&gt;=T$3,$E125&lt;=T$3+6),"▼",IF(AND($E125&gt;=T$3,$E125&lt;=T$3+6),$A125,"")))</f>
        <v/>
      </c>
      <c r="U125" s="47" t="str">
        <f aca="false">IF($A125="","",IF(AND(INDEX(工程マスタ!$I$5:$I$154,$A125)="○",$E125&gt;=U$3,$E125&lt;=U$3+6),"▼",IF(AND($E125&gt;=U$3,$E125&lt;=U$3+6),$A125,"")))</f>
        <v/>
      </c>
      <c r="V125" s="47" t="str">
        <f aca="false">IF($A125="","",IF(AND(INDEX(工程マスタ!$I$5:$I$154,$A125)="○",$E125&gt;=V$3,$E125&lt;=V$3+6),"▼",IF(AND($E125&gt;=V$3,$E125&lt;=V$3+6),$A125,"")))</f>
        <v/>
      </c>
      <c r="W125" s="47" t="str">
        <f aca="false">IF($A125="","",IF(AND(INDEX(工程マスタ!$I$5:$I$154,$A125)="○",$E125&gt;=W$3,$E125&lt;=W$3+6),"▼",IF(AND($E125&gt;=W$3,$E125&lt;=W$3+6),$A125,"")))</f>
        <v/>
      </c>
      <c r="X125" s="47" t="str">
        <f aca="false">IF($A125="","",IF(AND(INDEX(工程マスタ!$I$5:$I$154,$A125)="○",$E125&gt;=X$3,$E125&lt;=X$3+6),"▼",IF(AND($E125&gt;=X$3,$E125&lt;=X$3+6),$A125,"")))</f>
        <v/>
      </c>
      <c r="Y125" s="47" t="str">
        <f aca="false">IF($A125="","",IF(AND(INDEX(工程マスタ!$I$5:$I$154,$A125)="○",$E125&gt;=Y$3,$E125&lt;=Y$3+6),"▼",IF(AND($E125&gt;=Y$3,$E125&lt;=Y$3+6),$A125,"")))</f>
        <v/>
      </c>
      <c r="Z125" s="47" t="str">
        <f aca="false">IF($A125="","",IF(AND(INDEX(工程マスタ!$I$5:$I$154,$A125)="○",$E125&gt;=Z$3,$E125&lt;=Z$3+6),"▼",IF(AND($E125&gt;=Z$3,$E125&lt;=Z$3+6),$A125,"")))</f>
        <v/>
      </c>
      <c r="AA125" s="47" t="str">
        <f aca="false">IF($A125="","",IF(AND(INDEX(工程マスタ!$I$5:$I$154,$A125)="○",$E125&gt;=AA$3,$E125&lt;=AA$3+6),"▼",IF(AND($E125&gt;=AA$3,$E125&lt;=AA$3+6),$A125,"")))</f>
        <v/>
      </c>
      <c r="AB125" s="47" t="str">
        <f aca="false">IF($A125="","",IF(AND(INDEX(工程マスタ!$I$5:$I$154,$A125)="○",$E125&gt;=AB$3,$E125&lt;=AB$3+6),"▼",IF(AND($E125&gt;=AB$3,$E125&lt;=AB$3+6),$A125,"")))</f>
        <v/>
      </c>
      <c r="AC125" s="47" t="str">
        <f aca="false">IF($A125="","",IF(AND(INDEX(工程マスタ!$I$5:$I$154,$A125)="○",$E125&gt;=AC$3,$E125&lt;=AC$3+6),"▼",IF(AND($E125&gt;=AC$3,$E125&lt;=AC$3+6),$A125,"")))</f>
        <v/>
      </c>
      <c r="AD125" s="47" t="str">
        <f aca="false">IF($A125="","",IF(AND(INDEX(工程マスタ!$I$5:$I$154,$A125)="○",$E125&gt;=AD$3,$E125&lt;=AD$3+6),"▼",IF(AND($E125&gt;=AD$3,$E125&lt;=AD$3+6),$A125,"")))</f>
        <v/>
      </c>
      <c r="AE125" s="47" t="str">
        <f aca="false">IF($A125="","",IF(AND(INDEX(工程マスタ!$I$5:$I$154,$A125)="○",$E125&gt;=AE$3,$E125&lt;=AE$3+6),"▼",IF(AND($E125&gt;=AE$3,$E125&lt;=AE$3+6),$A125,"")))</f>
        <v/>
      </c>
      <c r="AF125" s="47" t="str">
        <f aca="false">IF($A125="","",IF(AND(INDEX(工程マスタ!$I$5:$I$154,$A125)="○",$E125&gt;=AF$3,$E125&lt;=AF$3+6),"▼",IF(AND($E125&gt;=AF$3,$E125&lt;=AF$3+6),$A125,"")))</f>
        <v/>
      </c>
      <c r="AG125" s="47" t="str">
        <f aca="false">IF($A125="","",IF(AND(INDEX(工程マスタ!$I$5:$I$154,$A125)="○",$E125&gt;=AG$3,$E125&lt;=AG$3+6),"▼",IF(AND($E125&gt;=AG$3,$E125&lt;=AG$3+6),$A125,"")))</f>
        <v/>
      </c>
      <c r="AH125" s="47" t="str">
        <f aca="false">IF($A125="","",IF(AND(INDEX(工程マスタ!$I$5:$I$154,$A125)="○",$E125&gt;=AH$3,$E125&lt;=AH$3+6),"▼",IF(AND($E125&gt;=AH$3,$E125&lt;=AH$3+6),$A125,"")))</f>
        <v/>
      </c>
      <c r="AI125" s="47" t="str">
        <f aca="false">IF($A125="","",IF(AND(INDEX(工程マスタ!$I$5:$I$154,$A125)="○",$E125&gt;=AI$3,$E125&lt;=AI$3+6),"▼",IF(AND($E125&gt;=AI$3,$E125&lt;=AI$3+6),$A125,"")))</f>
        <v/>
      </c>
      <c r="AJ125" s="47" t="str">
        <f aca="false">IF($A125="","",IF(AND(INDEX(工程マスタ!$I$5:$I$154,$A125)="○",$E125&gt;=AJ$3,$E125&lt;=AJ$3+6),"▼",IF(AND($E125&gt;=AJ$3,$E125&lt;=AJ$3+6),$A125,"")))</f>
        <v/>
      </c>
      <c r="AK125" s="47" t="str">
        <f aca="false">IF($A125="","",IF(AND(INDEX(工程マスタ!$I$5:$I$154,$A125)="○",$E125&gt;=AK$3,$E125&lt;=AK$3+6),"▼",IF(AND($E125&gt;=AK$3,$E125&lt;=AK$3+6),$A125,"")))</f>
        <v/>
      </c>
      <c r="AL125" s="47" t="str">
        <f aca="false">IF($A125="","",IF(AND(INDEX(工程マスタ!$I$5:$I$154,$A125)="○",$E125&gt;=AL$3,$E125&lt;=AL$3+6),"▼",IF(AND($E125&gt;=AL$3,$E125&lt;=AL$3+6),$A125,"")))</f>
        <v/>
      </c>
      <c r="AM125" s="47" t="str">
        <f aca="false">IF($A125="","",IF(AND(INDEX(工程マスタ!$I$5:$I$154,$A125)="○",$E125&gt;=AM$3,$E125&lt;=AM$3+6),"▼",IF(AND($E125&gt;=AM$3,$E125&lt;=AM$3+6),$A125,"")))</f>
        <v/>
      </c>
      <c r="AN125" s="47" t="str">
        <f aca="false">IF($A125="","",IF(AND(INDEX(工程マスタ!$I$5:$I$154,$A125)="○",$E125&gt;=AN$3,$E125&lt;=AN$3+6),"▼",IF(AND($E125&gt;=AN$3,$E125&lt;=AN$3+6),$A125,"")))</f>
        <v/>
      </c>
      <c r="AO125" s="47" t="str">
        <f aca="false">IF($A125="","",IF(AND(INDEX(工程マスタ!$I$5:$I$154,$A125)="○",$E125&gt;=AO$3,$E125&lt;=AO$3+6),"▼",IF(AND($E125&gt;=AO$3,$E125&lt;=AO$3+6),$A125,"")))</f>
        <v/>
      </c>
      <c r="AP125" s="47" t="str">
        <f aca="false">IF($A125="","",IF(AND(INDEX(工程マスタ!$I$5:$I$154,$A125)="○",$E125&gt;=AP$3,$E125&lt;=AP$3+6),"▼",IF(AND($E125&gt;=AP$3,$E125&lt;=AP$3+6),$A125,"")))</f>
        <v/>
      </c>
      <c r="AQ125" s="47" t="str">
        <f aca="false">IF($A125="","",IF(AND(INDEX(工程マスタ!$I$5:$I$154,$A125)="○",$E125&gt;=AQ$3,$E125&lt;=AQ$3+6),"▼",IF(AND($E125&gt;=AQ$3,$E125&lt;=AQ$3+6),$A125,"")))</f>
        <v/>
      </c>
      <c r="AR125" s="47" t="str">
        <f aca="false">IF($A125="","",IF(AND(INDEX(工程マスタ!$I$5:$I$154,$A125)="○",$E125&gt;=AR$3,$E125&lt;=AR$3+6),"▼",IF(AND($E125&gt;=AR$3,$E125&lt;=AR$3+6),$A125,"")))</f>
        <v/>
      </c>
      <c r="AS125" s="47" t="str">
        <f aca="false">IF($A125="","",IF(AND(INDEX(工程マスタ!$I$5:$I$154,$A125)="○",$E125&gt;=AS$3,$E125&lt;=AS$3+6),"▼",IF(AND($E125&gt;=AS$3,$E125&lt;=AS$3+6),$A125,"")))</f>
        <v/>
      </c>
      <c r="AT125" s="47" t="str">
        <f aca="false">IF($A125="","",IF(AND(INDEX(工程マスタ!$I$5:$I$154,$A125)="○",$E125&gt;=AT$3,$E125&lt;=AT$3+6),"▼",IF(AND($E125&gt;=AT$3,$E125&lt;=AT$3+6),$A125,"")))</f>
        <v/>
      </c>
      <c r="AU125" s="47" t="str">
        <f aca="false">IF($A125="","",IF(AND(INDEX(工程マスタ!$I$5:$I$154,$A125)="○",$E125&gt;=AU$3,$E125&lt;=AU$3+6),"▼",IF(AND($E125&gt;=AU$3,$E125&lt;=AU$3+6),$A125,"")))</f>
        <v/>
      </c>
      <c r="AV125" s="47" t="str">
        <f aca="false">IF($A125="","",IF(AND(INDEX(工程マスタ!$I$5:$I$154,$A125)="○",$E125&gt;=AV$3,$E125&lt;=AV$3+6),"▼",IF(AND($E125&gt;=AV$3,$E125&lt;=AV$3+6),$A125,"")))</f>
        <v/>
      </c>
      <c r="AW125" s="47" t="str">
        <f aca="false">IF($A125="","",IF(AND(INDEX(工程マスタ!$I$5:$I$154,$A125)="○",$E125&gt;=AW$3,$E125&lt;=AW$3+6),"▼",IF(AND($E125&gt;=AW$3,$E125&lt;=AW$3+6),$A125,"")))</f>
        <v/>
      </c>
      <c r="AX125" s="47" t="str">
        <f aca="false">IF($A125="","",IF(AND(INDEX(工程マスタ!$I$5:$I$154,$A125)="○",$E125&gt;=AX$3,$E125&lt;=AX$3+6),"▼",IF(AND($E125&gt;=AX$3,$E125&lt;=AX$3+6),$A125,"")))</f>
        <v/>
      </c>
      <c r="AY125" s="47" t="str">
        <f aca="false">IF($A125="","",IF(AND(INDEX(工程マスタ!$I$5:$I$154,$A125)="○",$E125&gt;=AY$3,$E125&lt;=AY$3+6),"▼",IF(AND($E125&gt;=AY$3,$E125&lt;=AY$3+6),$A125,"")))</f>
        <v/>
      </c>
      <c r="AZ125" s="47" t="str">
        <f aca="false">IF($A125="","",IF(AND(INDEX(工程マスタ!$I$5:$I$154,$A125)="○",$E125&gt;=AZ$3,$E125&lt;=AZ$3+6),"▼",IF(AND($E125&gt;=AZ$3,$E125&lt;=AZ$3+6),$A125,"")))</f>
        <v/>
      </c>
      <c r="BA125" s="47" t="str">
        <f aca="false">IF($A125="","",IF(AND(INDEX(工程マスタ!$I$5:$I$154,$A125)="○",$E125&gt;=BA$3,$E125&lt;=BA$3+6),"▼",IF(AND($E125&gt;=BA$3,$E125&lt;=BA$3+6),$A125,"")))</f>
        <v/>
      </c>
      <c r="BB125" s="47" t="str">
        <f aca="false">IF($A125="","",IF(AND(INDEX(工程マスタ!$I$5:$I$154,$A125)="○",$E125&gt;=BB$3,$E125&lt;=BB$3+6),"▼",IF(AND($E125&gt;=BB$3,$E125&lt;=BB$3+6),$A125,"")))</f>
        <v/>
      </c>
      <c r="BC125" s="47" t="str">
        <f aca="false">IF($A125="","",IF(AND(INDEX(工程マスタ!$I$5:$I$154,$A125)="○",$E125&gt;=BC$3,$E125&lt;=BC$3+6),"▼",IF(AND($E125&gt;=BC$3,$E125&lt;=BC$3+6),$A125,"")))</f>
        <v/>
      </c>
      <c r="BD125" s="47" t="str">
        <f aca="false">IF($A125="","",IF(AND(INDEX(工程マスタ!$I$5:$I$154,$A125)="○",$E125&gt;=BD$3,$E125&lt;=BD$3+6),"▼",IF(AND($E125&gt;=BD$3,$E125&lt;=BD$3+6),$A125,"")))</f>
        <v/>
      </c>
      <c r="BE125" s="47" t="str">
        <f aca="false">IF($A125="","",IF(AND(INDEX(工程マスタ!$I$5:$I$154,$A125)="○",$E125&gt;=BE$3,$E125&lt;=BE$3+6),"▼",IF(AND($E125&gt;=BE$3,$E125&lt;=BE$3+6),$A125,"")))</f>
        <v/>
      </c>
      <c r="BF125" s="47" t="str">
        <f aca="false">IF($A125="","",IF(AND(INDEX(工程マスタ!$I$5:$I$154,$A125)="○",$E125&gt;=BF$3,$E125&lt;=BF$3+6),"▼",IF(AND($E125&gt;=BF$3,$E125&lt;=BF$3+6),$A125,"")))</f>
        <v/>
      </c>
      <c r="BG125" s="47" t="str">
        <f aca="false">IF($A125="","",IF(AND(INDEX(工程マスタ!$I$5:$I$154,$A125)="○",$E125&gt;=BG$3,$E125&lt;=BG$3+6),"▼",IF(AND($E125&gt;=BG$3,$E125&lt;=BG$3+6),$A125,"")))</f>
        <v/>
      </c>
      <c r="BH125" s="47" t="str">
        <f aca="false">IF($A125="","",IF(AND(INDEX(工程マスタ!$I$5:$I$154,$A125)="○",$E125&gt;=BH$3,$E125&lt;=BH$3+6),"▼",IF(AND($E125&gt;=BH$3,$E125&lt;=BH$3+6),$A125,"")))</f>
        <v/>
      </c>
      <c r="BI125" s="47" t="str">
        <f aca="false">IF($A125="","",IF(AND(INDEX(工程マスタ!$I$5:$I$154,$A125)="○",$E125&gt;=BI$3,$E125&lt;=BI$3+6),"▼",IF(AND($E125&gt;=BI$3,$E125&lt;=BI$3+6),$A125,"")))</f>
        <v/>
      </c>
      <c r="BJ125" s="47" t="str">
        <f aca="false">IF($A125="","",IF(AND(INDEX(工程マスタ!$I$5:$I$154,$A125)="○",$E125&gt;=BJ$3,$E125&lt;=BJ$3+6),"▼",IF(AND($E125&gt;=BJ$3,$E125&lt;=BJ$3+6),$A125,"")))</f>
        <v/>
      </c>
    </row>
    <row r="126" customFormat="false" ht="15" hidden="false" customHeight="false" outlineLevel="0" collapsed="false">
      <c r="A126" s="28" t="str">
        <f aca="false">IF(工程マスタ!$C124="","",工程マスタ!$A124)</f>
        <v/>
      </c>
      <c r="B126" s="46" t="str">
        <f aca="false">IF($A126="","",工程マスタ!$C124)</f>
        <v/>
      </c>
      <c r="C126" s="28" t="str">
        <f aca="false">IF($A126="","",MAX(1,工程マスタ!$G124))</f>
        <v/>
      </c>
      <c r="D126" s="28" t="str">
        <f aca="false">IF($A126="","",_xlfn.TEXTJOIN(",",TRUE(),工程マスタ!$N124:$P124))</f>
        <v/>
      </c>
      <c r="E126" s="29" t="str">
        <f aca="false">IF($A126="","",IF(COUNT(工程マスタ!$N124:$P124)=0,設定!$B$8,MAX(IF(工程マスタ!$N124="",0,INDEX($F$7:$F$156,工程マスタ!$N124)),IF(工程マスタ!$O124="",0,INDEX($F$7:$F$156,工程マスタ!$O124)),IF(工程マスタ!$P124="",0,INDEX($F$7:$F$156,工程マスタ!$P124)))+1))</f>
        <v/>
      </c>
      <c r="F126" s="29" t="str">
        <f aca="false">IF($A126="","",$E126+$C126-1)</f>
        <v/>
      </c>
      <c r="G126" s="29" t="str">
        <f aca="false">IF($A126="","",$H126-$C126+1)</f>
        <v/>
      </c>
      <c r="H126" s="29" t="str">
        <f aca="false" t="array" ref="H126:H126">IF($A126="","",IF(SUMPRODUCT((工程マスタ!$N$125:$N$154=$A126)*1)+SUMPRODUCT((工程マスタ!$O$125:$O$154=$A126)*1)+SUMPRODUCT((工程マスタ!$P$125:$P$154=$A126)*1)=0,MAX($F$7:$F$156),MIN(IF((工程マスタ!$N$125:$N$154=$A126)+(工程マスタ!$O$125:$O$154=$A126)+(工程マスタ!$P$125:$P$154=$A126),$G127:$G$156))-1))</f>
        <v/>
      </c>
      <c r="I126" s="28" t="str">
        <f aca="false">IF($A126="","",$G126-$E126)</f>
        <v/>
      </c>
      <c r="J126" s="28" t="str">
        <f aca="false">IF($A126="","",IF($I126&lt;=0,"●",""))</f>
        <v/>
      </c>
      <c r="K126" s="47" t="str">
        <f aca="false">IF($A126="","",IF(AND(INDEX(工程マスタ!$I$5:$I$154,$A126)="○",$E126&gt;=K$3,$E126&lt;=K$3+6),"▼",IF(AND($E126&gt;=K$3,$E126&lt;=K$3+6),$A126,"")))</f>
        <v/>
      </c>
      <c r="L126" s="47" t="str">
        <f aca="false">IF($A126="","",IF(AND(INDEX(工程マスタ!$I$5:$I$154,$A126)="○",$E126&gt;=L$3,$E126&lt;=L$3+6),"▼",IF(AND($E126&gt;=L$3,$E126&lt;=L$3+6),$A126,"")))</f>
        <v/>
      </c>
      <c r="M126" s="47" t="str">
        <f aca="false">IF($A126="","",IF(AND(INDEX(工程マスタ!$I$5:$I$154,$A126)="○",$E126&gt;=M$3,$E126&lt;=M$3+6),"▼",IF(AND($E126&gt;=M$3,$E126&lt;=M$3+6),$A126,"")))</f>
        <v/>
      </c>
      <c r="N126" s="47" t="str">
        <f aca="false">IF($A126="","",IF(AND(INDEX(工程マスタ!$I$5:$I$154,$A126)="○",$E126&gt;=N$3,$E126&lt;=N$3+6),"▼",IF(AND($E126&gt;=N$3,$E126&lt;=N$3+6),$A126,"")))</f>
        <v/>
      </c>
      <c r="O126" s="47" t="str">
        <f aca="false">IF($A126="","",IF(AND(INDEX(工程マスタ!$I$5:$I$154,$A126)="○",$E126&gt;=O$3,$E126&lt;=O$3+6),"▼",IF(AND($E126&gt;=O$3,$E126&lt;=O$3+6),$A126,"")))</f>
        <v/>
      </c>
      <c r="P126" s="47" t="str">
        <f aca="false">IF($A126="","",IF(AND(INDEX(工程マスタ!$I$5:$I$154,$A126)="○",$E126&gt;=P$3,$E126&lt;=P$3+6),"▼",IF(AND($E126&gt;=P$3,$E126&lt;=P$3+6),$A126,"")))</f>
        <v/>
      </c>
      <c r="Q126" s="47" t="str">
        <f aca="false">IF($A126="","",IF(AND(INDEX(工程マスタ!$I$5:$I$154,$A126)="○",$E126&gt;=Q$3,$E126&lt;=Q$3+6),"▼",IF(AND($E126&gt;=Q$3,$E126&lt;=Q$3+6),$A126,"")))</f>
        <v/>
      </c>
      <c r="R126" s="47" t="str">
        <f aca="false">IF($A126="","",IF(AND(INDEX(工程マスタ!$I$5:$I$154,$A126)="○",$E126&gt;=R$3,$E126&lt;=R$3+6),"▼",IF(AND($E126&gt;=R$3,$E126&lt;=R$3+6),$A126,"")))</f>
        <v/>
      </c>
      <c r="S126" s="47" t="str">
        <f aca="false">IF($A126="","",IF(AND(INDEX(工程マスタ!$I$5:$I$154,$A126)="○",$E126&gt;=S$3,$E126&lt;=S$3+6),"▼",IF(AND($E126&gt;=S$3,$E126&lt;=S$3+6),$A126,"")))</f>
        <v/>
      </c>
      <c r="T126" s="47" t="str">
        <f aca="false">IF($A126="","",IF(AND(INDEX(工程マスタ!$I$5:$I$154,$A126)="○",$E126&gt;=T$3,$E126&lt;=T$3+6),"▼",IF(AND($E126&gt;=T$3,$E126&lt;=T$3+6),$A126,"")))</f>
        <v/>
      </c>
      <c r="U126" s="47" t="str">
        <f aca="false">IF($A126="","",IF(AND(INDEX(工程マスタ!$I$5:$I$154,$A126)="○",$E126&gt;=U$3,$E126&lt;=U$3+6),"▼",IF(AND($E126&gt;=U$3,$E126&lt;=U$3+6),$A126,"")))</f>
        <v/>
      </c>
      <c r="V126" s="47" t="str">
        <f aca="false">IF($A126="","",IF(AND(INDEX(工程マスタ!$I$5:$I$154,$A126)="○",$E126&gt;=V$3,$E126&lt;=V$3+6),"▼",IF(AND($E126&gt;=V$3,$E126&lt;=V$3+6),$A126,"")))</f>
        <v/>
      </c>
      <c r="W126" s="47" t="str">
        <f aca="false">IF($A126="","",IF(AND(INDEX(工程マスタ!$I$5:$I$154,$A126)="○",$E126&gt;=W$3,$E126&lt;=W$3+6),"▼",IF(AND($E126&gt;=W$3,$E126&lt;=W$3+6),$A126,"")))</f>
        <v/>
      </c>
      <c r="X126" s="47" t="str">
        <f aca="false">IF($A126="","",IF(AND(INDEX(工程マスタ!$I$5:$I$154,$A126)="○",$E126&gt;=X$3,$E126&lt;=X$3+6),"▼",IF(AND($E126&gt;=X$3,$E126&lt;=X$3+6),$A126,"")))</f>
        <v/>
      </c>
      <c r="Y126" s="47" t="str">
        <f aca="false">IF($A126="","",IF(AND(INDEX(工程マスタ!$I$5:$I$154,$A126)="○",$E126&gt;=Y$3,$E126&lt;=Y$3+6),"▼",IF(AND($E126&gt;=Y$3,$E126&lt;=Y$3+6),$A126,"")))</f>
        <v/>
      </c>
      <c r="Z126" s="47" t="str">
        <f aca="false">IF($A126="","",IF(AND(INDEX(工程マスタ!$I$5:$I$154,$A126)="○",$E126&gt;=Z$3,$E126&lt;=Z$3+6),"▼",IF(AND($E126&gt;=Z$3,$E126&lt;=Z$3+6),$A126,"")))</f>
        <v/>
      </c>
      <c r="AA126" s="47" t="str">
        <f aca="false">IF($A126="","",IF(AND(INDEX(工程マスタ!$I$5:$I$154,$A126)="○",$E126&gt;=AA$3,$E126&lt;=AA$3+6),"▼",IF(AND($E126&gt;=AA$3,$E126&lt;=AA$3+6),$A126,"")))</f>
        <v/>
      </c>
      <c r="AB126" s="47" t="str">
        <f aca="false">IF($A126="","",IF(AND(INDEX(工程マスタ!$I$5:$I$154,$A126)="○",$E126&gt;=AB$3,$E126&lt;=AB$3+6),"▼",IF(AND($E126&gt;=AB$3,$E126&lt;=AB$3+6),$A126,"")))</f>
        <v/>
      </c>
      <c r="AC126" s="47" t="str">
        <f aca="false">IF($A126="","",IF(AND(INDEX(工程マスタ!$I$5:$I$154,$A126)="○",$E126&gt;=AC$3,$E126&lt;=AC$3+6),"▼",IF(AND($E126&gt;=AC$3,$E126&lt;=AC$3+6),$A126,"")))</f>
        <v/>
      </c>
      <c r="AD126" s="47" t="str">
        <f aca="false">IF($A126="","",IF(AND(INDEX(工程マスタ!$I$5:$I$154,$A126)="○",$E126&gt;=AD$3,$E126&lt;=AD$3+6),"▼",IF(AND($E126&gt;=AD$3,$E126&lt;=AD$3+6),$A126,"")))</f>
        <v/>
      </c>
      <c r="AE126" s="47" t="str">
        <f aca="false">IF($A126="","",IF(AND(INDEX(工程マスタ!$I$5:$I$154,$A126)="○",$E126&gt;=AE$3,$E126&lt;=AE$3+6),"▼",IF(AND($E126&gt;=AE$3,$E126&lt;=AE$3+6),$A126,"")))</f>
        <v/>
      </c>
      <c r="AF126" s="47" t="str">
        <f aca="false">IF($A126="","",IF(AND(INDEX(工程マスタ!$I$5:$I$154,$A126)="○",$E126&gt;=AF$3,$E126&lt;=AF$3+6),"▼",IF(AND($E126&gt;=AF$3,$E126&lt;=AF$3+6),$A126,"")))</f>
        <v/>
      </c>
      <c r="AG126" s="47" t="str">
        <f aca="false">IF($A126="","",IF(AND(INDEX(工程マスタ!$I$5:$I$154,$A126)="○",$E126&gt;=AG$3,$E126&lt;=AG$3+6),"▼",IF(AND($E126&gt;=AG$3,$E126&lt;=AG$3+6),$A126,"")))</f>
        <v/>
      </c>
      <c r="AH126" s="47" t="str">
        <f aca="false">IF($A126="","",IF(AND(INDEX(工程マスタ!$I$5:$I$154,$A126)="○",$E126&gt;=AH$3,$E126&lt;=AH$3+6),"▼",IF(AND($E126&gt;=AH$3,$E126&lt;=AH$3+6),$A126,"")))</f>
        <v/>
      </c>
      <c r="AI126" s="47" t="str">
        <f aca="false">IF($A126="","",IF(AND(INDEX(工程マスタ!$I$5:$I$154,$A126)="○",$E126&gt;=AI$3,$E126&lt;=AI$3+6),"▼",IF(AND($E126&gt;=AI$3,$E126&lt;=AI$3+6),$A126,"")))</f>
        <v/>
      </c>
      <c r="AJ126" s="47" t="str">
        <f aca="false">IF($A126="","",IF(AND(INDEX(工程マスタ!$I$5:$I$154,$A126)="○",$E126&gt;=AJ$3,$E126&lt;=AJ$3+6),"▼",IF(AND($E126&gt;=AJ$3,$E126&lt;=AJ$3+6),$A126,"")))</f>
        <v/>
      </c>
      <c r="AK126" s="47" t="str">
        <f aca="false">IF($A126="","",IF(AND(INDEX(工程マスタ!$I$5:$I$154,$A126)="○",$E126&gt;=AK$3,$E126&lt;=AK$3+6),"▼",IF(AND($E126&gt;=AK$3,$E126&lt;=AK$3+6),$A126,"")))</f>
        <v/>
      </c>
      <c r="AL126" s="47" t="str">
        <f aca="false">IF($A126="","",IF(AND(INDEX(工程マスタ!$I$5:$I$154,$A126)="○",$E126&gt;=AL$3,$E126&lt;=AL$3+6),"▼",IF(AND($E126&gt;=AL$3,$E126&lt;=AL$3+6),$A126,"")))</f>
        <v/>
      </c>
      <c r="AM126" s="47" t="str">
        <f aca="false">IF($A126="","",IF(AND(INDEX(工程マスタ!$I$5:$I$154,$A126)="○",$E126&gt;=AM$3,$E126&lt;=AM$3+6),"▼",IF(AND($E126&gt;=AM$3,$E126&lt;=AM$3+6),$A126,"")))</f>
        <v/>
      </c>
      <c r="AN126" s="47" t="str">
        <f aca="false">IF($A126="","",IF(AND(INDEX(工程マスタ!$I$5:$I$154,$A126)="○",$E126&gt;=AN$3,$E126&lt;=AN$3+6),"▼",IF(AND($E126&gt;=AN$3,$E126&lt;=AN$3+6),$A126,"")))</f>
        <v/>
      </c>
      <c r="AO126" s="47" t="str">
        <f aca="false">IF($A126="","",IF(AND(INDEX(工程マスタ!$I$5:$I$154,$A126)="○",$E126&gt;=AO$3,$E126&lt;=AO$3+6),"▼",IF(AND($E126&gt;=AO$3,$E126&lt;=AO$3+6),$A126,"")))</f>
        <v/>
      </c>
      <c r="AP126" s="47" t="str">
        <f aca="false">IF($A126="","",IF(AND(INDEX(工程マスタ!$I$5:$I$154,$A126)="○",$E126&gt;=AP$3,$E126&lt;=AP$3+6),"▼",IF(AND($E126&gt;=AP$3,$E126&lt;=AP$3+6),$A126,"")))</f>
        <v/>
      </c>
      <c r="AQ126" s="47" t="str">
        <f aca="false">IF($A126="","",IF(AND(INDEX(工程マスタ!$I$5:$I$154,$A126)="○",$E126&gt;=AQ$3,$E126&lt;=AQ$3+6),"▼",IF(AND($E126&gt;=AQ$3,$E126&lt;=AQ$3+6),$A126,"")))</f>
        <v/>
      </c>
      <c r="AR126" s="47" t="str">
        <f aca="false">IF($A126="","",IF(AND(INDEX(工程マスタ!$I$5:$I$154,$A126)="○",$E126&gt;=AR$3,$E126&lt;=AR$3+6),"▼",IF(AND($E126&gt;=AR$3,$E126&lt;=AR$3+6),$A126,"")))</f>
        <v/>
      </c>
      <c r="AS126" s="47" t="str">
        <f aca="false">IF($A126="","",IF(AND(INDEX(工程マスタ!$I$5:$I$154,$A126)="○",$E126&gt;=AS$3,$E126&lt;=AS$3+6),"▼",IF(AND($E126&gt;=AS$3,$E126&lt;=AS$3+6),$A126,"")))</f>
        <v/>
      </c>
      <c r="AT126" s="47" t="str">
        <f aca="false">IF($A126="","",IF(AND(INDEX(工程マスタ!$I$5:$I$154,$A126)="○",$E126&gt;=AT$3,$E126&lt;=AT$3+6),"▼",IF(AND($E126&gt;=AT$3,$E126&lt;=AT$3+6),$A126,"")))</f>
        <v/>
      </c>
      <c r="AU126" s="47" t="str">
        <f aca="false">IF($A126="","",IF(AND(INDEX(工程マスタ!$I$5:$I$154,$A126)="○",$E126&gt;=AU$3,$E126&lt;=AU$3+6),"▼",IF(AND($E126&gt;=AU$3,$E126&lt;=AU$3+6),$A126,"")))</f>
        <v/>
      </c>
      <c r="AV126" s="47" t="str">
        <f aca="false">IF($A126="","",IF(AND(INDEX(工程マスタ!$I$5:$I$154,$A126)="○",$E126&gt;=AV$3,$E126&lt;=AV$3+6),"▼",IF(AND($E126&gt;=AV$3,$E126&lt;=AV$3+6),$A126,"")))</f>
        <v/>
      </c>
      <c r="AW126" s="47" t="str">
        <f aca="false">IF($A126="","",IF(AND(INDEX(工程マスタ!$I$5:$I$154,$A126)="○",$E126&gt;=AW$3,$E126&lt;=AW$3+6),"▼",IF(AND($E126&gt;=AW$3,$E126&lt;=AW$3+6),$A126,"")))</f>
        <v/>
      </c>
      <c r="AX126" s="47" t="str">
        <f aca="false">IF($A126="","",IF(AND(INDEX(工程マスタ!$I$5:$I$154,$A126)="○",$E126&gt;=AX$3,$E126&lt;=AX$3+6),"▼",IF(AND($E126&gt;=AX$3,$E126&lt;=AX$3+6),$A126,"")))</f>
        <v/>
      </c>
      <c r="AY126" s="47" t="str">
        <f aca="false">IF($A126="","",IF(AND(INDEX(工程マスタ!$I$5:$I$154,$A126)="○",$E126&gt;=AY$3,$E126&lt;=AY$3+6),"▼",IF(AND($E126&gt;=AY$3,$E126&lt;=AY$3+6),$A126,"")))</f>
        <v/>
      </c>
      <c r="AZ126" s="47" t="str">
        <f aca="false">IF($A126="","",IF(AND(INDEX(工程マスタ!$I$5:$I$154,$A126)="○",$E126&gt;=AZ$3,$E126&lt;=AZ$3+6),"▼",IF(AND($E126&gt;=AZ$3,$E126&lt;=AZ$3+6),$A126,"")))</f>
        <v/>
      </c>
      <c r="BA126" s="47" t="str">
        <f aca="false">IF($A126="","",IF(AND(INDEX(工程マスタ!$I$5:$I$154,$A126)="○",$E126&gt;=BA$3,$E126&lt;=BA$3+6),"▼",IF(AND($E126&gt;=BA$3,$E126&lt;=BA$3+6),$A126,"")))</f>
        <v/>
      </c>
      <c r="BB126" s="47" t="str">
        <f aca="false">IF($A126="","",IF(AND(INDEX(工程マスタ!$I$5:$I$154,$A126)="○",$E126&gt;=BB$3,$E126&lt;=BB$3+6),"▼",IF(AND($E126&gt;=BB$3,$E126&lt;=BB$3+6),$A126,"")))</f>
        <v/>
      </c>
      <c r="BC126" s="47" t="str">
        <f aca="false">IF($A126="","",IF(AND(INDEX(工程マスタ!$I$5:$I$154,$A126)="○",$E126&gt;=BC$3,$E126&lt;=BC$3+6),"▼",IF(AND($E126&gt;=BC$3,$E126&lt;=BC$3+6),$A126,"")))</f>
        <v/>
      </c>
      <c r="BD126" s="47" t="str">
        <f aca="false">IF($A126="","",IF(AND(INDEX(工程マスタ!$I$5:$I$154,$A126)="○",$E126&gt;=BD$3,$E126&lt;=BD$3+6),"▼",IF(AND($E126&gt;=BD$3,$E126&lt;=BD$3+6),$A126,"")))</f>
        <v/>
      </c>
      <c r="BE126" s="47" t="str">
        <f aca="false">IF($A126="","",IF(AND(INDEX(工程マスタ!$I$5:$I$154,$A126)="○",$E126&gt;=BE$3,$E126&lt;=BE$3+6),"▼",IF(AND($E126&gt;=BE$3,$E126&lt;=BE$3+6),$A126,"")))</f>
        <v/>
      </c>
      <c r="BF126" s="47" t="str">
        <f aca="false">IF($A126="","",IF(AND(INDEX(工程マスタ!$I$5:$I$154,$A126)="○",$E126&gt;=BF$3,$E126&lt;=BF$3+6),"▼",IF(AND($E126&gt;=BF$3,$E126&lt;=BF$3+6),$A126,"")))</f>
        <v/>
      </c>
      <c r="BG126" s="47" t="str">
        <f aca="false">IF($A126="","",IF(AND(INDEX(工程マスタ!$I$5:$I$154,$A126)="○",$E126&gt;=BG$3,$E126&lt;=BG$3+6),"▼",IF(AND($E126&gt;=BG$3,$E126&lt;=BG$3+6),$A126,"")))</f>
        <v/>
      </c>
      <c r="BH126" s="47" t="str">
        <f aca="false">IF($A126="","",IF(AND(INDEX(工程マスタ!$I$5:$I$154,$A126)="○",$E126&gt;=BH$3,$E126&lt;=BH$3+6),"▼",IF(AND($E126&gt;=BH$3,$E126&lt;=BH$3+6),$A126,"")))</f>
        <v/>
      </c>
      <c r="BI126" s="47" t="str">
        <f aca="false">IF($A126="","",IF(AND(INDEX(工程マスタ!$I$5:$I$154,$A126)="○",$E126&gt;=BI$3,$E126&lt;=BI$3+6),"▼",IF(AND($E126&gt;=BI$3,$E126&lt;=BI$3+6),$A126,"")))</f>
        <v/>
      </c>
      <c r="BJ126" s="47" t="str">
        <f aca="false">IF($A126="","",IF(AND(INDEX(工程マスタ!$I$5:$I$154,$A126)="○",$E126&gt;=BJ$3,$E126&lt;=BJ$3+6),"▼",IF(AND($E126&gt;=BJ$3,$E126&lt;=BJ$3+6),$A126,"")))</f>
        <v/>
      </c>
    </row>
    <row r="127" customFormat="false" ht="15" hidden="false" customHeight="false" outlineLevel="0" collapsed="false">
      <c r="A127" s="28" t="str">
        <f aca="false">IF(工程マスタ!$C125="","",工程マスタ!$A125)</f>
        <v/>
      </c>
      <c r="B127" s="46" t="str">
        <f aca="false">IF($A127="","",工程マスタ!$C125)</f>
        <v/>
      </c>
      <c r="C127" s="28" t="str">
        <f aca="false">IF($A127="","",MAX(1,工程マスタ!$G125))</f>
        <v/>
      </c>
      <c r="D127" s="28" t="str">
        <f aca="false">IF($A127="","",_xlfn.TEXTJOIN(",",TRUE(),工程マスタ!$N125:$P125))</f>
        <v/>
      </c>
      <c r="E127" s="29" t="str">
        <f aca="false">IF($A127="","",IF(COUNT(工程マスタ!$N125:$P125)=0,設定!$B$8,MAX(IF(工程マスタ!$N125="",0,INDEX($F$7:$F$156,工程マスタ!$N125)),IF(工程マスタ!$O125="",0,INDEX($F$7:$F$156,工程マスタ!$O125)),IF(工程マスタ!$P125="",0,INDEX($F$7:$F$156,工程マスタ!$P125)))+1))</f>
        <v/>
      </c>
      <c r="F127" s="29" t="str">
        <f aca="false">IF($A127="","",$E127+$C127-1)</f>
        <v/>
      </c>
      <c r="G127" s="29" t="str">
        <f aca="false">IF($A127="","",$H127-$C127+1)</f>
        <v/>
      </c>
      <c r="H127" s="29" t="str">
        <f aca="false" t="array" ref="H127:H127">IF($A127="","",IF(SUMPRODUCT((工程マスタ!$N$126:$N$154=$A127)*1)+SUMPRODUCT((工程マスタ!$O$126:$O$154=$A127)*1)+SUMPRODUCT((工程マスタ!$P$126:$P$154=$A127)*1)=0,MAX($F$7:$F$156),MIN(IF((工程マスタ!$N$126:$N$154=$A127)+(工程マスタ!$O$126:$O$154=$A127)+(工程マスタ!$P$126:$P$154=$A127),$G128:$G$156))-1))</f>
        <v/>
      </c>
      <c r="I127" s="28" t="str">
        <f aca="false">IF($A127="","",$G127-$E127)</f>
        <v/>
      </c>
      <c r="J127" s="28" t="str">
        <f aca="false">IF($A127="","",IF($I127&lt;=0,"●",""))</f>
        <v/>
      </c>
      <c r="K127" s="47" t="str">
        <f aca="false">IF($A127="","",IF(AND(INDEX(工程マスタ!$I$5:$I$154,$A127)="○",$E127&gt;=K$3,$E127&lt;=K$3+6),"▼",IF(AND($E127&gt;=K$3,$E127&lt;=K$3+6),$A127,"")))</f>
        <v/>
      </c>
      <c r="L127" s="47" t="str">
        <f aca="false">IF($A127="","",IF(AND(INDEX(工程マスタ!$I$5:$I$154,$A127)="○",$E127&gt;=L$3,$E127&lt;=L$3+6),"▼",IF(AND($E127&gt;=L$3,$E127&lt;=L$3+6),$A127,"")))</f>
        <v/>
      </c>
      <c r="M127" s="47" t="str">
        <f aca="false">IF($A127="","",IF(AND(INDEX(工程マスタ!$I$5:$I$154,$A127)="○",$E127&gt;=M$3,$E127&lt;=M$3+6),"▼",IF(AND($E127&gt;=M$3,$E127&lt;=M$3+6),$A127,"")))</f>
        <v/>
      </c>
      <c r="N127" s="47" t="str">
        <f aca="false">IF($A127="","",IF(AND(INDEX(工程マスタ!$I$5:$I$154,$A127)="○",$E127&gt;=N$3,$E127&lt;=N$3+6),"▼",IF(AND($E127&gt;=N$3,$E127&lt;=N$3+6),$A127,"")))</f>
        <v/>
      </c>
      <c r="O127" s="47" t="str">
        <f aca="false">IF($A127="","",IF(AND(INDEX(工程マスタ!$I$5:$I$154,$A127)="○",$E127&gt;=O$3,$E127&lt;=O$3+6),"▼",IF(AND($E127&gt;=O$3,$E127&lt;=O$3+6),$A127,"")))</f>
        <v/>
      </c>
      <c r="P127" s="47" t="str">
        <f aca="false">IF($A127="","",IF(AND(INDEX(工程マスタ!$I$5:$I$154,$A127)="○",$E127&gt;=P$3,$E127&lt;=P$3+6),"▼",IF(AND($E127&gt;=P$3,$E127&lt;=P$3+6),$A127,"")))</f>
        <v/>
      </c>
      <c r="Q127" s="47" t="str">
        <f aca="false">IF($A127="","",IF(AND(INDEX(工程マスタ!$I$5:$I$154,$A127)="○",$E127&gt;=Q$3,$E127&lt;=Q$3+6),"▼",IF(AND($E127&gt;=Q$3,$E127&lt;=Q$3+6),$A127,"")))</f>
        <v/>
      </c>
      <c r="R127" s="47" t="str">
        <f aca="false">IF($A127="","",IF(AND(INDEX(工程マスタ!$I$5:$I$154,$A127)="○",$E127&gt;=R$3,$E127&lt;=R$3+6),"▼",IF(AND($E127&gt;=R$3,$E127&lt;=R$3+6),$A127,"")))</f>
        <v/>
      </c>
      <c r="S127" s="47" t="str">
        <f aca="false">IF($A127="","",IF(AND(INDEX(工程マスタ!$I$5:$I$154,$A127)="○",$E127&gt;=S$3,$E127&lt;=S$3+6),"▼",IF(AND($E127&gt;=S$3,$E127&lt;=S$3+6),$A127,"")))</f>
        <v/>
      </c>
      <c r="T127" s="47" t="str">
        <f aca="false">IF($A127="","",IF(AND(INDEX(工程マスタ!$I$5:$I$154,$A127)="○",$E127&gt;=T$3,$E127&lt;=T$3+6),"▼",IF(AND($E127&gt;=T$3,$E127&lt;=T$3+6),$A127,"")))</f>
        <v/>
      </c>
      <c r="U127" s="47" t="str">
        <f aca="false">IF($A127="","",IF(AND(INDEX(工程マスタ!$I$5:$I$154,$A127)="○",$E127&gt;=U$3,$E127&lt;=U$3+6),"▼",IF(AND($E127&gt;=U$3,$E127&lt;=U$3+6),$A127,"")))</f>
        <v/>
      </c>
      <c r="V127" s="47" t="str">
        <f aca="false">IF($A127="","",IF(AND(INDEX(工程マスタ!$I$5:$I$154,$A127)="○",$E127&gt;=V$3,$E127&lt;=V$3+6),"▼",IF(AND($E127&gt;=V$3,$E127&lt;=V$3+6),$A127,"")))</f>
        <v/>
      </c>
      <c r="W127" s="47" t="str">
        <f aca="false">IF($A127="","",IF(AND(INDEX(工程マスタ!$I$5:$I$154,$A127)="○",$E127&gt;=W$3,$E127&lt;=W$3+6),"▼",IF(AND($E127&gt;=W$3,$E127&lt;=W$3+6),$A127,"")))</f>
        <v/>
      </c>
      <c r="X127" s="47" t="str">
        <f aca="false">IF($A127="","",IF(AND(INDEX(工程マスタ!$I$5:$I$154,$A127)="○",$E127&gt;=X$3,$E127&lt;=X$3+6),"▼",IF(AND($E127&gt;=X$3,$E127&lt;=X$3+6),$A127,"")))</f>
        <v/>
      </c>
      <c r="Y127" s="47" t="str">
        <f aca="false">IF($A127="","",IF(AND(INDEX(工程マスタ!$I$5:$I$154,$A127)="○",$E127&gt;=Y$3,$E127&lt;=Y$3+6),"▼",IF(AND($E127&gt;=Y$3,$E127&lt;=Y$3+6),$A127,"")))</f>
        <v/>
      </c>
      <c r="Z127" s="47" t="str">
        <f aca="false">IF($A127="","",IF(AND(INDEX(工程マスタ!$I$5:$I$154,$A127)="○",$E127&gt;=Z$3,$E127&lt;=Z$3+6),"▼",IF(AND($E127&gt;=Z$3,$E127&lt;=Z$3+6),$A127,"")))</f>
        <v/>
      </c>
      <c r="AA127" s="47" t="str">
        <f aca="false">IF($A127="","",IF(AND(INDEX(工程マスタ!$I$5:$I$154,$A127)="○",$E127&gt;=AA$3,$E127&lt;=AA$3+6),"▼",IF(AND($E127&gt;=AA$3,$E127&lt;=AA$3+6),$A127,"")))</f>
        <v/>
      </c>
      <c r="AB127" s="47" t="str">
        <f aca="false">IF($A127="","",IF(AND(INDEX(工程マスタ!$I$5:$I$154,$A127)="○",$E127&gt;=AB$3,$E127&lt;=AB$3+6),"▼",IF(AND($E127&gt;=AB$3,$E127&lt;=AB$3+6),$A127,"")))</f>
        <v/>
      </c>
      <c r="AC127" s="47" t="str">
        <f aca="false">IF($A127="","",IF(AND(INDEX(工程マスタ!$I$5:$I$154,$A127)="○",$E127&gt;=AC$3,$E127&lt;=AC$3+6),"▼",IF(AND($E127&gt;=AC$3,$E127&lt;=AC$3+6),$A127,"")))</f>
        <v/>
      </c>
      <c r="AD127" s="47" t="str">
        <f aca="false">IF($A127="","",IF(AND(INDEX(工程マスタ!$I$5:$I$154,$A127)="○",$E127&gt;=AD$3,$E127&lt;=AD$3+6),"▼",IF(AND($E127&gt;=AD$3,$E127&lt;=AD$3+6),$A127,"")))</f>
        <v/>
      </c>
      <c r="AE127" s="47" t="str">
        <f aca="false">IF($A127="","",IF(AND(INDEX(工程マスタ!$I$5:$I$154,$A127)="○",$E127&gt;=AE$3,$E127&lt;=AE$3+6),"▼",IF(AND($E127&gt;=AE$3,$E127&lt;=AE$3+6),$A127,"")))</f>
        <v/>
      </c>
      <c r="AF127" s="47" t="str">
        <f aca="false">IF($A127="","",IF(AND(INDEX(工程マスタ!$I$5:$I$154,$A127)="○",$E127&gt;=AF$3,$E127&lt;=AF$3+6),"▼",IF(AND($E127&gt;=AF$3,$E127&lt;=AF$3+6),$A127,"")))</f>
        <v/>
      </c>
      <c r="AG127" s="47" t="str">
        <f aca="false">IF($A127="","",IF(AND(INDEX(工程マスタ!$I$5:$I$154,$A127)="○",$E127&gt;=AG$3,$E127&lt;=AG$3+6),"▼",IF(AND($E127&gt;=AG$3,$E127&lt;=AG$3+6),$A127,"")))</f>
        <v/>
      </c>
      <c r="AH127" s="47" t="str">
        <f aca="false">IF($A127="","",IF(AND(INDEX(工程マスタ!$I$5:$I$154,$A127)="○",$E127&gt;=AH$3,$E127&lt;=AH$3+6),"▼",IF(AND($E127&gt;=AH$3,$E127&lt;=AH$3+6),$A127,"")))</f>
        <v/>
      </c>
      <c r="AI127" s="47" t="str">
        <f aca="false">IF($A127="","",IF(AND(INDEX(工程マスタ!$I$5:$I$154,$A127)="○",$E127&gt;=AI$3,$E127&lt;=AI$3+6),"▼",IF(AND($E127&gt;=AI$3,$E127&lt;=AI$3+6),$A127,"")))</f>
        <v/>
      </c>
      <c r="AJ127" s="47" t="str">
        <f aca="false">IF($A127="","",IF(AND(INDEX(工程マスタ!$I$5:$I$154,$A127)="○",$E127&gt;=AJ$3,$E127&lt;=AJ$3+6),"▼",IF(AND($E127&gt;=AJ$3,$E127&lt;=AJ$3+6),$A127,"")))</f>
        <v/>
      </c>
      <c r="AK127" s="47" t="str">
        <f aca="false">IF($A127="","",IF(AND(INDEX(工程マスタ!$I$5:$I$154,$A127)="○",$E127&gt;=AK$3,$E127&lt;=AK$3+6),"▼",IF(AND($E127&gt;=AK$3,$E127&lt;=AK$3+6),$A127,"")))</f>
        <v/>
      </c>
      <c r="AL127" s="47" t="str">
        <f aca="false">IF($A127="","",IF(AND(INDEX(工程マスタ!$I$5:$I$154,$A127)="○",$E127&gt;=AL$3,$E127&lt;=AL$3+6),"▼",IF(AND($E127&gt;=AL$3,$E127&lt;=AL$3+6),$A127,"")))</f>
        <v/>
      </c>
      <c r="AM127" s="47" t="str">
        <f aca="false">IF($A127="","",IF(AND(INDEX(工程マスタ!$I$5:$I$154,$A127)="○",$E127&gt;=AM$3,$E127&lt;=AM$3+6),"▼",IF(AND($E127&gt;=AM$3,$E127&lt;=AM$3+6),$A127,"")))</f>
        <v/>
      </c>
      <c r="AN127" s="47" t="str">
        <f aca="false">IF($A127="","",IF(AND(INDEX(工程マスタ!$I$5:$I$154,$A127)="○",$E127&gt;=AN$3,$E127&lt;=AN$3+6),"▼",IF(AND($E127&gt;=AN$3,$E127&lt;=AN$3+6),$A127,"")))</f>
        <v/>
      </c>
      <c r="AO127" s="47" t="str">
        <f aca="false">IF($A127="","",IF(AND(INDEX(工程マスタ!$I$5:$I$154,$A127)="○",$E127&gt;=AO$3,$E127&lt;=AO$3+6),"▼",IF(AND($E127&gt;=AO$3,$E127&lt;=AO$3+6),$A127,"")))</f>
        <v/>
      </c>
      <c r="AP127" s="47" t="str">
        <f aca="false">IF($A127="","",IF(AND(INDEX(工程マスタ!$I$5:$I$154,$A127)="○",$E127&gt;=AP$3,$E127&lt;=AP$3+6),"▼",IF(AND($E127&gt;=AP$3,$E127&lt;=AP$3+6),$A127,"")))</f>
        <v/>
      </c>
      <c r="AQ127" s="47" t="str">
        <f aca="false">IF($A127="","",IF(AND(INDEX(工程マスタ!$I$5:$I$154,$A127)="○",$E127&gt;=AQ$3,$E127&lt;=AQ$3+6),"▼",IF(AND($E127&gt;=AQ$3,$E127&lt;=AQ$3+6),$A127,"")))</f>
        <v/>
      </c>
      <c r="AR127" s="47" t="str">
        <f aca="false">IF($A127="","",IF(AND(INDEX(工程マスタ!$I$5:$I$154,$A127)="○",$E127&gt;=AR$3,$E127&lt;=AR$3+6),"▼",IF(AND($E127&gt;=AR$3,$E127&lt;=AR$3+6),$A127,"")))</f>
        <v/>
      </c>
      <c r="AS127" s="47" t="str">
        <f aca="false">IF($A127="","",IF(AND(INDEX(工程マスタ!$I$5:$I$154,$A127)="○",$E127&gt;=AS$3,$E127&lt;=AS$3+6),"▼",IF(AND($E127&gt;=AS$3,$E127&lt;=AS$3+6),$A127,"")))</f>
        <v/>
      </c>
      <c r="AT127" s="47" t="str">
        <f aca="false">IF($A127="","",IF(AND(INDEX(工程マスタ!$I$5:$I$154,$A127)="○",$E127&gt;=AT$3,$E127&lt;=AT$3+6),"▼",IF(AND($E127&gt;=AT$3,$E127&lt;=AT$3+6),$A127,"")))</f>
        <v/>
      </c>
      <c r="AU127" s="47" t="str">
        <f aca="false">IF($A127="","",IF(AND(INDEX(工程マスタ!$I$5:$I$154,$A127)="○",$E127&gt;=AU$3,$E127&lt;=AU$3+6),"▼",IF(AND($E127&gt;=AU$3,$E127&lt;=AU$3+6),$A127,"")))</f>
        <v/>
      </c>
      <c r="AV127" s="47" t="str">
        <f aca="false">IF($A127="","",IF(AND(INDEX(工程マスタ!$I$5:$I$154,$A127)="○",$E127&gt;=AV$3,$E127&lt;=AV$3+6),"▼",IF(AND($E127&gt;=AV$3,$E127&lt;=AV$3+6),$A127,"")))</f>
        <v/>
      </c>
      <c r="AW127" s="47" t="str">
        <f aca="false">IF($A127="","",IF(AND(INDEX(工程マスタ!$I$5:$I$154,$A127)="○",$E127&gt;=AW$3,$E127&lt;=AW$3+6),"▼",IF(AND($E127&gt;=AW$3,$E127&lt;=AW$3+6),$A127,"")))</f>
        <v/>
      </c>
      <c r="AX127" s="47" t="str">
        <f aca="false">IF($A127="","",IF(AND(INDEX(工程マスタ!$I$5:$I$154,$A127)="○",$E127&gt;=AX$3,$E127&lt;=AX$3+6),"▼",IF(AND($E127&gt;=AX$3,$E127&lt;=AX$3+6),$A127,"")))</f>
        <v/>
      </c>
      <c r="AY127" s="47" t="str">
        <f aca="false">IF($A127="","",IF(AND(INDEX(工程マスタ!$I$5:$I$154,$A127)="○",$E127&gt;=AY$3,$E127&lt;=AY$3+6),"▼",IF(AND($E127&gt;=AY$3,$E127&lt;=AY$3+6),$A127,"")))</f>
        <v/>
      </c>
      <c r="AZ127" s="47" t="str">
        <f aca="false">IF($A127="","",IF(AND(INDEX(工程マスタ!$I$5:$I$154,$A127)="○",$E127&gt;=AZ$3,$E127&lt;=AZ$3+6),"▼",IF(AND($E127&gt;=AZ$3,$E127&lt;=AZ$3+6),$A127,"")))</f>
        <v/>
      </c>
      <c r="BA127" s="47" t="str">
        <f aca="false">IF($A127="","",IF(AND(INDEX(工程マスタ!$I$5:$I$154,$A127)="○",$E127&gt;=BA$3,$E127&lt;=BA$3+6),"▼",IF(AND($E127&gt;=BA$3,$E127&lt;=BA$3+6),$A127,"")))</f>
        <v/>
      </c>
      <c r="BB127" s="47" t="str">
        <f aca="false">IF($A127="","",IF(AND(INDEX(工程マスタ!$I$5:$I$154,$A127)="○",$E127&gt;=BB$3,$E127&lt;=BB$3+6),"▼",IF(AND($E127&gt;=BB$3,$E127&lt;=BB$3+6),$A127,"")))</f>
        <v/>
      </c>
      <c r="BC127" s="47" t="str">
        <f aca="false">IF($A127="","",IF(AND(INDEX(工程マスタ!$I$5:$I$154,$A127)="○",$E127&gt;=BC$3,$E127&lt;=BC$3+6),"▼",IF(AND($E127&gt;=BC$3,$E127&lt;=BC$3+6),$A127,"")))</f>
        <v/>
      </c>
      <c r="BD127" s="47" t="str">
        <f aca="false">IF($A127="","",IF(AND(INDEX(工程マスタ!$I$5:$I$154,$A127)="○",$E127&gt;=BD$3,$E127&lt;=BD$3+6),"▼",IF(AND($E127&gt;=BD$3,$E127&lt;=BD$3+6),$A127,"")))</f>
        <v/>
      </c>
      <c r="BE127" s="47" t="str">
        <f aca="false">IF($A127="","",IF(AND(INDEX(工程マスタ!$I$5:$I$154,$A127)="○",$E127&gt;=BE$3,$E127&lt;=BE$3+6),"▼",IF(AND($E127&gt;=BE$3,$E127&lt;=BE$3+6),$A127,"")))</f>
        <v/>
      </c>
      <c r="BF127" s="47" t="str">
        <f aca="false">IF($A127="","",IF(AND(INDEX(工程マスタ!$I$5:$I$154,$A127)="○",$E127&gt;=BF$3,$E127&lt;=BF$3+6),"▼",IF(AND($E127&gt;=BF$3,$E127&lt;=BF$3+6),$A127,"")))</f>
        <v/>
      </c>
      <c r="BG127" s="47" t="str">
        <f aca="false">IF($A127="","",IF(AND(INDEX(工程マスタ!$I$5:$I$154,$A127)="○",$E127&gt;=BG$3,$E127&lt;=BG$3+6),"▼",IF(AND($E127&gt;=BG$3,$E127&lt;=BG$3+6),$A127,"")))</f>
        <v/>
      </c>
      <c r="BH127" s="47" t="str">
        <f aca="false">IF($A127="","",IF(AND(INDEX(工程マスタ!$I$5:$I$154,$A127)="○",$E127&gt;=BH$3,$E127&lt;=BH$3+6),"▼",IF(AND($E127&gt;=BH$3,$E127&lt;=BH$3+6),$A127,"")))</f>
        <v/>
      </c>
      <c r="BI127" s="47" t="str">
        <f aca="false">IF($A127="","",IF(AND(INDEX(工程マスタ!$I$5:$I$154,$A127)="○",$E127&gt;=BI$3,$E127&lt;=BI$3+6),"▼",IF(AND($E127&gt;=BI$3,$E127&lt;=BI$3+6),$A127,"")))</f>
        <v/>
      </c>
      <c r="BJ127" s="47" t="str">
        <f aca="false">IF($A127="","",IF(AND(INDEX(工程マスタ!$I$5:$I$154,$A127)="○",$E127&gt;=BJ$3,$E127&lt;=BJ$3+6),"▼",IF(AND($E127&gt;=BJ$3,$E127&lt;=BJ$3+6),$A127,"")))</f>
        <v/>
      </c>
    </row>
    <row r="128" customFormat="false" ht="15" hidden="false" customHeight="false" outlineLevel="0" collapsed="false">
      <c r="A128" s="28" t="str">
        <f aca="false">IF(工程マスタ!$C126="","",工程マスタ!$A126)</f>
        <v/>
      </c>
      <c r="B128" s="46" t="str">
        <f aca="false">IF($A128="","",工程マスタ!$C126)</f>
        <v/>
      </c>
      <c r="C128" s="28" t="str">
        <f aca="false">IF($A128="","",MAX(1,工程マスタ!$G126))</f>
        <v/>
      </c>
      <c r="D128" s="28" t="str">
        <f aca="false">IF($A128="","",_xlfn.TEXTJOIN(",",TRUE(),工程マスタ!$N126:$P126))</f>
        <v/>
      </c>
      <c r="E128" s="29" t="str">
        <f aca="false">IF($A128="","",IF(COUNT(工程マスタ!$N126:$P126)=0,設定!$B$8,MAX(IF(工程マスタ!$N126="",0,INDEX($F$7:$F$156,工程マスタ!$N126)),IF(工程マスタ!$O126="",0,INDEX($F$7:$F$156,工程マスタ!$O126)),IF(工程マスタ!$P126="",0,INDEX($F$7:$F$156,工程マスタ!$P126)))+1))</f>
        <v/>
      </c>
      <c r="F128" s="29" t="str">
        <f aca="false">IF($A128="","",$E128+$C128-1)</f>
        <v/>
      </c>
      <c r="G128" s="29" t="str">
        <f aca="false">IF($A128="","",$H128-$C128+1)</f>
        <v/>
      </c>
      <c r="H128" s="29" t="str">
        <f aca="false" t="array" ref="H128:H128">IF($A128="","",IF(SUMPRODUCT((工程マスタ!$N$127:$N$154=$A128)*1)+SUMPRODUCT((工程マスタ!$O$127:$O$154=$A128)*1)+SUMPRODUCT((工程マスタ!$P$127:$P$154=$A128)*1)=0,MAX($F$7:$F$156),MIN(IF((工程マスタ!$N$127:$N$154=$A128)+(工程マスタ!$O$127:$O$154=$A128)+(工程マスタ!$P$127:$P$154=$A128),$G129:$G$156))-1))</f>
        <v/>
      </c>
      <c r="I128" s="28" t="str">
        <f aca="false">IF($A128="","",$G128-$E128)</f>
        <v/>
      </c>
      <c r="J128" s="28" t="str">
        <f aca="false">IF($A128="","",IF($I128&lt;=0,"●",""))</f>
        <v/>
      </c>
      <c r="K128" s="47" t="str">
        <f aca="false">IF($A128="","",IF(AND(INDEX(工程マスタ!$I$5:$I$154,$A128)="○",$E128&gt;=K$3,$E128&lt;=K$3+6),"▼",IF(AND($E128&gt;=K$3,$E128&lt;=K$3+6),$A128,"")))</f>
        <v/>
      </c>
      <c r="L128" s="47" t="str">
        <f aca="false">IF($A128="","",IF(AND(INDEX(工程マスタ!$I$5:$I$154,$A128)="○",$E128&gt;=L$3,$E128&lt;=L$3+6),"▼",IF(AND($E128&gt;=L$3,$E128&lt;=L$3+6),$A128,"")))</f>
        <v/>
      </c>
      <c r="M128" s="47" t="str">
        <f aca="false">IF($A128="","",IF(AND(INDEX(工程マスタ!$I$5:$I$154,$A128)="○",$E128&gt;=M$3,$E128&lt;=M$3+6),"▼",IF(AND($E128&gt;=M$3,$E128&lt;=M$3+6),$A128,"")))</f>
        <v/>
      </c>
      <c r="N128" s="47" t="str">
        <f aca="false">IF($A128="","",IF(AND(INDEX(工程マスタ!$I$5:$I$154,$A128)="○",$E128&gt;=N$3,$E128&lt;=N$3+6),"▼",IF(AND($E128&gt;=N$3,$E128&lt;=N$3+6),$A128,"")))</f>
        <v/>
      </c>
      <c r="O128" s="47" t="str">
        <f aca="false">IF($A128="","",IF(AND(INDEX(工程マスタ!$I$5:$I$154,$A128)="○",$E128&gt;=O$3,$E128&lt;=O$3+6),"▼",IF(AND($E128&gt;=O$3,$E128&lt;=O$3+6),$A128,"")))</f>
        <v/>
      </c>
      <c r="P128" s="47" t="str">
        <f aca="false">IF($A128="","",IF(AND(INDEX(工程マスタ!$I$5:$I$154,$A128)="○",$E128&gt;=P$3,$E128&lt;=P$3+6),"▼",IF(AND($E128&gt;=P$3,$E128&lt;=P$3+6),$A128,"")))</f>
        <v/>
      </c>
      <c r="Q128" s="47" t="str">
        <f aca="false">IF($A128="","",IF(AND(INDEX(工程マスタ!$I$5:$I$154,$A128)="○",$E128&gt;=Q$3,$E128&lt;=Q$3+6),"▼",IF(AND($E128&gt;=Q$3,$E128&lt;=Q$3+6),$A128,"")))</f>
        <v/>
      </c>
      <c r="R128" s="47" t="str">
        <f aca="false">IF($A128="","",IF(AND(INDEX(工程マスタ!$I$5:$I$154,$A128)="○",$E128&gt;=R$3,$E128&lt;=R$3+6),"▼",IF(AND($E128&gt;=R$3,$E128&lt;=R$3+6),$A128,"")))</f>
        <v/>
      </c>
      <c r="S128" s="47" t="str">
        <f aca="false">IF($A128="","",IF(AND(INDEX(工程マスタ!$I$5:$I$154,$A128)="○",$E128&gt;=S$3,$E128&lt;=S$3+6),"▼",IF(AND($E128&gt;=S$3,$E128&lt;=S$3+6),$A128,"")))</f>
        <v/>
      </c>
      <c r="T128" s="47" t="str">
        <f aca="false">IF($A128="","",IF(AND(INDEX(工程マスタ!$I$5:$I$154,$A128)="○",$E128&gt;=T$3,$E128&lt;=T$3+6),"▼",IF(AND($E128&gt;=T$3,$E128&lt;=T$3+6),$A128,"")))</f>
        <v/>
      </c>
      <c r="U128" s="47" t="str">
        <f aca="false">IF($A128="","",IF(AND(INDEX(工程マスタ!$I$5:$I$154,$A128)="○",$E128&gt;=U$3,$E128&lt;=U$3+6),"▼",IF(AND($E128&gt;=U$3,$E128&lt;=U$3+6),$A128,"")))</f>
        <v/>
      </c>
      <c r="V128" s="47" t="str">
        <f aca="false">IF($A128="","",IF(AND(INDEX(工程マスタ!$I$5:$I$154,$A128)="○",$E128&gt;=V$3,$E128&lt;=V$3+6),"▼",IF(AND($E128&gt;=V$3,$E128&lt;=V$3+6),$A128,"")))</f>
        <v/>
      </c>
      <c r="W128" s="47" t="str">
        <f aca="false">IF($A128="","",IF(AND(INDEX(工程マスタ!$I$5:$I$154,$A128)="○",$E128&gt;=W$3,$E128&lt;=W$3+6),"▼",IF(AND($E128&gt;=W$3,$E128&lt;=W$3+6),$A128,"")))</f>
        <v/>
      </c>
      <c r="X128" s="47" t="str">
        <f aca="false">IF($A128="","",IF(AND(INDEX(工程マスタ!$I$5:$I$154,$A128)="○",$E128&gt;=X$3,$E128&lt;=X$3+6),"▼",IF(AND($E128&gt;=X$3,$E128&lt;=X$3+6),$A128,"")))</f>
        <v/>
      </c>
      <c r="Y128" s="47" t="str">
        <f aca="false">IF($A128="","",IF(AND(INDEX(工程マスタ!$I$5:$I$154,$A128)="○",$E128&gt;=Y$3,$E128&lt;=Y$3+6),"▼",IF(AND($E128&gt;=Y$3,$E128&lt;=Y$3+6),$A128,"")))</f>
        <v/>
      </c>
      <c r="Z128" s="47" t="str">
        <f aca="false">IF($A128="","",IF(AND(INDEX(工程マスタ!$I$5:$I$154,$A128)="○",$E128&gt;=Z$3,$E128&lt;=Z$3+6),"▼",IF(AND($E128&gt;=Z$3,$E128&lt;=Z$3+6),$A128,"")))</f>
        <v/>
      </c>
      <c r="AA128" s="47" t="str">
        <f aca="false">IF($A128="","",IF(AND(INDEX(工程マスタ!$I$5:$I$154,$A128)="○",$E128&gt;=AA$3,$E128&lt;=AA$3+6),"▼",IF(AND($E128&gt;=AA$3,$E128&lt;=AA$3+6),$A128,"")))</f>
        <v/>
      </c>
      <c r="AB128" s="47" t="str">
        <f aca="false">IF($A128="","",IF(AND(INDEX(工程マスタ!$I$5:$I$154,$A128)="○",$E128&gt;=AB$3,$E128&lt;=AB$3+6),"▼",IF(AND($E128&gt;=AB$3,$E128&lt;=AB$3+6),$A128,"")))</f>
        <v/>
      </c>
      <c r="AC128" s="47" t="str">
        <f aca="false">IF($A128="","",IF(AND(INDEX(工程マスタ!$I$5:$I$154,$A128)="○",$E128&gt;=AC$3,$E128&lt;=AC$3+6),"▼",IF(AND($E128&gt;=AC$3,$E128&lt;=AC$3+6),$A128,"")))</f>
        <v/>
      </c>
      <c r="AD128" s="47" t="str">
        <f aca="false">IF($A128="","",IF(AND(INDEX(工程マスタ!$I$5:$I$154,$A128)="○",$E128&gt;=AD$3,$E128&lt;=AD$3+6),"▼",IF(AND($E128&gt;=AD$3,$E128&lt;=AD$3+6),$A128,"")))</f>
        <v/>
      </c>
      <c r="AE128" s="47" t="str">
        <f aca="false">IF($A128="","",IF(AND(INDEX(工程マスタ!$I$5:$I$154,$A128)="○",$E128&gt;=AE$3,$E128&lt;=AE$3+6),"▼",IF(AND($E128&gt;=AE$3,$E128&lt;=AE$3+6),$A128,"")))</f>
        <v/>
      </c>
      <c r="AF128" s="47" t="str">
        <f aca="false">IF($A128="","",IF(AND(INDEX(工程マスタ!$I$5:$I$154,$A128)="○",$E128&gt;=AF$3,$E128&lt;=AF$3+6),"▼",IF(AND($E128&gt;=AF$3,$E128&lt;=AF$3+6),$A128,"")))</f>
        <v/>
      </c>
      <c r="AG128" s="47" t="str">
        <f aca="false">IF($A128="","",IF(AND(INDEX(工程マスタ!$I$5:$I$154,$A128)="○",$E128&gt;=AG$3,$E128&lt;=AG$3+6),"▼",IF(AND($E128&gt;=AG$3,$E128&lt;=AG$3+6),$A128,"")))</f>
        <v/>
      </c>
      <c r="AH128" s="47" t="str">
        <f aca="false">IF($A128="","",IF(AND(INDEX(工程マスタ!$I$5:$I$154,$A128)="○",$E128&gt;=AH$3,$E128&lt;=AH$3+6),"▼",IF(AND($E128&gt;=AH$3,$E128&lt;=AH$3+6),$A128,"")))</f>
        <v/>
      </c>
      <c r="AI128" s="47" t="str">
        <f aca="false">IF($A128="","",IF(AND(INDEX(工程マスタ!$I$5:$I$154,$A128)="○",$E128&gt;=AI$3,$E128&lt;=AI$3+6),"▼",IF(AND($E128&gt;=AI$3,$E128&lt;=AI$3+6),$A128,"")))</f>
        <v/>
      </c>
      <c r="AJ128" s="47" t="str">
        <f aca="false">IF($A128="","",IF(AND(INDEX(工程マスタ!$I$5:$I$154,$A128)="○",$E128&gt;=AJ$3,$E128&lt;=AJ$3+6),"▼",IF(AND($E128&gt;=AJ$3,$E128&lt;=AJ$3+6),$A128,"")))</f>
        <v/>
      </c>
      <c r="AK128" s="47" t="str">
        <f aca="false">IF($A128="","",IF(AND(INDEX(工程マスタ!$I$5:$I$154,$A128)="○",$E128&gt;=AK$3,$E128&lt;=AK$3+6),"▼",IF(AND($E128&gt;=AK$3,$E128&lt;=AK$3+6),$A128,"")))</f>
        <v/>
      </c>
      <c r="AL128" s="47" t="str">
        <f aca="false">IF($A128="","",IF(AND(INDEX(工程マスタ!$I$5:$I$154,$A128)="○",$E128&gt;=AL$3,$E128&lt;=AL$3+6),"▼",IF(AND($E128&gt;=AL$3,$E128&lt;=AL$3+6),$A128,"")))</f>
        <v/>
      </c>
      <c r="AM128" s="47" t="str">
        <f aca="false">IF($A128="","",IF(AND(INDEX(工程マスタ!$I$5:$I$154,$A128)="○",$E128&gt;=AM$3,$E128&lt;=AM$3+6),"▼",IF(AND($E128&gt;=AM$3,$E128&lt;=AM$3+6),$A128,"")))</f>
        <v/>
      </c>
      <c r="AN128" s="47" t="str">
        <f aca="false">IF($A128="","",IF(AND(INDEX(工程マスタ!$I$5:$I$154,$A128)="○",$E128&gt;=AN$3,$E128&lt;=AN$3+6),"▼",IF(AND($E128&gt;=AN$3,$E128&lt;=AN$3+6),$A128,"")))</f>
        <v/>
      </c>
      <c r="AO128" s="47" t="str">
        <f aca="false">IF($A128="","",IF(AND(INDEX(工程マスタ!$I$5:$I$154,$A128)="○",$E128&gt;=AO$3,$E128&lt;=AO$3+6),"▼",IF(AND($E128&gt;=AO$3,$E128&lt;=AO$3+6),$A128,"")))</f>
        <v/>
      </c>
      <c r="AP128" s="47" t="str">
        <f aca="false">IF($A128="","",IF(AND(INDEX(工程マスタ!$I$5:$I$154,$A128)="○",$E128&gt;=AP$3,$E128&lt;=AP$3+6),"▼",IF(AND($E128&gt;=AP$3,$E128&lt;=AP$3+6),$A128,"")))</f>
        <v/>
      </c>
      <c r="AQ128" s="47" t="str">
        <f aca="false">IF($A128="","",IF(AND(INDEX(工程マスタ!$I$5:$I$154,$A128)="○",$E128&gt;=AQ$3,$E128&lt;=AQ$3+6),"▼",IF(AND($E128&gt;=AQ$3,$E128&lt;=AQ$3+6),$A128,"")))</f>
        <v/>
      </c>
      <c r="AR128" s="47" t="str">
        <f aca="false">IF($A128="","",IF(AND(INDEX(工程マスタ!$I$5:$I$154,$A128)="○",$E128&gt;=AR$3,$E128&lt;=AR$3+6),"▼",IF(AND($E128&gt;=AR$3,$E128&lt;=AR$3+6),$A128,"")))</f>
        <v/>
      </c>
      <c r="AS128" s="47" t="str">
        <f aca="false">IF($A128="","",IF(AND(INDEX(工程マスタ!$I$5:$I$154,$A128)="○",$E128&gt;=AS$3,$E128&lt;=AS$3+6),"▼",IF(AND($E128&gt;=AS$3,$E128&lt;=AS$3+6),$A128,"")))</f>
        <v/>
      </c>
      <c r="AT128" s="47" t="str">
        <f aca="false">IF($A128="","",IF(AND(INDEX(工程マスタ!$I$5:$I$154,$A128)="○",$E128&gt;=AT$3,$E128&lt;=AT$3+6),"▼",IF(AND($E128&gt;=AT$3,$E128&lt;=AT$3+6),$A128,"")))</f>
        <v/>
      </c>
      <c r="AU128" s="47" t="str">
        <f aca="false">IF($A128="","",IF(AND(INDEX(工程マスタ!$I$5:$I$154,$A128)="○",$E128&gt;=AU$3,$E128&lt;=AU$3+6),"▼",IF(AND($E128&gt;=AU$3,$E128&lt;=AU$3+6),$A128,"")))</f>
        <v/>
      </c>
      <c r="AV128" s="47" t="str">
        <f aca="false">IF($A128="","",IF(AND(INDEX(工程マスタ!$I$5:$I$154,$A128)="○",$E128&gt;=AV$3,$E128&lt;=AV$3+6),"▼",IF(AND($E128&gt;=AV$3,$E128&lt;=AV$3+6),$A128,"")))</f>
        <v/>
      </c>
      <c r="AW128" s="47" t="str">
        <f aca="false">IF($A128="","",IF(AND(INDEX(工程マスタ!$I$5:$I$154,$A128)="○",$E128&gt;=AW$3,$E128&lt;=AW$3+6),"▼",IF(AND($E128&gt;=AW$3,$E128&lt;=AW$3+6),$A128,"")))</f>
        <v/>
      </c>
      <c r="AX128" s="47" t="str">
        <f aca="false">IF($A128="","",IF(AND(INDEX(工程マスタ!$I$5:$I$154,$A128)="○",$E128&gt;=AX$3,$E128&lt;=AX$3+6),"▼",IF(AND($E128&gt;=AX$3,$E128&lt;=AX$3+6),$A128,"")))</f>
        <v/>
      </c>
      <c r="AY128" s="47" t="str">
        <f aca="false">IF($A128="","",IF(AND(INDEX(工程マスタ!$I$5:$I$154,$A128)="○",$E128&gt;=AY$3,$E128&lt;=AY$3+6),"▼",IF(AND($E128&gt;=AY$3,$E128&lt;=AY$3+6),$A128,"")))</f>
        <v/>
      </c>
      <c r="AZ128" s="47" t="str">
        <f aca="false">IF($A128="","",IF(AND(INDEX(工程マスタ!$I$5:$I$154,$A128)="○",$E128&gt;=AZ$3,$E128&lt;=AZ$3+6),"▼",IF(AND($E128&gt;=AZ$3,$E128&lt;=AZ$3+6),$A128,"")))</f>
        <v/>
      </c>
      <c r="BA128" s="47" t="str">
        <f aca="false">IF($A128="","",IF(AND(INDEX(工程マスタ!$I$5:$I$154,$A128)="○",$E128&gt;=BA$3,$E128&lt;=BA$3+6),"▼",IF(AND($E128&gt;=BA$3,$E128&lt;=BA$3+6),$A128,"")))</f>
        <v/>
      </c>
      <c r="BB128" s="47" t="str">
        <f aca="false">IF($A128="","",IF(AND(INDEX(工程マスタ!$I$5:$I$154,$A128)="○",$E128&gt;=BB$3,$E128&lt;=BB$3+6),"▼",IF(AND($E128&gt;=BB$3,$E128&lt;=BB$3+6),$A128,"")))</f>
        <v/>
      </c>
      <c r="BC128" s="47" t="str">
        <f aca="false">IF($A128="","",IF(AND(INDEX(工程マスタ!$I$5:$I$154,$A128)="○",$E128&gt;=BC$3,$E128&lt;=BC$3+6),"▼",IF(AND($E128&gt;=BC$3,$E128&lt;=BC$3+6),$A128,"")))</f>
        <v/>
      </c>
      <c r="BD128" s="47" t="str">
        <f aca="false">IF($A128="","",IF(AND(INDEX(工程マスタ!$I$5:$I$154,$A128)="○",$E128&gt;=BD$3,$E128&lt;=BD$3+6),"▼",IF(AND($E128&gt;=BD$3,$E128&lt;=BD$3+6),$A128,"")))</f>
        <v/>
      </c>
      <c r="BE128" s="47" t="str">
        <f aca="false">IF($A128="","",IF(AND(INDEX(工程マスタ!$I$5:$I$154,$A128)="○",$E128&gt;=BE$3,$E128&lt;=BE$3+6),"▼",IF(AND($E128&gt;=BE$3,$E128&lt;=BE$3+6),$A128,"")))</f>
        <v/>
      </c>
      <c r="BF128" s="47" t="str">
        <f aca="false">IF($A128="","",IF(AND(INDEX(工程マスタ!$I$5:$I$154,$A128)="○",$E128&gt;=BF$3,$E128&lt;=BF$3+6),"▼",IF(AND($E128&gt;=BF$3,$E128&lt;=BF$3+6),$A128,"")))</f>
        <v/>
      </c>
      <c r="BG128" s="47" t="str">
        <f aca="false">IF($A128="","",IF(AND(INDEX(工程マスタ!$I$5:$I$154,$A128)="○",$E128&gt;=BG$3,$E128&lt;=BG$3+6),"▼",IF(AND($E128&gt;=BG$3,$E128&lt;=BG$3+6),$A128,"")))</f>
        <v/>
      </c>
      <c r="BH128" s="47" t="str">
        <f aca="false">IF($A128="","",IF(AND(INDEX(工程マスタ!$I$5:$I$154,$A128)="○",$E128&gt;=BH$3,$E128&lt;=BH$3+6),"▼",IF(AND($E128&gt;=BH$3,$E128&lt;=BH$3+6),$A128,"")))</f>
        <v/>
      </c>
      <c r="BI128" s="47" t="str">
        <f aca="false">IF($A128="","",IF(AND(INDEX(工程マスタ!$I$5:$I$154,$A128)="○",$E128&gt;=BI$3,$E128&lt;=BI$3+6),"▼",IF(AND($E128&gt;=BI$3,$E128&lt;=BI$3+6),$A128,"")))</f>
        <v/>
      </c>
      <c r="BJ128" s="47" t="str">
        <f aca="false">IF($A128="","",IF(AND(INDEX(工程マスタ!$I$5:$I$154,$A128)="○",$E128&gt;=BJ$3,$E128&lt;=BJ$3+6),"▼",IF(AND($E128&gt;=BJ$3,$E128&lt;=BJ$3+6),$A128,"")))</f>
        <v/>
      </c>
    </row>
    <row r="129" customFormat="false" ht="15" hidden="false" customHeight="false" outlineLevel="0" collapsed="false">
      <c r="A129" s="28" t="str">
        <f aca="false">IF(工程マスタ!$C127="","",工程マスタ!$A127)</f>
        <v/>
      </c>
      <c r="B129" s="46" t="str">
        <f aca="false">IF($A129="","",工程マスタ!$C127)</f>
        <v/>
      </c>
      <c r="C129" s="28" t="str">
        <f aca="false">IF($A129="","",MAX(1,工程マスタ!$G127))</f>
        <v/>
      </c>
      <c r="D129" s="28" t="str">
        <f aca="false">IF($A129="","",_xlfn.TEXTJOIN(",",TRUE(),工程マスタ!$N127:$P127))</f>
        <v/>
      </c>
      <c r="E129" s="29" t="str">
        <f aca="false">IF($A129="","",IF(COUNT(工程マスタ!$N127:$P127)=0,設定!$B$8,MAX(IF(工程マスタ!$N127="",0,INDEX($F$7:$F$156,工程マスタ!$N127)),IF(工程マスタ!$O127="",0,INDEX($F$7:$F$156,工程マスタ!$O127)),IF(工程マスタ!$P127="",0,INDEX($F$7:$F$156,工程マスタ!$P127)))+1))</f>
        <v/>
      </c>
      <c r="F129" s="29" t="str">
        <f aca="false">IF($A129="","",$E129+$C129-1)</f>
        <v/>
      </c>
      <c r="G129" s="29" t="str">
        <f aca="false">IF($A129="","",$H129-$C129+1)</f>
        <v/>
      </c>
      <c r="H129" s="29" t="str">
        <f aca="false" t="array" ref="H129:H129">IF($A129="","",IF(SUMPRODUCT((工程マスタ!$N$128:$N$154=$A129)*1)+SUMPRODUCT((工程マスタ!$O$128:$O$154=$A129)*1)+SUMPRODUCT((工程マスタ!$P$128:$P$154=$A129)*1)=0,MAX($F$7:$F$156),MIN(IF((工程マスタ!$N$128:$N$154=$A129)+(工程マスタ!$O$128:$O$154=$A129)+(工程マスタ!$P$128:$P$154=$A129),$G130:$G$156))-1))</f>
        <v/>
      </c>
      <c r="I129" s="28" t="str">
        <f aca="false">IF($A129="","",$G129-$E129)</f>
        <v/>
      </c>
      <c r="J129" s="28" t="str">
        <f aca="false">IF($A129="","",IF($I129&lt;=0,"●",""))</f>
        <v/>
      </c>
      <c r="K129" s="47" t="str">
        <f aca="false">IF($A129="","",IF(AND(INDEX(工程マスタ!$I$5:$I$154,$A129)="○",$E129&gt;=K$3,$E129&lt;=K$3+6),"▼",IF(AND($E129&gt;=K$3,$E129&lt;=K$3+6),$A129,"")))</f>
        <v/>
      </c>
      <c r="L129" s="47" t="str">
        <f aca="false">IF($A129="","",IF(AND(INDEX(工程マスタ!$I$5:$I$154,$A129)="○",$E129&gt;=L$3,$E129&lt;=L$3+6),"▼",IF(AND($E129&gt;=L$3,$E129&lt;=L$3+6),$A129,"")))</f>
        <v/>
      </c>
      <c r="M129" s="47" t="str">
        <f aca="false">IF($A129="","",IF(AND(INDEX(工程マスタ!$I$5:$I$154,$A129)="○",$E129&gt;=M$3,$E129&lt;=M$3+6),"▼",IF(AND($E129&gt;=M$3,$E129&lt;=M$3+6),$A129,"")))</f>
        <v/>
      </c>
      <c r="N129" s="47" t="str">
        <f aca="false">IF($A129="","",IF(AND(INDEX(工程マスタ!$I$5:$I$154,$A129)="○",$E129&gt;=N$3,$E129&lt;=N$3+6),"▼",IF(AND($E129&gt;=N$3,$E129&lt;=N$3+6),$A129,"")))</f>
        <v/>
      </c>
      <c r="O129" s="47" t="str">
        <f aca="false">IF($A129="","",IF(AND(INDEX(工程マスタ!$I$5:$I$154,$A129)="○",$E129&gt;=O$3,$E129&lt;=O$3+6),"▼",IF(AND($E129&gt;=O$3,$E129&lt;=O$3+6),$A129,"")))</f>
        <v/>
      </c>
      <c r="P129" s="47" t="str">
        <f aca="false">IF($A129="","",IF(AND(INDEX(工程マスタ!$I$5:$I$154,$A129)="○",$E129&gt;=P$3,$E129&lt;=P$3+6),"▼",IF(AND($E129&gt;=P$3,$E129&lt;=P$3+6),$A129,"")))</f>
        <v/>
      </c>
      <c r="Q129" s="47" t="str">
        <f aca="false">IF($A129="","",IF(AND(INDEX(工程マスタ!$I$5:$I$154,$A129)="○",$E129&gt;=Q$3,$E129&lt;=Q$3+6),"▼",IF(AND($E129&gt;=Q$3,$E129&lt;=Q$3+6),$A129,"")))</f>
        <v/>
      </c>
      <c r="R129" s="47" t="str">
        <f aca="false">IF($A129="","",IF(AND(INDEX(工程マスタ!$I$5:$I$154,$A129)="○",$E129&gt;=R$3,$E129&lt;=R$3+6),"▼",IF(AND($E129&gt;=R$3,$E129&lt;=R$3+6),$A129,"")))</f>
        <v/>
      </c>
      <c r="S129" s="47" t="str">
        <f aca="false">IF($A129="","",IF(AND(INDEX(工程マスタ!$I$5:$I$154,$A129)="○",$E129&gt;=S$3,$E129&lt;=S$3+6),"▼",IF(AND($E129&gt;=S$3,$E129&lt;=S$3+6),$A129,"")))</f>
        <v/>
      </c>
      <c r="T129" s="47" t="str">
        <f aca="false">IF($A129="","",IF(AND(INDEX(工程マスタ!$I$5:$I$154,$A129)="○",$E129&gt;=T$3,$E129&lt;=T$3+6),"▼",IF(AND($E129&gt;=T$3,$E129&lt;=T$3+6),$A129,"")))</f>
        <v/>
      </c>
      <c r="U129" s="47" t="str">
        <f aca="false">IF($A129="","",IF(AND(INDEX(工程マスタ!$I$5:$I$154,$A129)="○",$E129&gt;=U$3,$E129&lt;=U$3+6),"▼",IF(AND($E129&gt;=U$3,$E129&lt;=U$3+6),$A129,"")))</f>
        <v/>
      </c>
      <c r="V129" s="47" t="str">
        <f aca="false">IF($A129="","",IF(AND(INDEX(工程マスタ!$I$5:$I$154,$A129)="○",$E129&gt;=V$3,$E129&lt;=V$3+6),"▼",IF(AND($E129&gt;=V$3,$E129&lt;=V$3+6),$A129,"")))</f>
        <v/>
      </c>
      <c r="W129" s="47" t="str">
        <f aca="false">IF($A129="","",IF(AND(INDEX(工程マスタ!$I$5:$I$154,$A129)="○",$E129&gt;=W$3,$E129&lt;=W$3+6),"▼",IF(AND($E129&gt;=W$3,$E129&lt;=W$3+6),$A129,"")))</f>
        <v/>
      </c>
      <c r="X129" s="47" t="str">
        <f aca="false">IF($A129="","",IF(AND(INDEX(工程マスタ!$I$5:$I$154,$A129)="○",$E129&gt;=X$3,$E129&lt;=X$3+6),"▼",IF(AND($E129&gt;=X$3,$E129&lt;=X$3+6),$A129,"")))</f>
        <v/>
      </c>
      <c r="Y129" s="47" t="str">
        <f aca="false">IF($A129="","",IF(AND(INDEX(工程マスタ!$I$5:$I$154,$A129)="○",$E129&gt;=Y$3,$E129&lt;=Y$3+6),"▼",IF(AND($E129&gt;=Y$3,$E129&lt;=Y$3+6),$A129,"")))</f>
        <v/>
      </c>
      <c r="Z129" s="47" t="str">
        <f aca="false">IF($A129="","",IF(AND(INDEX(工程マスタ!$I$5:$I$154,$A129)="○",$E129&gt;=Z$3,$E129&lt;=Z$3+6),"▼",IF(AND($E129&gt;=Z$3,$E129&lt;=Z$3+6),$A129,"")))</f>
        <v/>
      </c>
      <c r="AA129" s="47" t="str">
        <f aca="false">IF($A129="","",IF(AND(INDEX(工程マスタ!$I$5:$I$154,$A129)="○",$E129&gt;=AA$3,$E129&lt;=AA$3+6),"▼",IF(AND($E129&gt;=AA$3,$E129&lt;=AA$3+6),$A129,"")))</f>
        <v/>
      </c>
      <c r="AB129" s="47" t="str">
        <f aca="false">IF($A129="","",IF(AND(INDEX(工程マスタ!$I$5:$I$154,$A129)="○",$E129&gt;=AB$3,$E129&lt;=AB$3+6),"▼",IF(AND($E129&gt;=AB$3,$E129&lt;=AB$3+6),$A129,"")))</f>
        <v/>
      </c>
      <c r="AC129" s="47" t="str">
        <f aca="false">IF($A129="","",IF(AND(INDEX(工程マスタ!$I$5:$I$154,$A129)="○",$E129&gt;=AC$3,$E129&lt;=AC$3+6),"▼",IF(AND($E129&gt;=AC$3,$E129&lt;=AC$3+6),$A129,"")))</f>
        <v/>
      </c>
      <c r="AD129" s="47" t="str">
        <f aca="false">IF($A129="","",IF(AND(INDEX(工程マスタ!$I$5:$I$154,$A129)="○",$E129&gt;=AD$3,$E129&lt;=AD$3+6),"▼",IF(AND($E129&gt;=AD$3,$E129&lt;=AD$3+6),$A129,"")))</f>
        <v/>
      </c>
      <c r="AE129" s="47" t="str">
        <f aca="false">IF($A129="","",IF(AND(INDEX(工程マスタ!$I$5:$I$154,$A129)="○",$E129&gt;=AE$3,$E129&lt;=AE$3+6),"▼",IF(AND($E129&gt;=AE$3,$E129&lt;=AE$3+6),$A129,"")))</f>
        <v/>
      </c>
      <c r="AF129" s="47" t="str">
        <f aca="false">IF($A129="","",IF(AND(INDEX(工程マスタ!$I$5:$I$154,$A129)="○",$E129&gt;=AF$3,$E129&lt;=AF$3+6),"▼",IF(AND($E129&gt;=AF$3,$E129&lt;=AF$3+6),$A129,"")))</f>
        <v/>
      </c>
      <c r="AG129" s="47" t="str">
        <f aca="false">IF($A129="","",IF(AND(INDEX(工程マスタ!$I$5:$I$154,$A129)="○",$E129&gt;=AG$3,$E129&lt;=AG$3+6),"▼",IF(AND($E129&gt;=AG$3,$E129&lt;=AG$3+6),$A129,"")))</f>
        <v/>
      </c>
      <c r="AH129" s="47" t="str">
        <f aca="false">IF($A129="","",IF(AND(INDEX(工程マスタ!$I$5:$I$154,$A129)="○",$E129&gt;=AH$3,$E129&lt;=AH$3+6),"▼",IF(AND($E129&gt;=AH$3,$E129&lt;=AH$3+6),$A129,"")))</f>
        <v/>
      </c>
      <c r="AI129" s="47" t="str">
        <f aca="false">IF($A129="","",IF(AND(INDEX(工程マスタ!$I$5:$I$154,$A129)="○",$E129&gt;=AI$3,$E129&lt;=AI$3+6),"▼",IF(AND($E129&gt;=AI$3,$E129&lt;=AI$3+6),$A129,"")))</f>
        <v/>
      </c>
      <c r="AJ129" s="47" t="str">
        <f aca="false">IF($A129="","",IF(AND(INDEX(工程マスタ!$I$5:$I$154,$A129)="○",$E129&gt;=AJ$3,$E129&lt;=AJ$3+6),"▼",IF(AND($E129&gt;=AJ$3,$E129&lt;=AJ$3+6),$A129,"")))</f>
        <v/>
      </c>
      <c r="AK129" s="47" t="str">
        <f aca="false">IF($A129="","",IF(AND(INDEX(工程マスタ!$I$5:$I$154,$A129)="○",$E129&gt;=AK$3,$E129&lt;=AK$3+6),"▼",IF(AND($E129&gt;=AK$3,$E129&lt;=AK$3+6),$A129,"")))</f>
        <v/>
      </c>
      <c r="AL129" s="47" t="str">
        <f aca="false">IF($A129="","",IF(AND(INDEX(工程マスタ!$I$5:$I$154,$A129)="○",$E129&gt;=AL$3,$E129&lt;=AL$3+6),"▼",IF(AND($E129&gt;=AL$3,$E129&lt;=AL$3+6),$A129,"")))</f>
        <v/>
      </c>
      <c r="AM129" s="47" t="str">
        <f aca="false">IF($A129="","",IF(AND(INDEX(工程マスタ!$I$5:$I$154,$A129)="○",$E129&gt;=AM$3,$E129&lt;=AM$3+6),"▼",IF(AND($E129&gt;=AM$3,$E129&lt;=AM$3+6),$A129,"")))</f>
        <v/>
      </c>
      <c r="AN129" s="47" t="str">
        <f aca="false">IF($A129="","",IF(AND(INDEX(工程マスタ!$I$5:$I$154,$A129)="○",$E129&gt;=AN$3,$E129&lt;=AN$3+6),"▼",IF(AND($E129&gt;=AN$3,$E129&lt;=AN$3+6),$A129,"")))</f>
        <v/>
      </c>
      <c r="AO129" s="47" t="str">
        <f aca="false">IF($A129="","",IF(AND(INDEX(工程マスタ!$I$5:$I$154,$A129)="○",$E129&gt;=AO$3,$E129&lt;=AO$3+6),"▼",IF(AND($E129&gt;=AO$3,$E129&lt;=AO$3+6),$A129,"")))</f>
        <v/>
      </c>
      <c r="AP129" s="47" t="str">
        <f aca="false">IF($A129="","",IF(AND(INDEX(工程マスタ!$I$5:$I$154,$A129)="○",$E129&gt;=AP$3,$E129&lt;=AP$3+6),"▼",IF(AND($E129&gt;=AP$3,$E129&lt;=AP$3+6),$A129,"")))</f>
        <v/>
      </c>
      <c r="AQ129" s="47" t="str">
        <f aca="false">IF($A129="","",IF(AND(INDEX(工程マスタ!$I$5:$I$154,$A129)="○",$E129&gt;=AQ$3,$E129&lt;=AQ$3+6),"▼",IF(AND($E129&gt;=AQ$3,$E129&lt;=AQ$3+6),$A129,"")))</f>
        <v/>
      </c>
      <c r="AR129" s="47" t="str">
        <f aca="false">IF($A129="","",IF(AND(INDEX(工程マスタ!$I$5:$I$154,$A129)="○",$E129&gt;=AR$3,$E129&lt;=AR$3+6),"▼",IF(AND($E129&gt;=AR$3,$E129&lt;=AR$3+6),$A129,"")))</f>
        <v/>
      </c>
      <c r="AS129" s="47" t="str">
        <f aca="false">IF($A129="","",IF(AND(INDEX(工程マスタ!$I$5:$I$154,$A129)="○",$E129&gt;=AS$3,$E129&lt;=AS$3+6),"▼",IF(AND($E129&gt;=AS$3,$E129&lt;=AS$3+6),$A129,"")))</f>
        <v/>
      </c>
      <c r="AT129" s="47" t="str">
        <f aca="false">IF($A129="","",IF(AND(INDEX(工程マスタ!$I$5:$I$154,$A129)="○",$E129&gt;=AT$3,$E129&lt;=AT$3+6),"▼",IF(AND($E129&gt;=AT$3,$E129&lt;=AT$3+6),$A129,"")))</f>
        <v/>
      </c>
      <c r="AU129" s="47" t="str">
        <f aca="false">IF($A129="","",IF(AND(INDEX(工程マスタ!$I$5:$I$154,$A129)="○",$E129&gt;=AU$3,$E129&lt;=AU$3+6),"▼",IF(AND($E129&gt;=AU$3,$E129&lt;=AU$3+6),$A129,"")))</f>
        <v/>
      </c>
      <c r="AV129" s="47" t="str">
        <f aca="false">IF($A129="","",IF(AND(INDEX(工程マスタ!$I$5:$I$154,$A129)="○",$E129&gt;=AV$3,$E129&lt;=AV$3+6),"▼",IF(AND($E129&gt;=AV$3,$E129&lt;=AV$3+6),$A129,"")))</f>
        <v/>
      </c>
      <c r="AW129" s="47" t="str">
        <f aca="false">IF($A129="","",IF(AND(INDEX(工程マスタ!$I$5:$I$154,$A129)="○",$E129&gt;=AW$3,$E129&lt;=AW$3+6),"▼",IF(AND($E129&gt;=AW$3,$E129&lt;=AW$3+6),$A129,"")))</f>
        <v/>
      </c>
      <c r="AX129" s="47" t="str">
        <f aca="false">IF($A129="","",IF(AND(INDEX(工程マスタ!$I$5:$I$154,$A129)="○",$E129&gt;=AX$3,$E129&lt;=AX$3+6),"▼",IF(AND($E129&gt;=AX$3,$E129&lt;=AX$3+6),$A129,"")))</f>
        <v/>
      </c>
      <c r="AY129" s="47" t="str">
        <f aca="false">IF($A129="","",IF(AND(INDEX(工程マスタ!$I$5:$I$154,$A129)="○",$E129&gt;=AY$3,$E129&lt;=AY$3+6),"▼",IF(AND($E129&gt;=AY$3,$E129&lt;=AY$3+6),$A129,"")))</f>
        <v/>
      </c>
      <c r="AZ129" s="47" t="str">
        <f aca="false">IF($A129="","",IF(AND(INDEX(工程マスタ!$I$5:$I$154,$A129)="○",$E129&gt;=AZ$3,$E129&lt;=AZ$3+6),"▼",IF(AND($E129&gt;=AZ$3,$E129&lt;=AZ$3+6),$A129,"")))</f>
        <v/>
      </c>
      <c r="BA129" s="47" t="str">
        <f aca="false">IF($A129="","",IF(AND(INDEX(工程マスタ!$I$5:$I$154,$A129)="○",$E129&gt;=BA$3,$E129&lt;=BA$3+6),"▼",IF(AND($E129&gt;=BA$3,$E129&lt;=BA$3+6),$A129,"")))</f>
        <v/>
      </c>
      <c r="BB129" s="47" t="str">
        <f aca="false">IF($A129="","",IF(AND(INDEX(工程マスタ!$I$5:$I$154,$A129)="○",$E129&gt;=BB$3,$E129&lt;=BB$3+6),"▼",IF(AND($E129&gt;=BB$3,$E129&lt;=BB$3+6),$A129,"")))</f>
        <v/>
      </c>
      <c r="BC129" s="47" t="str">
        <f aca="false">IF($A129="","",IF(AND(INDEX(工程マスタ!$I$5:$I$154,$A129)="○",$E129&gt;=BC$3,$E129&lt;=BC$3+6),"▼",IF(AND($E129&gt;=BC$3,$E129&lt;=BC$3+6),$A129,"")))</f>
        <v/>
      </c>
      <c r="BD129" s="47" t="str">
        <f aca="false">IF($A129="","",IF(AND(INDEX(工程マスタ!$I$5:$I$154,$A129)="○",$E129&gt;=BD$3,$E129&lt;=BD$3+6),"▼",IF(AND($E129&gt;=BD$3,$E129&lt;=BD$3+6),$A129,"")))</f>
        <v/>
      </c>
      <c r="BE129" s="47" t="str">
        <f aca="false">IF($A129="","",IF(AND(INDEX(工程マスタ!$I$5:$I$154,$A129)="○",$E129&gt;=BE$3,$E129&lt;=BE$3+6),"▼",IF(AND($E129&gt;=BE$3,$E129&lt;=BE$3+6),$A129,"")))</f>
        <v/>
      </c>
      <c r="BF129" s="47" t="str">
        <f aca="false">IF($A129="","",IF(AND(INDEX(工程マスタ!$I$5:$I$154,$A129)="○",$E129&gt;=BF$3,$E129&lt;=BF$3+6),"▼",IF(AND($E129&gt;=BF$3,$E129&lt;=BF$3+6),$A129,"")))</f>
        <v/>
      </c>
      <c r="BG129" s="47" t="str">
        <f aca="false">IF($A129="","",IF(AND(INDEX(工程マスタ!$I$5:$I$154,$A129)="○",$E129&gt;=BG$3,$E129&lt;=BG$3+6),"▼",IF(AND($E129&gt;=BG$3,$E129&lt;=BG$3+6),$A129,"")))</f>
        <v/>
      </c>
      <c r="BH129" s="47" t="str">
        <f aca="false">IF($A129="","",IF(AND(INDEX(工程マスタ!$I$5:$I$154,$A129)="○",$E129&gt;=BH$3,$E129&lt;=BH$3+6),"▼",IF(AND($E129&gt;=BH$3,$E129&lt;=BH$3+6),$A129,"")))</f>
        <v/>
      </c>
      <c r="BI129" s="47" t="str">
        <f aca="false">IF($A129="","",IF(AND(INDEX(工程マスタ!$I$5:$I$154,$A129)="○",$E129&gt;=BI$3,$E129&lt;=BI$3+6),"▼",IF(AND($E129&gt;=BI$3,$E129&lt;=BI$3+6),$A129,"")))</f>
        <v/>
      </c>
      <c r="BJ129" s="47" t="str">
        <f aca="false">IF($A129="","",IF(AND(INDEX(工程マスタ!$I$5:$I$154,$A129)="○",$E129&gt;=BJ$3,$E129&lt;=BJ$3+6),"▼",IF(AND($E129&gt;=BJ$3,$E129&lt;=BJ$3+6),$A129,"")))</f>
        <v/>
      </c>
    </row>
    <row r="130" customFormat="false" ht="15" hidden="false" customHeight="false" outlineLevel="0" collapsed="false">
      <c r="A130" s="28" t="str">
        <f aca="false">IF(工程マスタ!$C128="","",工程マスタ!$A128)</f>
        <v/>
      </c>
      <c r="B130" s="46" t="str">
        <f aca="false">IF($A130="","",工程マスタ!$C128)</f>
        <v/>
      </c>
      <c r="C130" s="28" t="str">
        <f aca="false">IF($A130="","",MAX(1,工程マスタ!$G128))</f>
        <v/>
      </c>
      <c r="D130" s="28" t="str">
        <f aca="false">IF($A130="","",_xlfn.TEXTJOIN(",",TRUE(),工程マスタ!$N128:$P128))</f>
        <v/>
      </c>
      <c r="E130" s="29" t="str">
        <f aca="false">IF($A130="","",IF(COUNT(工程マスタ!$N128:$P128)=0,設定!$B$8,MAX(IF(工程マスタ!$N128="",0,INDEX($F$7:$F$156,工程マスタ!$N128)),IF(工程マスタ!$O128="",0,INDEX($F$7:$F$156,工程マスタ!$O128)),IF(工程マスタ!$P128="",0,INDEX($F$7:$F$156,工程マスタ!$P128)))+1))</f>
        <v/>
      </c>
      <c r="F130" s="29" t="str">
        <f aca="false">IF($A130="","",$E130+$C130-1)</f>
        <v/>
      </c>
      <c r="G130" s="29" t="str">
        <f aca="false">IF($A130="","",$H130-$C130+1)</f>
        <v/>
      </c>
      <c r="H130" s="29" t="str">
        <f aca="false" t="array" ref="H130:H130">IF($A130="","",IF(SUMPRODUCT((工程マスタ!$N$129:$N$154=$A130)*1)+SUMPRODUCT((工程マスタ!$O$129:$O$154=$A130)*1)+SUMPRODUCT((工程マスタ!$P$129:$P$154=$A130)*1)=0,MAX($F$7:$F$156),MIN(IF((工程マスタ!$N$129:$N$154=$A130)+(工程マスタ!$O$129:$O$154=$A130)+(工程マスタ!$P$129:$P$154=$A130),$G131:$G$156))-1))</f>
        <v/>
      </c>
      <c r="I130" s="28" t="str">
        <f aca="false">IF($A130="","",$G130-$E130)</f>
        <v/>
      </c>
      <c r="J130" s="28" t="str">
        <f aca="false">IF($A130="","",IF($I130&lt;=0,"●",""))</f>
        <v/>
      </c>
      <c r="K130" s="47" t="str">
        <f aca="false">IF($A130="","",IF(AND(INDEX(工程マスタ!$I$5:$I$154,$A130)="○",$E130&gt;=K$3,$E130&lt;=K$3+6),"▼",IF(AND($E130&gt;=K$3,$E130&lt;=K$3+6),$A130,"")))</f>
        <v/>
      </c>
      <c r="L130" s="47" t="str">
        <f aca="false">IF($A130="","",IF(AND(INDEX(工程マスタ!$I$5:$I$154,$A130)="○",$E130&gt;=L$3,$E130&lt;=L$3+6),"▼",IF(AND($E130&gt;=L$3,$E130&lt;=L$3+6),$A130,"")))</f>
        <v/>
      </c>
      <c r="M130" s="47" t="str">
        <f aca="false">IF($A130="","",IF(AND(INDEX(工程マスタ!$I$5:$I$154,$A130)="○",$E130&gt;=M$3,$E130&lt;=M$3+6),"▼",IF(AND($E130&gt;=M$3,$E130&lt;=M$3+6),$A130,"")))</f>
        <v/>
      </c>
      <c r="N130" s="47" t="str">
        <f aca="false">IF($A130="","",IF(AND(INDEX(工程マスタ!$I$5:$I$154,$A130)="○",$E130&gt;=N$3,$E130&lt;=N$3+6),"▼",IF(AND($E130&gt;=N$3,$E130&lt;=N$3+6),$A130,"")))</f>
        <v/>
      </c>
      <c r="O130" s="47" t="str">
        <f aca="false">IF($A130="","",IF(AND(INDEX(工程マスタ!$I$5:$I$154,$A130)="○",$E130&gt;=O$3,$E130&lt;=O$3+6),"▼",IF(AND($E130&gt;=O$3,$E130&lt;=O$3+6),$A130,"")))</f>
        <v/>
      </c>
      <c r="P130" s="47" t="str">
        <f aca="false">IF($A130="","",IF(AND(INDEX(工程マスタ!$I$5:$I$154,$A130)="○",$E130&gt;=P$3,$E130&lt;=P$3+6),"▼",IF(AND($E130&gt;=P$3,$E130&lt;=P$3+6),$A130,"")))</f>
        <v/>
      </c>
      <c r="Q130" s="47" t="str">
        <f aca="false">IF($A130="","",IF(AND(INDEX(工程マスタ!$I$5:$I$154,$A130)="○",$E130&gt;=Q$3,$E130&lt;=Q$3+6),"▼",IF(AND($E130&gt;=Q$3,$E130&lt;=Q$3+6),$A130,"")))</f>
        <v/>
      </c>
      <c r="R130" s="47" t="str">
        <f aca="false">IF($A130="","",IF(AND(INDEX(工程マスタ!$I$5:$I$154,$A130)="○",$E130&gt;=R$3,$E130&lt;=R$3+6),"▼",IF(AND($E130&gt;=R$3,$E130&lt;=R$3+6),$A130,"")))</f>
        <v/>
      </c>
      <c r="S130" s="47" t="str">
        <f aca="false">IF($A130="","",IF(AND(INDEX(工程マスタ!$I$5:$I$154,$A130)="○",$E130&gt;=S$3,$E130&lt;=S$3+6),"▼",IF(AND($E130&gt;=S$3,$E130&lt;=S$3+6),$A130,"")))</f>
        <v/>
      </c>
      <c r="T130" s="47" t="str">
        <f aca="false">IF($A130="","",IF(AND(INDEX(工程マスタ!$I$5:$I$154,$A130)="○",$E130&gt;=T$3,$E130&lt;=T$3+6),"▼",IF(AND($E130&gt;=T$3,$E130&lt;=T$3+6),$A130,"")))</f>
        <v/>
      </c>
      <c r="U130" s="47" t="str">
        <f aca="false">IF($A130="","",IF(AND(INDEX(工程マスタ!$I$5:$I$154,$A130)="○",$E130&gt;=U$3,$E130&lt;=U$3+6),"▼",IF(AND($E130&gt;=U$3,$E130&lt;=U$3+6),$A130,"")))</f>
        <v/>
      </c>
      <c r="V130" s="47" t="str">
        <f aca="false">IF($A130="","",IF(AND(INDEX(工程マスタ!$I$5:$I$154,$A130)="○",$E130&gt;=V$3,$E130&lt;=V$3+6),"▼",IF(AND($E130&gt;=V$3,$E130&lt;=V$3+6),$A130,"")))</f>
        <v/>
      </c>
      <c r="W130" s="47" t="str">
        <f aca="false">IF($A130="","",IF(AND(INDEX(工程マスタ!$I$5:$I$154,$A130)="○",$E130&gt;=W$3,$E130&lt;=W$3+6),"▼",IF(AND($E130&gt;=W$3,$E130&lt;=W$3+6),$A130,"")))</f>
        <v/>
      </c>
      <c r="X130" s="47" t="str">
        <f aca="false">IF($A130="","",IF(AND(INDEX(工程マスタ!$I$5:$I$154,$A130)="○",$E130&gt;=X$3,$E130&lt;=X$3+6),"▼",IF(AND($E130&gt;=X$3,$E130&lt;=X$3+6),$A130,"")))</f>
        <v/>
      </c>
      <c r="Y130" s="47" t="str">
        <f aca="false">IF($A130="","",IF(AND(INDEX(工程マスタ!$I$5:$I$154,$A130)="○",$E130&gt;=Y$3,$E130&lt;=Y$3+6),"▼",IF(AND($E130&gt;=Y$3,$E130&lt;=Y$3+6),$A130,"")))</f>
        <v/>
      </c>
      <c r="Z130" s="47" t="str">
        <f aca="false">IF($A130="","",IF(AND(INDEX(工程マスタ!$I$5:$I$154,$A130)="○",$E130&gt;=Z$3,$E130&lt;=Z$3+6),"▼",IF(AND($E130&gt;=Z$3,$E130&lt;=Z$3+6),$A130,"")))</f>
        <v/>
      </c>
      <c r="AA130" s="47" t="str">
        <f aca="false">IF($A130="","",IF(AND(INDEX(工程マスタ!$I$5:$I$154,$A130)="○",$E130&gt;=AA$3,$E130&lt;=AA$3+6),"▼",IF(AND($E130&gt;=AA$3,$E130&lt;=AA$3+6),$A130,"")))</f>
        <v/>
      </c>
      <c r="AB130" s="47" t="str">
        <f aca="false">IF($A130="","",IF(AND(INDEX(工程マスタ!$I$5:$I$154,$A130)="○",$E130&gt;=AB$3,$E130&lt;=AB$3+6),"▼",IF(AND($E130&gt;=AB$3,$E130&lt;=AB$3+6),$A130,"")))</f>
        <v/>
      </c>
      <c r="AC130" s="47" t="str">
        <f aca="false">IF($A130="","",IF(AND(INDEX(工程マスタ!$I$5:$I$154,$A130)="○",$E130&gt;=AC$3,$E130&lt;=AC$3+6),"▼",IF(AND($E130&gt;=AC$3,$E130&lt;=AC$3+6),$A130,"")))</f>
        <v/>
      </c>
      <c r="AD130" s="47" t="str">
        <f aca="false">IF($A130="","",IF(AND(INDEX(工程マスタ!$I$5:$I$154,$A130)="○",$E130&gt;=AD$3,$E130&lt;=AD$3+6),"▼",IF(AND($E130&gt;=AD$3,$E130&lt;=AD$3+6),$A130,"")))</f>
        <v/>
      </c>
      <c r="AE130" s="47" t="str">
        <f aca="false">IF($A130="","",IF(AND(INDEX(工程マスタ!$I$5:$I$154,$A130)="○",$E130&gt;=AE$3,$E130&lt;=AE$3+6),"▼",IF(AND($E130&gt;=AE$3,$E130&lt;=AE$3+6),$A130,"")))</f>
        <v/>
      </c>
      <c r="AF130" s="47" t="str">
        <f aca="false">IF($A130="","",IF(AND(INDEX(工程マスタ!$I$5:$I$154,$A130)="○",$E130&gt;=AF$3,$E130&lt;=AF$3+6),"▼",IF(AND($E130&gt;=AF$3,$E130&lt;=AF$3+6),$A130,"")))</f>
        <v/>
      </c>
      <c r="AG130" s="47" t="str">
        <f aca="false">IF($A130="","",IF(AND(INDEX(工程マスタ!$I$5:$I$154,$A130)="○",$E130&gt;=AG$3,$E130&lt;=AG$3+6),"▼",IF(AND($E130&gt;=AG$3,$E130&lt;=AG$3+6),$A130,"")))</f>
        <v/>
      </c>
      <c r="AH130" s="47" t="str">
        <f aca="false">IF($A130="","",IF(AND(INDEX(工程マスタ!$I$5:$I$154,$A130)="○",$E130&gt;=AH$3,$E130&lt;=AH$3+6),"▼",IF(AND($E130&gt;=AH$3,$E130&lt;=AH$3+6),$A130,"")))</f>
        <v/>
      </c>
      <c r="AI130" s="47" t="str">
        <f aca="false">IF($A130="","",IF(AND(INDEX(工程マスタ!$I$5:$I$154,$A130)="○",$E130&gt;=AI$3,$E130&lt;=AI$3+6),"▼",IF(AND($E130&gt;=AI$3,$E130&lt;=AI$3+6),$A130,"")))</f>
        <v/>
      </c>
      <c r="AJ130" s="47" t="str">
        <f aca="false">IF($A130="","",IF(AND(INDEX(工程マスタ!$I$5:$I$154,$A130)="○",$E130&gt;=AJ$3,$E130&lt;=AJ$3+6),"▼",IF(AND($E130&gt;=AJ$3,$E130&lt;=AJ$3+6),$A130,"")))</f>
        <v/>
      </c>
      <c r="AK130" s="47" t="str">
        <f aca="false">IF($A130="","",IF(AND(INDEX(工程マスタ!$I$5:$I$154,$A130)="○",$E130&gt;=AK$3,$E130&lt;=AK$3+6),"▼",IF(AND($E130&gt;=AK$3,$E130&lt;=AK$3+6),$A130,"")))</f>
        <v/>
      </c>
      <c r="AL130" s="47" t="str">
        <f aca="false">IF($A130="","",IF(AND(INDEX(工程マスタ!$I$5:$I$154,$A130)="○",$E130&gt;=AL$3,$E130&lt;=AL$3+6),"▼",IF(AND($E130&gt;=AL$3,$E130&lt;=AL$3+6),$A130,"")))</f>
        <v/>
      </c>
      <c r="AM130" s="47" t="str">
        <f aca="false">IF($A130="","",IF(AND(INDEX(工程マスタ!$I$5:$I$154,$A130)="○",$E130&gt;=AM$3,$E130&lt;=AM$3+6),"▼",IF(AND($E130&gt;=AM$3,$E130&lt;=AM$3+6),$A130,"")))</f>
        <v/>
      </c>
      <c r="AN130" s="47" t="str">
        <f aca="false">IF($A130="","",IF(AND(INDEX(工程マスタ!$I$5:$I$154,$A130)="○",$E130&gt;=AN$3,$E130&lt;=AN$3+6),"▼",IF(AND($E130&gt;=AN$3,$E130&lt;=AN$3+6),$A130,"")))</f>
        <v/>
      </c>
      <c r="AO130" s="47" t="str">
        <f aca="false">IF($A130="","",IF(AND(INDEX(工程マスタ!$I$5:$I$154,$A130)="○",$E130&gt;=AO$3,$E130&lt;=AO$3+6),"▼",IF(AND($E130&gt;=AO$3,$E130&lt;=AO$3+6),$A130,"")))</f>
        <v/>
      </c>
      <c r="AP130" s="47" t="str">
        <f aca="false">IF($A130="","",IF(AND(INDEX(工程マスタ!$I$5:$I$154,$A130)="○",$E130&gt;=AP$3,$E130&lt;=AP$3+6),"▼",IF(AND($E130&gt;=AP$3,$E130&lt;=AP$3+6),$A130,"")))</f>
        <v/>
      </c>
      <c r="AQ130" s="47" t="str">
        <f aca="false">IF($A130="","",IF(AND(INDEX(工程マスタ!$I$5:$I$154,$A130)="○",$E130&gt;=AQ$3,$E130&lt;=AQ$3+6),"▼",IF(AND($E130&gt;=AQ$3,$E130&lt;=AQ$3+6),$A130,"")))</f>
        <v/>
      </c>
      <c r="AR130" s="47" t="str">
        <f aca="false">IF($A130="","",IF(AND(INDEX(工程マスタ!$I$5:$I$154,$A130)="○",$E130&gt;=AR$3,$E130&lt;=AR$3+6),"▼",IF(AND($E130&gt;=AR$3,$E130&lt;=AR$3+6),$A130,"")))</f>
        <v/>
      </c>
      <c r="AS130" s="47" t="str">
        <f aca="false">IF($A130="","",IF(AND(INDEX(工程マスタ!$I$5:$I$154,$A130)="○",$E130&gt;=AS$3,$E130&lt;=AS$3+6),"▼",IF(AND($E130&gt;=AS$3,$E130&lt;=AS$3+6),$A130,"")))</f>
        <v/>
      </c>
      <c r="AT130" s="47" t="str">
        <f aca="false">IF($A130="","",IF(AND(INDEX(工程マスタ!$I$5:$I$154,$A130)="○",$E130&gt;=AT$3,$E130&lt;=AT$3+6),"▼",IF(AND($E130&gt;=AT$3,$E130&lt;=AT$3+6),$A130,"")))</f>
        <v/>
      </c>
      <c r="AU130" s="47" t="str">
        <f aca="false">IF($A130="","",IF(AND(INDEX(工程マスタ!$I$5:$I$154,$A130)="○",$E130&gt;=AU$3,$E130&lt;=AU$3+6),"▼",IF(AND($E130&gt;=AU$3,$E130&lt;=AU$3+6),$A130,"")))</f>
        <v/>
      </c>
      <c r="AV130" s="47" t="str">
        <f aca="false">IF($A130="","",IF(AND(INDEX(工程マスタ!$I$5:$I$154,$A130)="○",$E130&gt;=AV$3,$E130&lt;=AV$3+6),"▼",IF(AND($E130&gt;=AV$3,$E130&lt;=AV$3+6),$A130,"")))</f>
        <v/>
      </c>
      <c r="AW130" s="47" t="str">
        <f aca="false">IF($A130="","",IF(AND(INDEX(工程マスタ!$I$5:$I$154,$A130)="○",$E130&gt;=AW$3,$E130&lt;=AW$3+6),"▼",IF(AND($E130&gt;=AW$3,$E130&lt;=AW$3+6),$A130,"")))</f>
        <v/>
      </c>
      <c r="AX130" s="47" t="str">
        <f aca="false">IF($A130="","",IF(AND(INDEX(工程マスタ!$I$5:$I$154,$A130)="○",$E130&gt;=AX$3,$E130&lt;=AX$3+6),"▼",IF(AND($E130&gt;=AX$3,$E130&lt;=AX$3+6),$A130,"")))</f>
        <v/>
      </c>
      <c r="AY130" s="47" t="str">
        <f aca="false">IF($A130="","",IF(AND(INDEX(工程マスタ!$I$5:$I$154,$A130)="○",$E130&gt;=AY$3,$E130&lt;=AY$3+6),"▼",IF(AND($E130&gt;=AY$3,$E130&lt;=AY$3+6),$A130,"")))</f>
        <v/>
      </c>
      <c r="AZ130" s="47" t="str">
        <f aca="false">IF($A130="","",IF(AND(INDEX(工程マスタ!$I$5:$I$154,$A130)="○",$E130&gt;=AZ$3,$E130&lt;=AZ$3+6),"▼",IF(AND($E130&gt;=AZ$3,$E130&lt;=AZ$3+6),$A130,"")))</f>
        <v/>
      </c>
      <c r="BA130" s="47" t="str">
        <f aca="false">IF($A130="","",IF(AND(INDEX(工程マスタ!$I$5:$I$154,$A130)="○",$E130&gt;=BA$3,$E130&lt;=BA$3+6),"▼",IF(AND($E130&gt;=BA$3,$E130&lt;=BA$3+6),$A130,"")))</f>
        <v/>
      </c>
      <c r="BB130" s="47" t="str">
        <f aca="false">IF($A130="","",IF(AND(INDEX(工程マスタ!$I$5:$I$154,$A130)="○",$E130&gt;=BB$3,$E130&lt;=BB$3+6),"▼",IF(AND($E130&gt;=BB$3,$E130&lt;=BB$3+6),$A130,"")))</f>
        <v/>
      </c>
      <c r="BC130" s="47" t="str">
        <f aca="false">IF($A130="","",IF(AND(INDEX(工程マスタ!$I$5:$I$154,$A130)="○",$E130&gt;=BC$3,$E130&lt;=BC$3+6),"▼",IF(AND($E130&gt;=BC$3,$E130&lt;=BC$3+6),$A130,"")))</f>
        <v/>
      </c>
      <c r="BD130" s="47" t="str">
        <f aca="false">IF($A130="","",IF(AND(INDEX(工程マスタ!$I$5:$I$154,$A130)="○",$E130&gt;=BD$3,$E130&lt;=BD$3+6),"▼",IF(AND($E130&gt;=BD$3,$E130&lt;=BD$3+6),$A130,"")))</f>
        <v/>
      </c>
      <c r="BE130" s="47" t="str">
        <f aca="false">IF($A130="","",IF(AND(INDEX(工程マスタ!$I$5:$I$154,$A130)="○",$E130&gt;=BE$3,$E130&lt;=BE$3+6),"▼",IF(AND($E130&gt;=BE$3,$E130&lt;=BE$3+6),$A130,"")))</f>
        <v/>
      </c>
      <c r="BF130" s="47" t="str">
        <f aca="false">IF($A130="","",IF(AND(INDEX(工程マスタ!$I$5:$I$154,$A130)="○",$E130&gt;=BF$3,$E130&lt;=BF$3+6),"▼",IF(AND($E130&gt;=BF$3,$E130&lt;=BF$3+6),$A130,"")))</f>
        <v/>
      </c>
      <c r="BG130" s="47" t="str">
        <f aca="false">IF($A130="","",IF(AND(INDEX(工程マスタ!$I$5:$I$154,$A130)="○",$E130&gt;=BG$3,$E130&lt;=BG$3+6),"▼",IF(AND($E130&gt;=BG$3,$E130&lt;=BG$3+6),$A130,"")))</f>
        <v/>
      </c>
      <c r="BH130" s="47" t="str">
        <f aca="false">IF($A130="","",IF(AND(INDEX(工程マスタ!$I$5:$I$154,$A130)="○",$E130&gt;=BH$3,$E130&lt;=BH$3+6),"▼",IF(AND($E130&gt;=BH$3,$E130&lt;=BH$3+6),$A130,"")))</f>
        <v/>
      </c>
      <c r="BI130" s="47" t="str">
        <f aca="false">IF($A130="","",IF(AND(INDEX(工程マスタ!$I$5:$I$154,$A130)="○",$E130&gt;=BI$3,$E130&lt;=BI$3+6),"▼",IF(AND($E130&gt;=BI$3,$E130&lt;=BI$3+6),$A130,"")))</f>
        <v/>
      </c>
      <c r="BJ130" s="47" t="str">
        <f aca="false">IF($A130="","",IF(AND(INDEX(工程マスタ!$I$5:$I$154,$A130)="○",$E130&gt;=BJ$3,$E130&lt;=BJ$3+6),"▼",IF(AND($E130&gt;=BJ$3,$E130&lt;=BJ$3+6),$A130,"")))</f>
        <v/>
      </c>
    </row>
    <row r="131" customFormat="false" ht="15" hidden="false" customHeight="false" outlineLevel="0" collapsed="false">
      <c r="A131" s="28" t="str">
        <f aca="false">IF(工程マスタ!$C129="","",工程マスタ!$A129)</f>
        <v/>
      </c>
      <c r="B131" s="46" t="str">
        <f aca="false">IF($A131="","",工程マスタ!$C129)</f>
        <v/>
      </c>
      <c r="C131" s="28" t="str">
        <f aca="false">IF($A131="","",MAX(1,工程マスタ!$G129))</f>
        <v/>
      </c>
      <c r="D131" s="28" t="str">
        <f aca="false">IF($A131="","",_xlfn.TEXTJOIN(",",TRUE(),工程マスタ!$N129:$P129))</f>
        <v/>
      </c>
      <c r="E131" s="29" t="str">
        <f aca="false">IF($A131="","",IF(COUNT(工程マスタ!$N129:$P129)=0,設定!$B$8,MAX(IF(工程マスタ!$N129="",0,INDEX($F$7:$F$156,工程マスタ!$N129)),IF(工程マスタ!$O129="",0,INDEX($F$7:$F$156,工程マスタ!$O129)),IF(工程マスタ!$P129="",0,INDEX($F$7:$F$156,工程マスタ!$P129)))+1))</f>
        <v/>
      </c>
      <c r="F131" s="29" t="str">
        <f aca="false">IF($A131="","",$E131+$C131-1)</f>
        <v/>
      </c>
      <c r="G131" s="29" t="str">
        <f aca="false">IF($A131="","",$H131-$C131+1)</f>
        <v/>
      </c>
      <c r="H131" s="29" t="str">
        <f aca="false" t="array" ref="H131:H131">IF($A131="","",IF(SUMPRODUCT((工程マスタ!$N$130:$N$154=$A131)*1)+SUMPRODUCT((工程マスタ!$O$130:$O$154=$A131)*1)+SUMPRODUCT((工程マスタ!$P$130:$P$154=$A131)*1)=0,MAX($F$7:$F$156),MIN(IF((工程マスタ!$N$130:$N$154=$A131)+(工程マスタ!$O$130:$O$154=$A131)+(工程マスタ!$P$130:$P$154=$A131),$G132:$G$156))-1))</f>
        <v/>
      </c>
      <c r="I131" s="28" t="str">
        <f aca="false">IF($A131="","",$G131-$E131)</f>
        <v/>
      </c>
      <c r="J131" s="28" t="str">
        <f aca="false">IF($A131="","",IF($I131&lt;=0,"●",""))</f>
        <v/>
      </c>
      <c r="K131" s="47" t="str">
        <f aca="false">IF($A131="","",IF(AND(INDEX(工程マスタ!$I$5:$I$154,$A131)="○",$E131&gt;=K$3,$E131&lt;=K$3+6),"▼",IF(AND($E131&gt;=K$3,$E131&lt;=K$3+6),$A131,"")))</f>
        <v/>
      </c>
      <c r="L131" s="47" t="str">
        <f aca="false">IF($A131="","",IF(AND(INDEX(工程マスタ!$I$5:$I$154,$A131)="○",$E131&gt;=L$3,$E131&lt;=L$3+6),"▼",IF(AND($E131&gt;=L$3,$E131&lt;=L$3+6),$A131,"")))</f>
        <v/>
      </c>
      <c r="M131" s="47" t="str">
        <f aca="false">IF($A131="","",IF(AND(INDEX(工程マスタ!$I$5:$I$154,$A131)="○",$E131&gt;=M$3,$E131&lt;=M$3+6),"▼",IF(AND($E131&gt;=M$3,$E131&lt;=M$3+6),$A131,"")))</f>
        <v/>
      </c>
      <c r="N131" s="47" t="str">
        <f aca="false">IF($A131="","",IF(AND(INDEX(工程マスタ!$I$5:$I$154,$A131)="○",$E131&gt;=N$3,$E131&lt;=N$3+6),"▼",IF(AND($E131&gt;=N$3,$E131&lt;=N$3+6),$A131,"")))</f>
        <v/>
      </c>
      <c r="O131" s="47" t="str">
        <f aca="false">IF($A131="","",IF(AND(INDEX(工程マスタ!$I$5:$I$154,$A131)="○",$E131&gt;=O$3,$E131&lt;=O$3+6),"▼",IF(AND($E131&gt;=O$3,$E131&lt;=O$3+6),$A131,"")))</f>
        <v/>
      </c>
      <c r="P131" s="47" t="str">
        <f aca="false">IF($A131="","",IF(AND(INDEX(工程マスタ!$I$5:$I$154,$A131)="○",$E131&gt;=P$3,$E131&lt;=P$3+6),"▼",IF(AND($E131&gt;=P$3,$E131&lt;=P$3+6),$A131,"")))</f>
        <v/>
      </c>
      <c r="Q131" s="47" t="str">
        <f aca="false">IF($A131="","",IF(AND(INDEX(工程マスタ!$I$5:$I$154,$A131)="○",$E131&gt;=Q$3,$E131&lt;=Q$3+6),"▼",IF(AND($E131&gt;=Q$3,$E131&lt;=Q$3+6),$A131,"")))</f>
        <v/>
      </c>
      <c r="R131" s="47" t="str">
        <f aca="false">IF($A131="","",IF(AND(INDEX(工程マスタ!$I$5:$I$154,$A131)="○",$E131&gt;=R$3,$E131&lt;=R$3+6),"▼",IF(AND($E131&gt;=R$3,$E131&lt;=R$3+6),$A131,"")))</f>
        <v/>
      </c>
      <c r="S131" s="47" t="str">
        <f aca="false">IF($A131="","",IF(AND(INDEX(工程マスタ!$I$5:$I$154,$A131)="○",$E131&gt;=S$3,$E131&lt;=S$3+6),"▼",IF(AND($E131&gt;=S$3,$E131&lt;=S$3+6),$A131,"")))</f>
        <v/>
      </c>
      <c r="T131" s="47" t="str">
        <f aca="false">IF($A131="","",IF(AND(INDEX(工程マスタ!$I$5:$I$154,$A131)="○",$E131&gt;=T$3,$E131&lt;=T$3+6),"▼",IF(AND($E131&gt;=T$3,$E131&lt;=T$3+6),$A131,"")))</f>
        <v/>
      </c>
      <c r="U131" s="47" t="str">
        <f aca="false">IF($A131="","",IF(AND(INDEX(工程マスタ!$I$5:$I$154,$A131)="○",$E131&gt;=U$3,$E131&lt;=U$3+6),"▼",IF(AND($E131&gt;=U$3,$E131&lt;=U$3+6),$A131,"")))</f>
        <v/>
      </c>
      <c r="V131" s="47" t="str">
        <f aca="false">IF($A131="","",IF(AND(INDEX(工程マスタ!$I$5:$I$154,$A131)="○",$E131&gt;=V$3,$E131&lt;=V$3+6),"▼",IF(AND($E131&gt;=V$3,$E131&lt;=V$3+6),$A131,"")))</f>
        <v/>
      </c>
      <c r="W131" s="47" t="str">
        <f aca="false">IF($A131="","",IF(AND(INDEX(工程マスタ!$I$5:$I$154,$A131)="○",$E131&gt;=W$3,$E131&lt;=W$3+6),"▼",IF(AND($E131&gt;=W$3,$E131&lt;=W$3+6),$A131,"")))</f>
        <v/>
      </c>
      <c r="X131" s="47" t="str">
        <f aca="false">IF($A131="","",IF(AND(INDEX(工程マスタ!$I$5:$I$154,$A131)="○",$E131&gt;=X$3,$E131&lt;=X$3+6),"▼",IF(AND($E131&gt;=X$3,$E131&lt;=X$3+6),$A131,"")))</f>
        <v/>
      </c>
      <c r="Y131" s="47" t="str">
        <f aca="false">IF($A131="","",IF(AND(INDEX(工程マスタ!$I$5:$I$154,$A131)="○",$E131&gt;=Y$3,$E131&lt;=Y$3+6),"▼",IF(AND($E131&gt;=Y$3,$E131&lt;=Y$3+6),$A131,"")))</f>
        <v/>
      </c>
      <c r="Z131" s="47" t="str">
        <f aca="false">IF($A131="","",IF(AND(INDEX(工程マスタ!$I$5:$I$154,$A131)="○",$E131&gt;=Z$3,$E131&lt;=Z$3+6),"▼",IF(AND($E131&gt;=Z$3,$E131&lt;=Z$3+6),$A131,"")))</f>
        <v/>
      </c>
      <c r="AA131" s="47" t="str">
        <f aca="false">IF($A131="","",IF(AND(INDEX(工程マスタ!$I$5:$I$154,$A131)="○",$E131&gt;=AA$3,$E131&lt;=AA$3+6),"▼",IF(AND($E131&gt;=AA$3,$E131&lt;=AA$3+6),$A131,"")))</f>
        <v/>
      </c>
      <c r="AB131" s="47" t="str">
        <f aca="false">IF($A131="","",IF(AND(INDEX(工程マスタ!$I$5:$I$154,$A131)="○",$E131&gt;=AB$3,$E131&lt;=AB$3+6),"▼",IF(AND($E131&gt;=AB$3,$E131&lt;=AB$3+6),$A131,"")))</f>
        <v/>
      </c>
      <c r="AC131" s="47" t="str">
        <f aca="false">IF($A131="","",IF(AND(INDEX(工程マスタ!$I$5:$I$154,$A131)="○",$E131&gt;=AC$3,$E131&lt;=AC$3+6),"▼",IF(AND($E131&gt;=AC$3,$E131&lt;=AC$3+6),$A131,"")))</f>
        <v/>
      </c>
      <c r="AD131" s="47" t="str">
        <f aca="false">IF($A131="","",IF(AND(INDEX(工程マスタ!$I$5:$I$154,$A131)="○",$E131&gt;=AD$3,$E131&lt;=AD$3+6),"▼",IF(AND($E131&gt;=AD$3,$E131&lt;=AD$3+6),$A131,"")))</f>
        <v/>
      </c>
      <c r="AE131" s="47" t="str">
        <f aca="false">IF($A131="","",IF(AND(INDEX(工程マスタ!$I$5:$I$154,$A131)="○",$E131&gt;=AE$3,$E131&lt;=AE$3+6),"▼",IF(AND($E131&gt;=AE$3,$E131&lt;=AE$3+6),$A131,"")))</f>
        <v/>
      </c>
      <c r="AF131" s="47" t="str">
        <f aca="false">IF($A131="","",IF(AND(INDEX(工程マスタ!$I$5:$I$154,$A131)="○",$E131&gt;=AF$3,$E131&lt;=AF$3+6),"▼",IF(AND($E131&gt;=AF$3,$E131&lt;=AF$3+6),$A131,"")))</f>
        <v/>
      </c>
      <c r="AG131" s="47" t="str">
        <f aca="false">IF($A131="","",IF(AND(INDEX(工程マスタ!$I$5:$I$154,$A131)="○",$E131&gt;=AG$3,$E131&lt;=AG$3+6),"▼",IF(AND($E131&gt;=AG$3,$E131&lt;=AG$3+6),$A131,"")))</f>
        <v/>
      </c>
      <c r="AH131" s="47" t="str">
        <f aca="false">IF($A131="","",IF(AND(INDEX(工程マスタ!$I$5:$I$154,$A131)="○",$E131&gt;=AH$3,$E131&lt;=AH$3+6),"▼",IF(AND($E131&gt;=AH$3,$E131&lt;=AH$3+6),$A131,"")))</f>
        <v/>
      </c>
      <c r="AI131" s="47" t="str">
        <f aca="false">IF($A131="","",IF(AND(INDEX(工程マスタ!$I$5:$I$154,$A131)="○",$E131&gt;=AI$3,$E131&lt;=AI$3+6),"▼",IF(AND($E131&gt;=AI$3,$E131&lt;=AI$3+6),$A131,"")))</f>
        <v/>
      </c>
      <c r="AJ131" s="47" t="str">
        <f aca="false">IF($A131="","",IF(AND(INDEX(工程マスタ!$I$5:$I$154,$A131)="○",$E131&gt;=AJ$3,$E131&lt;=AJ$3+6),"▼",IF(AND($E131&gt;=AJ$3,$E131&lt;=AJ$3+6),$A131,"")))</f>
        <v/>
      </c>
      <c r="AK131" s="47" t="str">
        <f aca="false">IF($A131="","",IF(AND(INDEX(工程マスタ!$I$5:$I$154,$A131)="○",$E131&gt;=AK$3,$E131&lt;=AK$3+6),"▼",IF(AND($E131&gt;=AK$3,$E131&lt;=AK$3+6),$A131,"")))</f>
        <v/>
      </c>
      <c r="AL131" s="47" t="str">
        <f aca="false">IF($A131="","",IF(AND(INDEX(工程マスタ!$I$5:$I$154,$A131)="○",$E131&gt;=AL$3,$E131&lt;=AL$3+6),"▼",IF(AND($E131&gt;=AL$3,$E131&lt;=AL$3+6),$A131,"")))</f>
        <v/>
      </c>
      <c r="AM131" s="47" t="str">
        <f aca="false">IF($A131="","",IF(AND(INDEX(工程マスタ!$I$5:$I$154,$A131)="○",$E131&gt;=AM$3,$E131&lt;=AM$3+6),"▼",IF(AND($E131&gt;=AM$3,$E131&lt;=AM$3+6),$A131,"")))</f>
        <v/>
      </c>
      <c r="AN131" s="47" t="str">
        <f aca="false">IF($A131="","",IF(AND(INDEX(工程マスタ!$I$5:$I$154,$A131)="○",$E131&gt;=AN$3,$E131&lt;=AN$3+6),"▼",IF(AND($E131&gt;=AN$3,$E131&lt;=AN$3+6),$A131,"")))</f>
        <v/>
      </c>
      <c r="AO131" s="47" t="str">
        <f aca="false">IF($A131="","",IF(AND(INDEX(工程マスタ!$I$5:$I$154,$A131)="○",$E131&gt;=AO$3,$E131&lt;=AO$3+6),"▼",IF(AND($E131&gt;=AO$3,$E131&lt;=AO$3+6),$A131,"")))</f>
        <v/>
      </c>
      <c r="AP131" s="47" t="str">
        <f aca="false">IF($A131="","",IF(AND(INDEX(工程マスタ!$I$5:$I$154,$A131)="○",$E131&gt;=AP$3,$E131&lt;=AP$3+6),"▼",IF(AND($E131&gt;=AP$3,$E131&lt;=AP$3+6),$A131,"")))</f>
        <v/>
      </c>
      <c r="AQ131" s="47" t="str">
        <f aca="false">IF($A131="","",IF(AND(INDEX(工程マスタ!$I$5:$I$154,$A131)="○",$E131&gt;=AQ$3,$E131&lt;=AQ$3+6),"▼",IF(AND($E131&gt;=AQ$3,$E131&lt;=AQ$3+6),$A131,"")))</f>
        <v/>
      </c>
      <c r="AR131" s="47" t="str">
        <f aca="false">IF($A131="","",IF(AND(INDEX(工程マスタ!$I$5:$I$154,$A131)="○",$E131&gt;=AR$3,$E131&lt;=AR$3+6),"▼",IF(AND($E131&gt;=AR$3,$E131&lt;=AR$3+6),$A131,"")))</f>
        <v/>
      </c>
      <c r="AS131" s="47" t="str">
        <f aca="false">IF($A131="","",IF(AND(INDEX(工程マスタ!$I$5:$I$154,$A131)="○",$E131&gt;=AS$3,$E131&lt;=AS$3+6),"▼",IF(AND($E131&gt;=AS$3,$E131&lt;=AS$3+6),$A131,"")))</f>
        <v/>
      </c>
      <c r="AT131" s="47" t="str">
        <f aca="false">IF($A131="","",IF(AND(INDEX(工程マスタ!$I$5:$I$154,$A131)="○",$E131&gt;=AT$3,$E131&lt;=AT$3+6),"▼",IF(AND($E131&gt;=AT$3,$E131&lt;=AT$3+6),$A131,"")))</f>
        <v/>
      </c>
      <c r="AU131" s="47" t="str">
        <f aca="false">IF($A131="","",IF(AND(INDEX(工程マスタ!$I$5:$I$154,$A131)="○",$E131&gt;=AU$3,$E131&lt;=AU$3+6),"▼",IF(AND($E131&gt;=AU$3,$E131&lt;=AU$3+6),$A131,"")))</f>
        <v/>
      </c>
      <c r="AV131" s="47" t="str">
        <f aca="false">IF($A131="","",IF(AND(INDEX(工程マスタ!$I$5:$I$154,$A131)="○",$E131&gt;=AV$3,$E131&lt;=AV$3+6),"▼",IF(AND($E131&gt;=AV$3,$E131&lt;=AV$3+6),$A131,"")))</f>
        <v/>
      </c>
      <c r="AW131" s="47" t="str">
        <f aca="false">IF($A131="","",IF(AND(INDEX(工程マスタ!$I$5:$I$154,$A131)="○",$E131&gt;=AW$3,$E131&lt;=AW$3+6),"▼",IF(AND($E131&gt;=AW$3,$E131&lt;=AW$3+6),$A131,"")))</f>
        <v/>
      </c>
      <c r="AX131" s="47" t="str">
        <f aca="false">IF($A131="","",IF(AND(INDEX(工程マスタ!$I$5:$I$154,$A131)="○",$E131&gt;=AX$3,$E131&lt;=AX$3+6),"▼",IF(AND($E131&gt;=AX$3,$E131&lt;=AX$3+6),$A131,"")))</f>
        <v/>
      </c>
      <c r="AY131" s="47" t="str">
        <f aca="false">IF($A131="","",IF(AND(INDEX(工程マスタ!$I$5:$I$154,$A131)="○",$E131&gt;=AY$3,$E131&lt;=AY$3+6),"▼",IF(AND($E131&gt;=AY$3,$E131&lt;=AY$3+6),$A131,"")))</f>
        <v/>
      </c>
      <c r="AZ131" s="47" t="str">
        <f aca="false">IF($A131="","",IF(AND(INDEX(工程マスタ!$I$5:$I$154,$A131)="○",$E131&gt;=AZ$3,$E131&lt;=AZ$3+6),"▼",IF(AND($E131&gt;=AZ$3,$E131&lt;=AZ$3+6),$A131,"")))</f>
        <v/>
      </c>
      <c r="BA131" s="47" t="str">
        <f aca="false">IF($A131="","",IF(AND(INDEX(工程マスタ!$I$5:$I$154,$A131)="○",$E131&gt;=BA$3,$E131&lt;=BA$3+6),"▼",IF(AND($E131&gt;=BA$3,$E131&lt;=BA$3+6),$A131,"")))</f>
        <v/>
      </c>
      <c r="BB131" s="47" t="str">
        <f aca="false">IF($A131="","",IF(AND(INDEX(工程マスタ!$I$5:$I$154,$A131)="○",$E131&gt;=BB$3,$E131&lt;=BB$3+6),"▼",IF(AND($E131&gt;=BB$3,$E131&lt;=BB$3+6),$A131,"")))</f>
        <v/>
      </c>
      <c r="BC131" s="47" t="str">
        <f aca="false">IF($A131="","",IF(AND(INDEX(工程マスタ!$I$5:$I$154,$A131)="○",$E131&gt;=BC$3,$E131&lt;=BC$3+6),"▼",IF(AND($E131&gt;=BC$3,$E131&lt;=BC$3+6),$A131,"")))</f>
        <v/>
      </c>
      <c r="BD131" s="47" t="str">
        <f aca="false">IF($A131="","",IF(AND(INDEX(工程マスタ!$I$5:$I$154,$A131)="○",$E131&gt;=BD$3,$E131&lt;=BD$3+6),"▼",IF(AND($E131&gt;=BD$3,$E131&lt;=BD$3+6),$A131,"")))</f>
        <v/>
      </c>
      <c r="BE131" s="47" t="str">
        <f aca="false">IF($A131="","",IF(AND(INDEX(工程マスタ!$I$5:$I$154,$A131)="○",$E131&gt;=BE$3,$E131&lt;=BE$3+6),"▼",IF(AND($E131&gt;=BE$3,$E131&lt;=BE$3+6),$A131,"")))</f>
        <v/>
      </c>
      <c r="BF131" s="47" t="str">
        <f aca="false">IF($A131="","",IF(AND(INDEX(工程マスタ!$I$5:$I$154,$A131)="○",$E131&gt;=BF$3,$E131&lt;=BF$3+6),"▼",IF(AND($E131&gt;=BF$3,$E131&lt;=BF$3+6),$A131,"")))</f>
        <v/>
      </c>
      <c r="BG131" s="47" t="str">
        <f aca="false">IF($A131="","",IF(AND(INDEX(工程マスタ!$I$5:$I$154,$A131)="○",$E131&gt;=BG$3,$E131&lt;=BG$3+6),"▼",IF(AND($E131&gt;=BG$3,$E131&lt;=BG$3+6),$A131,"")))</f>
        <v/>
      </c>
      <c r="BH131" s="47" t="str">
        <f aca="false">IF($A131="","",IF(AND(INDEX(工程マスタ!$I$5:$I$154,$A131)="○",$E131&gt;=BH$3,$E131&lt;=BH$3+6),"▼",IF(AND($E131&gt;=BH$3,$E131&lt;=BH$3+6),$A131,"")))</f>
        <v/>
      </c>
      <c r="BI131" s="47" t="str">
        <f aca="false">IF($A131="","",IF(AND(INDEX(工程マスタ!$I$5:$I$154,$A131)="○",$E131&gt;=BI$3,$E131&lt;=BI$3+6),"▼",IF(AND($E131&gt;=BI$3,$E131&lt;=BI$3+6),$A131,"")))</f>
        <v/>
      </c>
      <c r="BJ131" s="47" t="str">
        <f aca="false">IF($A131="","",IF(AND(INDEX(工程マスタ!$I$5:$I$154,$A131)="○",$E131&gt;=BJ$3,$E131&lt;=BJ$3+6),"▼",IF(AND($E131&gt;=BJ$3,$E131&lt;=BJ$3+6),$A131,"")))</f>
        <v/>
      </c>
    </row>
    <row r="132" customFormat="false" ht="15" hidden="false" customHeight="false" outlineLevel="0" collapsed="false">
      <c r="A132" s="28" t="str">
        <f aca="false">IF(工程マスタ!$C130="","",工程マスタ!$A130)</f>
        <v/>
      </c>
      <c r="B132" s="46" t="str">
        <f aca="false">IF($A132="","",工程マスタ!$C130)</f>
        <v/>
      </c>
      <c r="C132" s="28" t="str">
        <f aca="false">IF($A132="","",MAX(1,工程マスタ!$G130))</f>
        <v/>
      </c>
      <c r="D132" s="28" t="str">
        <f aca="false">IF($A132="","",_xlfn.TEXTJOIN(",",TRUE(),工程マスタ!$N130:$P130))</f>
        <v/>
      </c>
      <c r="E132" s="29" t="str">
        <f aca="false">IF($A132="","",IF(COUNT(工程マスタ!$N130:$P130)=0,設定!$B$8,MAX(IF(工程マスタ!$N130="",0,INDEX($F$7:$F$156,工程マスタ!$N130)),IF(工程マスタ!$O130="",0,INDEX($F$7:$F$156,工程マスタ!$O130)),IF(工程マスタ!$P130="",0,INDEX($F$7:$F$156,工程マスタ!$P130)))+1))</f>
        <v/>
      </c>
      <c r="F132" s="29" t="str">
        <f aca="false">IF($A132="","",$E132+$C132-1)</f>
        <v/>
      </c>
      <c r="G132" s="29" t="str">
        <f aca="false">IF($A132="","",$H132-$C132+1)</f>
        <v/>
      </c>
      <c r="H132" s="29" t="str">
        <f aca="false" t="array" ref="H132:H132">IF($A132="","",IF(SUMPRODUCT((工程マスタ!$N$131:$N$154=$A132)*1)+SUMPRODUCT((工程マスタ!$O$131:$O$154=$A132)*1)+SUMPRODUCT((工程マスタ!$P$131:$P$154=$A132)*1)=0,MAX($F$7:$F$156),MIN(IF((工程マスタ!$N$131:$N$154=$A132)+(工程マスタ!$O$131:$O$154=$A132)+(工程マスタ!$P$131:$P$154=$A132),$G133:$G$156))-1))</f>
        <v/>
      </c>
      <c r="I132" s="28" t="str">
        <f aca="false">IF($A132="","",$G132-$E132)</f>
        <v/>
      </c>
      <c r="J132" s="28" t="str">
        <f aca="false">IF($A132="","",IF($I132&lt;=0,"●",""))</f>
        <v/>
      </c>
      <c r="K132" s="47" t="str">
        <f aca="false">IF($A132="","",IF(AND(INDEX(工程マスタ!$I$5:$I$154,$A132)="○",$E132&gt;=K$3,$E132&lt;=K$3+6),"▼",IF(AND($E132&gt;=K$3,$E132&lt;=K$3+6),$A132,"")))</f>
        <v/>
      </c>
      <c r="L132" s="47" t="str">
        <f aca="false">IF($A132="","",IF(AND(INDEX(工程マスタ!$I$5:$I$154,$A132)="○",$E132&gt;=L$3,$E132&lt;=L$3+6),"▼",IF(AND($E132&gt;=L$3,$E132&lt;=L$3+6),$A132,"")))</f>
        <v/>
      </c>
      <c r="M132" s="47" t="str">
        <f aca="false">IF($A132="","",IF(AND(INDEX(工程マスタ!$I$5:$I$154,$A132)="○",$E132&gt;=M$3,$E132&lt;=M$3+6),"▼",IF(AND($E132&gt;=M$3,$E132&lt;=M$3+6),$A132,"")))</f>
        <v/>
      </c>
      <c r="N132" s="47" t="str">
        <f aca="false">IF($A132="","",IF(AND(INDEX(工程マスタ!$I$5:$I$154,$A132)="○",$E132&gt;=N$3,$E132&lt;=N$3+6),"▼",IF(AND($E132&gt;=N$3,$E132&lt;=N$3+6),$A132,"")))</f>
        <v/>
      </c>
      <c r="O132" s="47" t="str">
        <f aca="false">IF($A132="","",IF(AND(INDEX(工程マスタ!$I$5:$I$154,$A132)="○",$E132&gt;=O$3,$E132&lt;=O$3+6),"▼",IF(AND($E132&gt;=O$3,$E132&lt;=O$3+6),$A132,"")))</f>
        <v/>
      </c>
      <c r="P132" s="47" t="str">
        <f aca="false">IF($A132="","",IF(AND(INDEX(工程マスタ!$I$5:$I$154,$A132)="○",$E132&gt;=P$3,$E132&lt;=P$3+6),"▼",IF(AND($E132&gt;=P$3,$E132&lt;=P$3+6),$A132,"")))</f>
        <v/>
      </c>
      <c r="Q132" s="47" t="str">
        <f aca="false">IF($A132="","",IF(AND(INDEX(工程マスタ!$I$5:$I$154,$A132)="○",$E132&gt;=Q$3,$E132&lt;=Q$3+6),"▼",IF(AND($E132&gt;=Q$3,$E132&lt;=Q$3+6),$A132,"")))</f>
        <v/>
      </c>
      <c r="R132" s="47" t="str">
        <f aca="false">IF($A132="","",IF(AND(INDEX(工程マスタ!$I$5:$I$154,$A132)="○",$E132&gt;=R$3,$E132&lt;=R$3+6),"▼",IF(AND($E132&gt;=R$3,$E132&lt;=R$3+6),$A132,"")))</f>
        <v/>
      </c>
      <c r="S132" s="47" t="str">
        <f aca="false">IF($A132="","",IF(AND(INDEX(工程マスタ!$I$5:$I$154,$A132)="○",$E132&gt;=S$3,$E132&lt;=S$3+6),"▼",IF(AND($E132&gt;=S$3,$E132&lt;=S$3+6),$A132,"")))</f>
        <v/>
      </c>
      <c r="T132" s="47" t="str">
        <f aca="false">IF($A132="","",IF(AND(INDEX(工程マスタ!$I$5:$I$154,$A132)="○",$E132&gt;=T$3,$E132&lt;=T$3+6),"▼",IF(AND($E132&gt;=T$3,$E132&lt;=T$3+6),$A132,"")))</f>
        <v/>
      </c>
      <c r="U132" s="47" t="str">
        <f aca="false">IF($A132="","",IF(AND(INDEX(工程マスタ!$I$5:$I$154,$A132)="○",$E132&gt;=U$3,$E132&lt;=U$3+6),"▼",IF(AND($E132&gt;=U$3,$E132&lt;=U$3+6),$A132,"")))</f>
        <v/>
      </c>
      <c r="V132" s="47" t="str">
        <f aca="false">IF($A132="","",IF(AND(INDEX(工程マスタ!$I$5:$I$154,$A132)="○",$E132&gt;=V$3,$E132&lt;=V$3+6),"▼",IF(AND($E132&gt;=V$3,$E132&lt;=V$3+6),$A132,"")))</f>
        <v/>
      </c>
      <c r="W132" s="47" t="str">
        <f aca="false">IF($A132="","",IF(AND(INDEX(工程マスタ!$I$5:$I$154,$A132)="○",$E132&gt;=W$3,$E132&lt;=W$3+6),"▼",IF(AND($E132&gt;=W$3,$E132&lt;=W$3+6),$A132,"")))</f>
        <v/>
      </c>
      <c r="X132" s="47" t="str">
        <f aca="false">IF($A132="","",IF(AND(INDEX(工程マスタ!$I$5:$I$154,$A132)="○",$E132&gt;=X$3,$E132&lt;=X$3+6),"▼",IF(AND($E132&gt;=X$3,$E132&lt;=X$3+6),$A132,"")))</f>
        <v/>
      </c>
      <c r="Y132" s="47" t="str">
        <f aca="false">IF($A132="","",IF(AND(INDEX(工程マスタ!$I$5:$I$154,$A132)="○",$E132&gt;=Y$3,$E132&lt;=Y$3+6),"▼",IF(AND($E132&gt;=Y$3,$E132&lt;=Y$3+6),$A132,"")))</f>
        <v/>
      </c>
      <c r="Z132" s="47" t="str">
        <f aca="false">IF($A132="","",IF(AND(INDEX(工程マスタ!$I$5:$I$154,$A132)="○",$E132&gt;=Z$3,$E132&lt;=Z$3+6),"▼",IF(AND($E132&gt;=Z$3,$E132&lt;=Z$3+6),$A132,"")))</f>
        <v/>
      </c>
      <c r="AA132" s="47" t="str">
        <f aca="false">IF($A132="","",IF(AND(INDEX(工程マスタ!$I$5:$I$154,$A132)="○",$E132&gt;=AA$3,$E132&lt;=AA$3+6),"▼",IF(AND($E132&gt;=AA$3,$E132&lt;=AA$3+6),$A132,"")))</f>
        <v/>
      </c>
      <c r="AB132" s="47" t="str">
        <f aca="false">IF($A132="","",IF(AND(INDEX(工程マスタ!$I$5:$I$154,$A132)="○",$E132&gt;=AB$3,$E132&lt;=AB$3+6),"▼",IF(AND($E132&gt;=AB$3,$E132&lt;=AB$3+6),$A132,"")))</f>
        <v/>
      </c>
      <c r="AC132" s="47" t="str">
        <f aca="false">IF($A132="","",IF(AND(INDEX(工程マスタ!$I$5:$I$154,$A132)="○",$E132&gt;=AC$3,$E132&lt;=AC$3+6),"▼",IF(AND($E132&gt;=AC$3,$E132&lt;=AC$3+6),$A132,"")))</f>
        <v/>
      </c>
      <c r="AD132" s="47" t="str">
        <f aca="false">IF($A132="","",IF(AND(INDEX(工程マスタ!$I$5:$I$154,$A132)="○",$E132&gt;=AD$3,$E132&lt;=AD$3+6),"▼",IF(AND($E132&gt;=AD$3,$E132&lt;=AD$3+6),$A132,"")))</f>
        <v/>
      </c>
      <c r="AE132" s="47" t="str">
        <f aca="false">IF($A132="","",IF(AND(INDEX(工程マスタ!$I$5:$I$154,$A132)="○",$E132&gt;=AE$3,$E132&lt;=AE$3+6),"▼",IF(AND($E132&gt;=AE$3,$E132&lt;=AE$3+6),$A132,"")))</f>
        <v/>
      </c>
      <c r="AF132" s="47" t="str">
        <f aca="false">IF($A132="","",IF(AND(INDEX(工程マスタ!$I$5:$I$154,$A132)="○",$E132&gt;=AF$3,$E132&lt;=AF$3+6),"▼",IF(AND($E132&gt;=AF$3,$E132&lt;=AF$3+6),$A132,"")))</f>
        <v/>
      </c>
      <c r="AG132" s="47" t="str">
        <f aca="false">IF($A132="","",IF(AND(INDEX(工程マスタ!$I$5:$I$154,$A132)="○",$E132&gt;=AG$3,$E132&lt;=AG$3+6),"▼",IF(AND($E132&gt;=AG$3,$E132&lt;=AG$3+6),$A132,"")))</f>
        <v/>
      </c>
      <c r="AH132" s="47" t="str">
        <f aca="false">IF($A132="","",IF(AND(INDEX(工程マスタ!$I$5:$I$154,$A132)="○",$E132&gt;=AH$3,$E132&lt;=AH$3+6),"▼",IF(AND($E132&gt;=AH$3,$E132&lt;=AH$3+6),$A132,"")))</f>
        <v/>
      </c>
      <c r="AI132" s="47" t="str">
        <f aca="false">IF($A132="","",IF(AND(INDEX(工程マスタ!$I$5:$I$154,$A132)="○",$E132&gt;=AI$3,$E132&lt;=AI$3+6),"▼",IF(AND($E132&gt;=AI$3,$E132&lt;=AI$3+6),$A132,"")))</f>
        <v/>
      </c>
      <c r="AJ132" s="47" t="str">
        <f aca="false">IF($A132="","",IF(AND(INDEX(工程マスタ!$I$5:$I$154,$A132)="○",$E132&gt;=AJ$3,$E132&lt;=AJ$3+6),"▼",IF(AND($E132&gt;=AJ$3,$E132&lt;=AJ$3+6),$A132,"")))</f>
        <v/>
      </c>
      <c r="AK132" s="47" t="str">
        <f aca="false">IF($A132="","",IF(AND(INDEX(工程マスタ!$I$5:$I$154,$A132)="○",$E132&gt;=AK$3,$E132&lt;=AK$3+6),"▼",IF(AND($E132&gt;=AK$3,$E132&lt;=AK$3+6),$A132,"")))</f>
        <v/>
      </c>
      <c r="AL132" s="47" t="str">
        <f aca="false">IF($A132="","",IF(AND(INDEX(工程マスタ!$I$5:$I$154,$A132)="○",$E132&gt;=AL$3,$E132&lt;=AL$3+6),"▼",IF(AND($E132&gt;=AL$3,$E132&lt;=AL$3+6),$A132,"")))</f>
        <v/>
      </c>
      <c r="AM132" s="47" t="str">
        <f aca="false">IF($A132="","",IF(AND(INDEX(工程マスタ!$I$5:$I$154,$A132)="○",$E132&gt;=AM$3,$E132&lt;=AM$3+6),"▼",IF(AND($E132&gt;=AM$3,$E132&lt;=AM$3+6),$A132,"")))</f>
        <v/>
      </c>
      <c r="AN132" s="47" t="str">
        <f aca="false">IF($A132="","",IF(AND(INDEX(工程マスタ!$I$5:$I$154,$A132)="○",$E132&gt;=AN$3,$E132&lt;=AN$3+6),"▼",IF(AND($E132&gt;=AN$3,$E132&lt;=AN$3+6),$A132,"")))</f>
        <v/>
      </c>
      <c r="AO132" s="47" t="str">
        <f aca="false">IF($A132="","",IF(AND(INDEX(工程マスタ!$I$5:$I$154,$A132)="○",$E132&gt;=AO$3,$E132&lt;=AO$3+6),"▼",IF(AND($E132&gt;=AO$3,$E132&lt;=AO$3+6),$A132,"")))</f>
        <v/>
      </c>
      <c r="AP132" s="47" t="str">
        <f aca="false">IF($A132="","",IF(AND(INDEX(工程マスタ!$I$5:$I$154,$A132)="○",$E132&gt;=AP$3,$E132&lt;=AP$3+6),"▼",IF(AND($E132&gt;=AP$3,$E132&lt;=AP$3+6),$A132,"")))</f>
        <v/>
      </c>
      <c r="AQ132" s="47" t="str">
        <f aca="false">IF($A132="","",IF(AND(INDEX(工程マスタ!$I$5:$I$154,$A132)="○",$E132&gt;=AQ$3,$E132&lt;=AQ$3+6),"▼",IF(AND($E132&gt;=AQ$3,$E132&lt;=AQ$3+6),$A132,"")))</f>
        <v/>
      </c>
      <c r="AR132" s="47" t="str">
        <f aca="false">IF($A132="","",IF(AND(INDEX(工程マスタ!$I$5:$I$154,$A132)="○",$E132&gt;=AR$3,$E132&lt;=AR$3+6),"▼",IF(AND($E132&gt;=AR$3,$E132&lt;=AR$3+6),$A132,"")))</f>
        <v/>
      </c>
      <c r="AS132" s="47" t="str">
        <f aca="false">IF($A132="","",IF(AND(INDEX(工程マスタ!$I$5:$I$154,$A132)="○",$E132&gt;=AS$3,$E132&lt;=AS$3+6),"▼",IF(AND($E132&gt;=AS$3,$E132&lt;=AS$3+6),$A132,"")))</f>
        <v/>
      </c>
      <c r="AT132" s="47" t="str">
        <f aca="false">IF($A132="","",IF(AND(INDEX(工程マスタ!$I$5:$I$154,$A132)="○",$E132&gt;=AT$3,$E132&lt;=AT$3+6),"▼",IF(AND($E132&gt;=AT$3,$E132&lt;=AT$3+6),$A132,"")))</f>
        <v/>
      </c>
      <c r="AU132" s="47" t="str">
        <f aca="false">IF($A132="","",IF(AND(INDEX(工程マスタ!$I$5:$I$154,$A132)="○",$E132&gt;=AU$3,$E132&lt;=AU$3+6),"▼",IF(AND($E132&gt;=AU$3,$E132&lt;=AU$3+6),$A132,"")))</f>
        <v/>
      </c>
      <c r="AV132" s="47" t="str">
        <f aca="false">IF($A132="","",IF(AND(INDEX(工程マスタ!$I$5:$I$154,$A132)="○",$E132&gt;=AV$3,$E132&lt;=AV$3+6),"▼",IF(AND($E132&gt;=AV$3,$E132&lt;=AV$3+6),$A132,"")))</f>
        <v/>
      </c>
      <c r="AW132" s="47" t="str">
        <f aca="false">IF($A132="","",IF(AND(INDEX(工程マスタ!$I$5:$I$154,$A132)="○",$E132&gt;=AW$3,$E132&lt;=AW$3+6),"▼",IF(AND($E132&gt;=AW$3,$E132&lt;=AW$3+6),$A132,"")))</f>
        <v/>
      </c>
      <c r="AX132" s="47" t="str">
        <f aca="false">IF($A132="","",IF(AND(INDEX(工程マスタ!$I$5:$I$154,$A132)="○",$E132&gt;=AX$3,$E132&lt;=AX$3+6),"▼",IF(AND($E132&gt;=AX$3,$E132&lt;=AX$3+6),$A132,"")))</f>
        <v/>
      </c>
      <c r="AY132" s="47" t="str">
        <f aca="false">IF($A132="","",IF(AND(INDEX(工程マスタ!$I$5:$I$154,$A132)="○",$E132&gt;=AY$3,$E132&lt;=AY$3+6),"▼",IF(AND($E132&gt;=AY$3,$E132&lt;=AY$3+6),$A132,"")))</f>
        <v/>
      </c>
      <c r="AZ132" s="47" t="str">
        <f aca="false">IF($A132="","",IF(AND(INDEX(工程マスタ!$I$5:$I$154,$A132)="○",$E132&gt;=AZ$3,$E132&lt;=AZ$3+6),"▼",IF(AND($E132&gt;=AZ$3,$E132&lt;=AZ$3+6),$A132,"")))</f>
        <v/>
      </c>
      <c r="BA132" s="47" t="str">
        <f aca="false">IF($A132="","",IF(AND(INDEX(工程マスタ!$I$5:$I$154,$A132)="○",$E132&gt;=BA$3,$E132&lt;=BA$3+6),"▼",IF(AND($E132&gt;=BA$3,$E132&lt;=BA$3+6),$A132,"")))</f>
        <v/>
      </c>
      <c r="BB132" s="47" t="str">
        <f aca="false">IF($A132="","",IF(AND(INDEX(工程マスタ!$I$5:$I$154,$A132)="○",$E132&gt;=BB$3,$E132&lt;=BB$3+6),"▼",IF(AND($E132&gt;=BB$3,$E132&lt;=BB$3+6),$A132,"")))</f>
        <v/>
      </c>
      <c r="BC132" s="47" t="str">
        <f aca="false">IF($A132="","",IF(AND(INDEX(工程マスタ!$I$5:$I$154,$A132)="○",$E132&gt;=BC$3,$E132&lt;=BC$3+6),"▼",IF(AND($E132&gt;=BC$3,$E132&lt;=BC$3+6),$A132,"")))</f>
        <v/>
      </c>
      <c r="BD132" s="47" t="str">
        <f aca="false">IF($A132="","",IF(AND(INDEX(工程マスタ!$I$5:$I$154,$A132)="○",$E132&gt;=BD$3,$E132&lt;=BD$3+6),"▼",IF(AND($E132&gt;=BD$3,$E132&lt;=BD$3+6),$A132,"")))</f>
        <v/>
      </c>
      <c r="BE132" s="47" t="str">
        <f aca="false">IF($A132="","",IF(AND(INDEX(工程マスタ!$I$5:$I$154,$A132)="○",$E132&gt;=BE$3,$E132&lt;=BE$3+6),"▼",IF(AND($E132&gt;=BE$3,$E132&lt;=BE$3+6),$A132,"")))</f>
        <v/>
      </c>
      <c r="BF132" s="47" t="str">
        <f aca="false">IF($A132="","",IF(AND(INDEX(工程マスタ!$I$5:$I$154,$A132)="○",$E132&gt;=BF$3,$E132&lt;=BF$3+6),"▼",IF(AND($E132&gt;=BF$3,$E132&lt;=BF$3+6),$A132,"")))</f>
        <v/>
      </c>
      <c r="BG132" s="47" t="str">
        <f aca="false">IF($A132="","",IF(AND(INDEX(工程マスタ!$I$5:$I$154,$A132)="○",$E132&gt;=BG$3,$E132&lt;=BG$3+6),"▼",IF(AND($E132&gt;=BG$3,$E132&lt;=BG$3+6),$A132,"")))</f>
        <v/>
      </c>
      <c r="BH132" s="47" t="str">
        <f aca="false">IF($A132="","",IF(AND(INDEX(工程マスタ!$I$5:$I$154,$A132)="○",$E132&gt;=BH$3,$E132&lt;=BH$3+6),"▼",IF(AND($E132&gt;=BH$3,$E132&lt;=BH$3+6),$A132,"")))</f>
        <v/>
      </c>
      <c r="BI132" s="47" t="str">
        <f aca="false">IF($A132="","",IF(AND(INDEX(工程マスタ!$I$5:$I$154,$A132)="○",$E132&gt;=BI$3,$E132&lt;=BI$3+6),"▼",IF(AND($E132&gt;=BI$3,$E132&lt;=BI$3+6),$A132,"")))</f>
        <v/>
      </c>
      <c r="BJ132" s="47" t="str">
        <f aca="false">IF($A132="","",IF(AND(INDEX(工程マスタ!$I$5:$I$154,$A132)="○",$E132&gt;=BJ$3,$E132&lt;=BJ$3+6),"▼",IF(AND($E132&gt;=BJ$3,$E132&lt;=BJ$3+6),$A132,"")))</f>
        <v/>
      </c>
    </row>
    <row r="133" customFormat="false" ht="15" hidden="false" customHeight="false" outlineLevel="0" collapsed="false">
      <c r="A133" s="28" t="str">
        <f aca="false">IF(工程マスタ!$C131="","",工程マスタ!$A131)</f>
        <v/>
      </c>
      <c r="B133" s="46" t="str">
        <f aca="false">IF($A133="","",工程マスタ!$C131)</f>
        <v/>
      </c>
      <c r="C133" s="28" t="str">
        <f aca="false">IF($A133="","",MAX(1,工程マスタ!$G131))</f>
        <v/>
      </c>
      <c r="D133" s="28" t="str">
        <f aca="false">IF($A133="","",_xlfn.TEXTJOIN(",",TRUE(),工程マスタ!$N131:$P131))</f>
        <v/>
      </c>
      <c r="E133" s="29" t="str">
        <f aca="false">IF($A133="","",IF(COUNT(工程マスタ!$N131:$P131)=0,設定!$B$8,MAX(IF(工程マスタ!$N131="",0,INDEX($F$7:$F$156,工程マスタ!$N131)),IF(工程マスタ!$O131="",0,INDEX($F$7:$F$156,工程マスタ!$O131)),IF(工程マスタ!$P131="",0,INDEX($F$7:$F$156,工程マスタ!$P131)))+1))</f>
        <v/>
      </c>
      <c r="F133" s="29" t="str">
        <f aca="false">IF($A133="","",$E133+$C133-1)</f>
        <v/>
      </c>
      <c r="G133" s="29" t="str">
        <f aca="false">IF($A133="","",$H133-$C133+1)</f>
        <v/>
      </c>
      <c r="H133" s="29" t="str">
        <f aca="false" t="array" ref="H133:H133">IF($A133="","",IF(SUMPRODUCT((工程マスタ!$N$132:$N$154=$A133)*1)+SUMPRODUCT((工程マスタ!$O$132:$O$154=$A133)*1)+SUMPRODUCT((工程マスタ!$P$132:$P$154=$A133)*1)=0,MAX($F$7:$F$156),MIN(IF((工程マスタ!$N$132:$N$154=$A133)+(工程マスタ!$O$132:$O$154=$A133)+(工程マスタ!$P$132:$P$154=$A133),$G134:$G$156))-1))</f>
        <v/>
      </c>
      <c r="I133" s="28" t="str">
        <f aca="false">IF($A133="","",$G133-$E133)</f>
        <v/>
      </c>
      <c r="J133" s="28" t="str">
        <f aca="false">IF($A133="","",IF($I133&lt;=0,"●",""))</f>
        <v/>
      </c>
      <c r="K133" s="47" t="str">
        <f aca="false">IF($A133="","",IF(AND(INDEX(工程マスタ!$I$5:$I$154,$A133)="○",$E133&gt;=K$3,$E133&lt;=K$3+6),"▼",IF(AND($E133&gt;=K$3,$E133&lt;=K$3+6),$A133,"")))</f>
        <v/>
      </c>
      <c r="L133" s="47" t="str">
        <f aca="false">IF($A133="","",IF(AND(INDEX(工程マスタ!$I$5:$I$154,$A133)="○",$E133&gt;=L$3,$E133&lt;=L$3+6),"▼",IF(AND($E133&gt;=L$3,$E133&lt;=L$3+6),$A133,"")))</f>
        <v/>
      </c>
      <c r="M133" s="47" t="str">
        <f aca="false">IF($A133="","",IF(AND(INDEX(工程マスタ!$I$5:$I$154,$A133)="○",$E133&gt;=M$3,$E133&lt;=M$3+6),"▼",IF(AND($E133&gt;=M$3,$E133&lt;=M$3+6),$A133,"")))</f>
        <v/>
      </c>
      <c r="N133" s="47" t="str">
        <f aca="false">IF($A133="","",IF(AND(INDEX(工程マスタ!$I$5:$I$154,$A133)="○",$E133&gt;=N$3,$E133&lt;=N$3+6),"▼",IF(AND($E133&gt;=N$3,$E133&lt;=N$3+6),$A133,"")))</f>
        <v/>
      </c>
      <c r="O133" s="47" t="str">
        <f aca="false">IF($A133="","",IF(AND(INDEX(工程マスタ!$I$5:$I$154,$A133)="○",$E133&gt;=O$3,$E133&lt;=O$3+6),"▼",IF(AND($E133&gt;=O$3,$E133&lt;=O$3+6),$A133,"")))</f>
        <v/>
      </c>
      <c r="P133" s="47" t="str">
        <f aca="false">IF($A133="","",IF(AND(INDEX(工程マスタ!$I$5:$I$154,$A133)="○",$E133&gt;=P$3,$E133&lt;=P$3+6),"▼",IF(AND($E133&gt;=P$3,$E133&lt;=P$3+6),$A133,"")))</f>
        <v/>
      </c>
      <c r="Q133" s="47" t="str">
        <f aca="false">IF($A133="","",IF(AND(INDEX(工程マスタ!$I$5:$I$154,$A133)="○",$E133&gt;=Q$3,$E133&lt;=Q$3+6),"▼",IF(AND($E133&gt;=Q$3,$E133&lt;=Q$3+6),$A133,"")))</f>
        <v/>
      </c>
      <c r="R133" s="47" t="str">
        <f aca="false">IF($A133="","",IF(AND(INDEX(工程マスタ!$I$5:$I$154,$A133)="○",$E133&gt;=R$3,$E133&lt;=R$3+6),"▼",IF(AND($E133&gt;=R$3,$E133&lt;=R$3+6),$A133,"")))</f>
        <v/>
      </c>
      <c r="S133" s="47" t="str">
        <f aca="false">IF($A133="","",IF(AND(INDEX(工程マスタ!$I$5:$I$154,$A133)="○",$E133&gt;=S$3,$E133&lt;=S$3+6),"▼",IF(AND($E133&gt;=S$3,$E133&lt;=S$3+6),$A133,"")))</f>
        <v/>
      </c>
      <c r="T133" s="47" t="str">
        <f aca="false">IF($A133="","",IF(AND(INDEX(工程マスタ!$I$5:$I$154,$A133)="○",$E133&gt;=T$3,$E133&lt;=T$3+6),"▼",IF(AND($E133&gt;=T$3,$E133&lt;=T$3+6),$A133,"")))</f>
        <v/>
      </c>
      <c r="U133" s="47" t="str">
        <f aca="false">IF($A133="","",IF(AND(INDEX(工程マスタ!$I$5:$I$154,$A133)="○",$E133&gt;=U$3,$E133&lt;=U$3+6),"▼",IF(AND($E133&gt;=U$3,$E133&lt;=U$3+6),$A133,"")))</f>
        <v/>
      </c>
      <c r="V133" s="47" t="str">
        <f aca="false">IF($A133="","",IF(AND(INDEX(工程マスタ!$I$5:$I$154,$A133)="○",$E133&gt;=V$3,$E133&lt;=V$3+6),"▼",IF(AND($E133&gt;=V$3,$E133&lt;=V$3+6),$A133,"")))</f>
        <v/>
      </c>
      <c r="W133" s="47" t="str">
        <f aca="false">IF($A133="","",IF(AND(INDEX(工程マスタ!$I$5:$I$154,$A133)="○",$E133&gt;=W$3,$E133&lt;=W$3+6),"▼",IF(AND($E133&gt;=W$3,$E133&lt;=W$3+6),$A133,"")))</f>
        <v/>
      </c>
      <c r="X133" s="47" t="str">
        <f aca="false">IF($A133="","",IF(AND(INDEX(工程マスタ!$I$5:$I$154,$A133)="○",$E133&gt;=X$3,$E133&lt;=X$3+6),"▼",IF(AND($E133&gt;=X$3,$E133&lt;=X$3+6),$A133,"")))</f>
        <v/>
      </c>
      <c r="Y133" s="47" t="str">
        <f aca="false">IF($A133="","",IF(AND(INDEX(工程マスタ!$I$5:$I$154,$A133)="○",$E133&gt;=Y$3,$E133&lt;=Y$3+6),"▼",IF(AND($E133&gt;=Y$3,$E133&lt;=Y$3+6),$A133,"")))</f>
        <v/>
      </c>
      <c r="Z133" s="47" t="str">
        <f aca="false">IF($A133="","",IF(AND(INDEX(工程マスタ!$I$5:$I$154,$A133)="○",$E133&gt;=Z$3,$E133&lt;=Z$3+6),"▼",IF(AND($E133&gt;=Z$3,$E133&lt;=Z$3+6),$A133,"")))</f>
        <v/>
      </c>
      <c r="AA133" s="47" t="str">
        <f aca="false">IF($A133="","",IF(AND(INDEX(工程マスタ!$I$5:$I$154,$A133)="○",$E133&gt;=AA$3,$E133&lt;=AA$3+6),"▼",IF(AND($E133&gt;=AA$3,$E133&lt;=AA$3+6),$A133,"")))</f>
        <v/>
      </c>
      <c r="AB133" s="47" t="str">
        <f aca="false">IF($A133="","",IF(AND(INDEX(工程マスタ!$I$5:$I$154,$A133)="○",$E133&gt;=AB$3,$E133&lt;=AB$3+6),"▼",IF(AND($E133&gt;=AB$3,$E133&lt;=AB$3+6),$A133,"")))</f>
        <v/>
      </c>
      <c r="AC133" s="47" t="str">
        <f aca="false">IF($A133="","",IF(AND(INDEX(工程マスタ!$I$5:$I$154,$A133)="○",$E133&gt;=AC$3,$E133&lt;=AC$3+6),"▼",IF(AND($E133&gt;=AC$3,$E133&lt;=AC$3+6),$A133,"")))</f>
        <v/>
      </c>
      <c r="AD133" s="47" t="str">
        <f aca="false">IF($A133="","",IF(AND(INDEX(工程マスタ!$I$5:$I$154,$A133)="○",$E133&gt;=AD$3,$E133&lt;=AD$3+6),"▼",IF(AND($E133&gt;=AD$3,$E133&lt;=AD$3+6),$A133,"")))</f>
        <v/>
      </c>
      <c r="AE133" s="47" t="str">
        <f aca="false">IF($A133="","",IF(AND(INDEX(工程マスタ!$I$5:$I$154,$A133)="○",$E133&gt;=AE$3,$E133&lt;=AE$3+6),"▼",IF(AND($E133&gt;=AE$3,$E133&lt;=AE$3+6),$A133,"")))</f>
        <v/>
      </c>
      <c r="AF133" s="47" t="str">
        <f aca="false">IF($A133="","",IF(AND(INDEX(工程マスタ!$I$5:$I$154,$A133)="○",$E133&gt;=AF$3,$E133&lt;=AF$3+6),"▼",IF(AND($E133&gt;=AF$3,$E133&lt;=AF$3+6),$A133,"")))</f>
        <v/>
      </c>
      <c r="AG133" s="47" t="str">
        <f aca="false">IF($A133="","",IF(AND(INDEX(工程マスタ!$I$5:$I$154,$A133)="○",$E133&gt;=AG$3,$E133&lt;=AG$3+6),"▼",IF(AND($E133&gt;=AG$3,$E133&lt;=AG$3+6),$A133,"")))</f>
        <v/>
      </c>
      <c r="AH133" s="47" t="str">
        <f aca="false">IF($A133="","",IF(AND(INDEX(工程マスタ!$I$5:$I$154,$A133)="○",$E133&gt;=AH$3,$E133&lt;=AH$3+6),"▼",IF(AND($E133&gt;=AH$3,$E133&lt;=AH$3+6),$A133,"")))</f>
        <v/>
      </c>
      <c r="AI133" s="47" t="str">
        <f aca="false">IF($A133="","",IF(AND(INDEX(工程マスタ!$I$5:$I$154,$A133)="○",$E133&gt;=AI$3,$E133&lt;=AI$3+6),"▼",IF(AND($E133&gt;=AI$3,$E133&lt;=AI$3+6),$A133,"")))</f>
        <v/>
      </c>
      <c r="AJ133" s="47" t="str">
        <f aca="false">IF($A133="","",IF(AND(INDEX(工程マスタ!$I$5:$I$154,$A133)="○",$E133&gt;=AJ$3,$E133&lt;=AJ$3+6),"▼",IF(AND($E133&gt;=AJ$3,$E133&lt;=AJ$3+6),$A133,"")))</f>
        <v/>
      </c>
      <c r="AK133" s="47" t="str">
        <f aca="false">IF($A133="","",IF(AND(INDEX(工程マスタ!$I$5:$I$154,$A133)="○",$E133&gt;=AK$3,$E133&lt;=AK$3+6),"▼",IF(AND($E133&gt;=AK$3,$E133&lt;=AK$3+6),$A133,"")))</f>
        <v/>
      </c>
      <c r="AL133" s="47" t="str">
        <f aca="false">IF($A133="","",IF(AND(INDEX(工程マスタ!$I$5:$I$154,$A133)="○",$E133&gt;=AL$3,$E133&lt;=AL$3+6),"▼",IF(AND($E133&gt;=AL$3,$E133&lt;=AL$3+6),$A133,"")))</f>
        <v/>
      </c>
      <c r="AM133" s="47" t="str">
        <f aca="false">IF($A133="","",IF(AND(INDEX(工程マスタ!$I$5:$I$154,$A133)="○",$E133&gt;=AM$3,$E133&lt;=AM$3+6),"▼",IF(AND($E133&gt;=AM$3,$E133&lt;=AM$3+6),$A133,"")))</f>
        <v/>
      </c>
      <c r="AN133" s="47" t="str">
        <f aca="false">IF($A133="","",IF(AND(INDEX(工程マスタ!$I$5:$I$154,$A133)="○",$E133&gt;=AN$3,$E133&lt;=AN$3+6),"▼",IF(AND($E133&gt;=AN$3,$E133&lt;=AN$3+6),$A133,"")))</f>
        <v/>
      </c>
      <c r="AO133" s="47" t="str">
        <f aca="false">IF($A133="","",IF(AND(INDEX(工程マスタ!$I$5:$I$154,$A133)="○",$E133&gt;=AO$3,$E133&lt;=AO$3+6),"▼",IF(AND($E133&gt;=AO$3,$E133&lt;=AO$3+6),$A133,"")))</f>
        <v/>
      </c>
      <c r="AP133" s="47" t="str">
        <f aca="false">IF($A133="","",IF(AND(INDEX(工程マスタ!$I$5:$I$154,$A133)="○",$E133&gt;=AP$3,$E133&lt;=AP$3+6),"▼",IF(AND($E133&gt;=AP$3,$E133&lt;=AP$3+6),$A133,"")))</f>
        <v/>
      </c>
      <c r="AQ133" s="47" t="str">
        <f aca="false">IF($A133="","",IF(AND(INDEX(工程マスタ!$I$5:$I$154,$A133)="○",$E133&gt;=AQ$3,$E133&lt;=AQ$3+6),"▼",IF(AND($E133&gt;=AQ$3,$E133&lt;=AQ$3+6),$A133,"")))</f>
        <v/>
      </c>
      <c r="AR133" s="47" t="str">
        <f aca="false">IF($A133="","",IF(AND(INDEX(工程マスタ!$I$5:$I$154,$A133)="○",$E133&gt;=AR$3,$E133&lt;=AR$3+6),"▼",IF(AND($E133&gt;=AR$3,$E133&lt;=AR$3+6),$A133,"")))</f>
        <v/>
      </c>
      <c r="AS133" s="47" t="str">
        <f aca="false">IF($A133="","",IF(AND(INDEX(工程マスタ!$I$5:$I$154,$A133)="○",$E133&gt;=AS$3,$E133&lt;=AS$3+6),"▼",IF(AND($E133&gt;=AS$3,$E133&lt;=AS$3+6),$A133,"")))</f>
        <v/>
      </c>
      <c r="AT133" s="47" t="str">
        <f aca="false">IF($A133="","",IF(AND(INDEX(工程マスタ!$I$5:$I$154,$A133)="○",$E133&gt;=AT$3,$E133&lt;=AT$3+6),"▼",IF(AND($E133&gt;=AT$3,$E133&lt;=AT$3+6),$A133,"")))</f>
        <v/>
      </c>
      <c r="AU133" s="47" t="str">
        <f aca="false">IF($A133="","",IF(AND(INDEX(工程マスタ!$I$5:$I$154,$A133)="○",$E133&gt;=AU$3,$E133&lt;=AU$3+6),"▼",IF(AND($E133&gt;=AU$3,$E133&lt;=AU$3+6),$A133,"")))</f>
        <v/>
      </c>
      <c r="AV133" s="47" t="str">
        <f aca="false">IF($A133="","",IF(AND(INDEX(工程マスタ!$I$5:$I$154,$A133)="○",$E133&gt;=AV$3,$E133&lt;=AV$3+6),"▼",IF(AND($E133&gt;=AV$3,$E133&lt;=AV$3+6),$A133,"")))</f>
        <v/>
      </c>
      <c r="AW133" s="47" t="str">
        <f aca="false">IF($A133="","",IF(AND(INDEX(工程マスタ!$I$5:$I$154,$A133)="○",$E133&gt;=AW$3,$E133&lt;=AW$3+6),"▼",IF(AND($E133&gt;=AW$3,$E133&lt;=AW$3+6),$A133,"")))</f>
        <v/>
      </c>
      <c r="AX133" s="47" t="str">
        <f aca="false">IF($A133="","",IF(AND(INDEX(工程マスタ!$I$5:$I$154,$A133)="○",$E133&gt;=AX$3,$E133&lt;=AX$3+6),"▼",IF(AND($E133&gt;=AX$3,$E133&lt;=AX$3+6),$A133,"")))</f>
        <v/>
      </c>
      <c r="AY133" s="47" t="str">
        <f aca="false">IF($A133="","",IF(AND(INDEX(工程マスタ!$I$5:$I$154,$A133)="○",$E133&gt;=AY$3,$E133&lt;=AY$3+6),"▼",IF(AND($E133&gt;=AY$3,$E133&lt;=AY$3+6),$A133,"")))</f>
        <v/>
      </c>
      <c r="AZ133" s="47" t="str">
        <f aca="false">IF($A133="","",IF(AND(INDEX(工程マスタ!$I$5:$I$154,$A133)="○",$E133&gt;=AZ$3,$E133&lt;=AZ$3+6),"▼",IF(AND($E133&gt;=AZ$3,$E133&lt;=AZ$3+6),$A133,"")))</f>
        <v/>
      </c>
      <c r="BA133" s="47" t="str">
        <f aca="false">IF($A133="","",IF(AND(INDEX(工程マスタ!$I$5:$I$154,$A133)="○",$E133&gt;=BA$3,$E133&lt;=BA$3+6),"▼",IF(AND($E133&gt;=BA$3,$E133&lt;=BA$3+6),$A133,"")))</f>
        <v/>
      </c>
      <c r="BB133" s="47" t="str">
        <f aca="false">IF($A133="","",IF(AND(INDEX(工程マスタ!$I$5:$I$154,$A133)="○",$E133&gt;=BB$3,$E133&lt;=BB$3+6),"▼",IF(AND($E133&gt;=BB$3,$E133&lt;=BB$3+6),$A133,"")))</f>
        <v/>
      </c>
      <c r="BC133" s="47" t="str">
        <f aca="false">IF($A133="","",IF(AND(INDEX(工程マスタ!$I$5:$I$154,$A133)="○",$E133&gt;=BC$3,$E133&lt;=BC$3+6),"▼",IF(AND($E133&gt;=BC$3,$E133&lt;=BC$3+6),$A133,"")))</f>
        <v/>
      </c>
      <c r="BD133" s="47" t="str">
        <f aca="false">IF($A133="","",IF(AND(INDEX(工程マスタ!$I$5:$I$154,$A133)="○",$E133&gt;=BD$3,$E133&lt;=BD$3+6),"▼",IF(AND($E133&gt;=BD$3,$E133&lt;=BD$3+6),$A133,"")))</f>
        <v/>
      </c>
      <c r="BE133" s="47" t="str">
        <f aca="false">IF($A133="","",IF(AND(INDEX(工程マスタ!$I$5:$I$154,$A133)="○",$E133&gt;=BE$3,$E133&lt;=BE$3+6),"▼",IF(AND($E133&gt;=BE$3,$E133&lt;=BE$3+6),$A133,"")))</f>
        <v/>
      </c>
      <c r="BF133" s="47" t="str">
        <f aca="false">IF($A133="","",IF(AND(INDEX(工程マスタ!$I$5:$I$154,$A133)="○",$E133&gt;=BF$3,$E133&lt;=BF$3+6),"▼",IF(AND($E133&gt;=BF$3,$E133&lt;=BF$3+6),$A133,"")))</f>
        <v/>
      </c>
      <c r="BG133" s="47" t="str">
        <f aca="false">IF($A133="","",IF(AND(INDEX(工程マスタ!$I$5:$I$154,$A133)="○",$E133&gt;=BG$3,$E133&lt;=BG$3+6),"▼",IF(AND($E133&gt;=BG$3,$E133&lt;=BG$3+6),$A133,"")))</f>
        <v/>
      </c>
      <c r="BH133" s="47" t="str">
        <f aca="false">IF($A133="","",IF(AND(INDEX(工程マスタ!$I$5:$I$154,$A133)="○",$E133&gt;=BH$3,$E133&lt;=BH$3+6),"▼",IF(AND($E133&gt;=BH$3,$E133&lt;=BH$3+6),$A133,"")))</f>
        <v/>
      </c>
      <c r="BI133" s="47" t="str">
        <f aca="false">IF($A133="","",IF(AND(INDEX(工程マスタ!$I$5:$I$154,$A133)="○",$E133&gt;=BI$3,$E133&lt;=BI$3+6),"▼",IF(AND($E133&gt;=BI$3,$E133&lt;=BI$3+6),$A133,"")))</f>
        <v/>
      </c>
      <c r="BJ133" s="47" t="str">
        <f aca="false">IF($A133="","",IF(AND(INDEX(工程マスタ!$I$5:$I$154,$A133)="○",$E133&gt;=BJ$3,$E133&lt;=BJ$3+6),"▼",IF(AND($E133&gt;=BJ$3,$E133&lt;=BJ$3+6),$A133,"")))</f>
        <v/>
      </c>
    </row>
    <row r="134" customFormat="false" ht="15" hidden="false" customHeight="false" outlineLevel="0" collapsed="false">
      <c r="A134" s="28" t="str">
        <f aca="false">IF(工程マスタ!$C132="","",工程マスタ!$A132)</f>
        <v/>
      </c>
      <c r="B134" s="46" t="str">
        <f aca="false">IF($A134="","",工程マスタ!$C132)</f>
        <v/>
      </c>
      <c r="C134" s="28" t="str">
        <f aca="false">IF($A134="","",MAX(1,工程マスタ!$G132))</f>
        <v/>
      </c>
      <c r="D134" s="28" t="str">
        <f aca="false">IF($A134="","",_xlfn.TEXTJOIN(",",TRUE(),工程マスタ!$N132:$P132))</f>
        <v/>
      </c>
      <c r="E134" s="29" t="str">
        <f aca="false">IF($A134="","",IF(COUNT(工程マスタ!$N132:$P132)=0,設定!$B$8,MAX(IF(工程マスタ!$N132="",0,INDEX($F$7:$F$156,工程マスタ!$N132)),IF(工程マスタ!$O132="",0,INDEX($F$7:$F$156,工程マスタ!$O132)),IF(工程マスタ!$P132="",0,INDEX($F$7:$F$156,工程マスタ!$P132)))+1))</f>
        <v/>
      </c>
      <c r="F134" s="29" t="str">
        <f aca="false">IF($A134="","",$E134+$C134-1)</f>
        <v/>
      </c>
      <c r="G134" s="29" t="str">
        <f aca="false">IF($A134="","",$H134-$C134+1)</f>
        <v/>
      </c>
      <c r="H134" s="29" t="str">
        <f aca="false" t="array" ref="H134:H134">IF($A134="","",IF(SUMPRODUCT((工程マスタ!$N$133:$N$154=$A134)*1)+SUMPRODUCT((工程マスタ!$O$133:$O$154=$A134)*1)+SUMPRODUCT((工程マスタ!$P$133:$P$154=$A134)*1)=0,MAX($F$7:$F$156),MIN(IF((工程マスタ!$N$133:$N$154=$A134)+(工程マスタ!$O$133:$O$154=$A134)+(工程マスタ!$P$133:$P$154=$A134),$G135:$G$156))-1))</f>
        <v/>
      </c>
      <c r="I134" s="28" t="str">
        <f aca="false">IF($A134="","",$G134-$E134)</f>
        <v/>
      </c>
      <c r="J134" s="28" t="str">
        <f aca="false">IF($A134="","",IF($I134&lt;=0,"●",""))</f>
        <v/>
      </c>
      <c r="K134" s="47" t="str">
        <f aca="false">IF($A134="","",IF(AND(INDEX(工程マスタ!$I$5:$I$154,$A134)="○",$E134&gt;=K$3,$E134&lt;=K$3+6),"▼",IF(AND($E134&gt;=K$3,$E134&lt;=K$3+6),$A134,"")))</f>
        <v/>
      </c>
      <c r="L134" s="47" t="str">
        <f aca="false">IF($A134="","",IF(AND(INDEX(工程マスタ!$I$5:$I$154,$A134)="○",$E134&gt;=L$3,$E134&lt;=L$3+6),"▼",IF(AND($E134&gt;=L$3,$E134&lt;=L$3+6),$A134,"")))</f>
        <v/>
      </c>
      <c r="M134" s="47" t="str">
        <f aca="false">IF($A134="","",IF(AND(INDEX(工程マスタ!$I$5:$I$154,$A134)="○",$E134&gt;=M$3,$E134&lt;=M$3+6),"▼",IF(AND($E134&gt;=M$3,$E134&lt;=M$3+6),$A134,"")))</f>
        <v/>
      </c>
      <c r="N134" s="47" t="str">
        <f aca="false">IF($A134="","",IF(AND(INDEX(工程マスタ!$I$5:$I$154,$A134)="○",$E134&gt;=N$3,$E134&lt;=N$3+6),"▼",IF(AND($E134&gt;=N$3,$E134&lt;=N$3+6),$A134,"")))</f>
        <v/>
      </c>
      <c r="O134" s="47" t="str">
        <f aca="false">IF($A134="","",IF(AND(INDEX(工程マスタ!$I$5:$I$154,$A134)="○",$E134&gt;=O$3,$E134&lt;=O$3+6),"▼",IF(AND($E134&gt;=O$3,$E134&lt;=O$3+6),$A134,"")))</f>
        <v/>
      </c>
      <c r="P134" s="47" t="str">
        <f aca="false">IF($A134="","",IF(AND(INDEX(工程マスタ!$I$5:$I$154,$A134)="○",$E134&gt;=P$3,$E134&lt;=P$3+6),"▼",IF(AND($E134&gt;=P$3,$E134&lt;=P$3+6),$A134,"")))</f>
        <v/>
      </c>
      <c r="Q134" s="47" t="str">
        <f aca="false">IF($A134="","",IF(AND(INDEX(工程マスタ!$I$5:$I$154,$A134)="○",$E134&gt;=Q$3,$E134&lt;=Q$3+6),"▼",IF(AND($E134&gt;=Q$3,$E134&lt;=Q$3+6),$A134,"")))</f>
        <v/>
      </c>
      <c r="R134" s="47" t="str">
        <f aca="false">IF($A134="","",IF(AND(INDEX(工程マスタ!$I$5:$I$154,$A134)="○",$E134&gt;=R$3,$E134&lt;=R$3+6),"▼",IF(AND($E134&gt;=R$3,$E134&lt;=R$3+6),$A134,"")))</f>
        <v/>
      </c>
      <c r="S134" s="47" t="str">
        <f aca="false">IF($A134="","",IF(AND(INDEX(工程マスタ!$I$5:$I$154,$A134)="○",$E134&gt;=S$3,$E134&lt;=S$3+6),"▼",IF(AND($E134&gt;=S$3,$E134&lt;=S$3+6),$A134,"")))</f>
        <v/>
      </c>
      <c r="T134" s="47" t="str">
        <f aca="false">IF($A134="","",IF(AND(INDEX(工程マスタ!$I$5:$I$154,$A134)="○",$E134&gt;=T$3,$E134&lt;=T$3+6),"▼",IF(AND($E134&gt;=T$3,$E134&lt;=T$3+6),$A134,"")))</f>
        <v/>
      </c>
      <c r="U134" s="47" t="str">
        <f aca="false">IF($A134="","",IF(AND(INDEX(工程マスタ!$I$5:$I$154,$A134)="○",$E134&gt;=U$3,$E134&lt;=U$3+6),"▼",IF(AND($E134&gt;=U$3,$E134&lt;=U$3+6),$A134,"")))</f>
        <v/>
      </c>
      <c r="V134" s="47" t="str">
        <f aca="false">IF($A134="","",IF(AND(INDEX(工程マスタ!$I$5:$I$154,$A134)="○",$E134&gt;=V$3,$E134&lt;=V$3+6),"▼",IF(AND($E134&gt;=V$3,$E134&lt;=V$3+6),$A134,"")))</f>
        <v/>
      </c>
      <c r="W134" s="47" t="str">
        <f aca="false">IF($A134="","",IF(AND(INDEX(工程マスタ!$I$5:$I$154,$A134)="○",$E134&gt;=W$3,$E134&lt;=W$3+6),"▼",IF(AND($E134&gt;=W$3,$E134&lt;=W$3+6),$A134,"")))</f>
        <v/>
      </c>
      <c r="X134" s="47" t="str">
        <f aca="false">IF($A134="","",IF(AND(INDEX(工程マスタ!$I$5:$I$154,$A134)="○",$E134&gt;=X$3,$E134&lt;=X$3+6),"▼",IF(AND($E134&gt;=X$3,$E134&lt;=X$3+6),$A134,"")))</f>
        <v/>
      </c>
      <c r="Y134" s="47" t="str">
        <f aca="false">IF($A134="","",IF(AND(INDEX(工程マスタ!$I$5:$I$154,$A134)="○",$E134&gt;=Y$3,$E134&lt;=Y$3+6),"▼",IF(AND($E134&gt;=Y$3,$E134&lt;=Y$3+6),$A134,"")))</f>
        <v/>
      </c>
      <c r="Z134" s="47" t="str">
        <f aca="false">IF($A134="","",IF(AND(INDEX(工程マスタ!$I$5:$I$154,$A134)="○",$E134&gt;=Z$3,$E134&lt;=Z$3+6),"▼",IF(AND($E134&gt;=Z$3,$E134&lt;=Z$3+6),$A134,"")))</f>
        <v/>
      </c>
      <c r="AA134" s="47" t="str">
        <f aca="false">IF($A134="","",IF(AND(INDEX(工程マスタ!$I$5:$I$154,$A134)="○",$E134&gt;=AA$3,$E134&lt;=AA$3+6),"▼",IF(AND($E134&gt;=AA$3,$E134&lt;=AA$3+6),$A134,"")))</f>
        <v/>
      </c>
      <c r="AB134" s="47" t="str">
        <f aca="false">IF($A134="","",IF(AND(INDEX(工程マスタ!$I$5:$I$154,$A134)="○",$E134&gt;=AB$3,$E134&lt;=AB$3+6),"▼",IF(AND($E134&gt;=AB$3,$E134&lt;=AB$3+6),$A134,"")))</f>
        <v/>
      </c>
      <c r="AC134" s="47" t="str">
        <f aca="false">IF($A134="","",IF(AND(INDEX(工程マスタ!$I$5:$I$154,$A134)="○",$E134&gt;=AC$3,$E134&lt;=AC$3+6),"▼",IF(AND($E134&gt;=AC$3,$E134&lt;=AC$3+6),$A134,"")))</f>
        <v/>
      </c>
      <c r="AD134" s="47" t="str">
        <f aca="false">IF($A134="","",IF(AND(INDEX(工程マスタ!$I$5:$I$154,$A134)="○",$E134&gt;=AD$3,$E134&lt;=AD$3+6),"▼",IF(AND($E134&gt;=AD$3,$E134&lt;=AD$3+6),$A134,"")))</f>
        <v/>
      </c>
      <c r="AE134" s="47" t="str">
        <f aca="false">IF($A134="","",IF(AND(INDEX(工程マスタ!$I$5:$I$154,$A134)="○",$E134&gt;=AE$3,$E134&lt;=AE$3+6),"▼",IF(AND($E134&gt;=AE$3,$E134&lt;=AE$3+6),$A134,"")))</f>
        <v/>
      </c>
      <c r="AF134" s="47" t="str">
        <f aca="false">IF($A134="","",IF(AND(INDEX(工程マスタ!$I$5:$I$154,$A134)="○",$E134&gt;=AF$3,$E134&lt;=AF$3+6),"▼",IF(AND($E134&gt;=AF$3,$E134&lt;=AF$3+6),$A134,"")))</f>
        <v/>
      </c>
      <c r="AG134" s="47" t="str">
        <f aca="false">IF($A134="","",IF(AND(INDEX(工程マスタ!$I$5:$I$154,$A134)="○",$E134&gt;=AG$3,$E134&lt;=AG$3+6),"▼",IF(AND($E134&gt;=AG$3,$E134&lt;=AG$3+6),$A134,"")))</f>
        <v/>
      </c>
      <c r="AH134" s="47" t="str">
        <f aca="false">IF($A134="","",IF(AND(INDEX(工程マスタ!$I$5:$I$154,$A134)="○",$E134&gt;=AH$3,$E134&lt;=AH$3+6),"▼",IF(AND($E134&gt;=AH$3,$E134&lt;=AH$3+6),$A134,"")))</f>
        <v/>
      </c>
      <c r="AI134" s="47" t="str">
        <f aca="false">IF($A134="","",IF(AND(INDEX(工程マスタ!$I$5:$I$154,$A134)="○",$E134&gt;=AI$3,$E134&lt;=AI$3+6),"▼",IF(AND($E134&gt;=AI$3,$E134&lt;=AI$3+6),$A134,"")))</f>
        <v/>
      </c>
      <c r="AJ134" s="47" t="str">
        <f aca="false">IF($A134="","",IF(AND(INDEX(工程マスタ!$I$5:$I$154,$A134)="○",$E134&gt;=AJ$3,$E134&lt;=AJ$3+6),"▼",IF(AND($E134&gt;=AJ$3,$E134&lt;=AJ$3+6),$A134,"")))</f>
        <v/>
      </c>
      <c r="AK134" s="47" t="str">
        <f aca="false">IF($A134="","",IF(AND(INDEX(工程マスタ!$I$5:$I$154,$A134)="○",$E134&gt;=AK$3,$E134&lt;=AK$3+6),"▼",IF(AND($E134&gt;=AK$3,$E134&lt;=AK$3+6),$A134,"")))</f>
        <v/>
      </c>
      <c r="AL134" s="47" t="str">
        <f aca="false">IF($A134="","",IF(AND(INDEX(工程マスタ!$I$5:$I$154,$A134)="○",$E134&gt;=AL$3,$E134&lt;=AL$3+6),"▼",IF(AND($E134&gt;=AL$3,$E134&lt;=AL$3+6),$A134,"")))</f>
        <v/>
      </c>
      <c r="AM134" s="47" t="str">
        <f aca="false">IF($A134="","",IF(AND(INDEX(工程マスタ!$I$5:$I$154,$A134)="○",$E134&gt;=AM$3,$E134&lt;=AM$3+6),"▼",IF(AND($E134&gt;=AM$3,$E134&lt;=AM$3+6),$A134,"")))</f>
        <v/>
      </c>
      <c r="AN134" s="47" t="str">
        <f aca="false">IF($A134="","",IF(AND(INDEX(工程マスタ!$I$5:$I$154,$A134)="○",$E134&gt;=AN$3,$E134&lt;=AN$3+6),"▼",IF(AND($E134&gt;=AN$3,$E134&lt;=AN$3+6),$A134,"")))</f>
        <v/>
      </c>
      <c r="AO134" s="47" t="str">
        <f aca="false">IF($A134="","",IF(AND(INDEX(工程マスタ!$I$5:$I$154,$A134)="○",$E134&gt;=AO$3,$E134&lt;=AO$3+6),"▼",IF(AND($E134&gt;=AO$3,$E134&lt;=AO$3+6),$A134,"")))</f>
        <v/>
      </c>
      <c r="AP134" s="47" t="str">
        <f aca="false">IF($A134="","",IF(AND(INDEX(工程マスタ!$I$5:$I$154,$A134)="○",$E134&gt;=AP$3,$E134&lt;=AP$3+6),"▼",IF(AND($E134&gt;=AP$3,$E134&lt;=AP$3+6),$A134,"")))</f>
        <v/>
      </c>
      <c r="AQ134" s="47" t="str">
        <f aca="false">IF($A134="","",IF(AND(INDEX(工程マスタ!$I$5:$I$154,$A134)="○",$E134&gt;=AQ$3,$E134&lt;=AQ$3+6),"▼",IF(AND($E134&gt;=AQ$3,$E134&lt;=AQ$3+6),$A134,"")))</f>
        <v/>
      </c>
      <c r="AR134" s="47" t="str">
        <f aca="false">IF($A134="","",IF(AND(INDEX(工程マスタ!$I$5:$I$154,$A134)="○",$E134&gt;=AR$3,$E134&lt;=AR$3+6),"▼",IF(AND($E134&gt;=AR$3,$E134&lt;=AR$3+6),$A134,"")))</f>
        <v/>
      </c>
      <c r="AS134" s="47" t="str">
        <f aca="false">IF($A134="","",IF(AND(INDEX(工程マスタ!$I$5:$I$154,$A134)="○",$E134&gt;=AS$3,$E134&lt;=AS$3+6),"▼",IF(AND($E134&gt;=AS$3,$E134&lt;=AS$3+6),$A134,"")))</f>
        <v/>
      </c>
      <c r="AT134" s="47" t="str">
        <f aca="false">IF($A134="","",IF(AND(INDEX(工程マスタ!$I$5:$I$154,$A134)="○",$E134&gt;=AT$3,$E134&lt;=AT$3+6),"▼",IF(AND($E134&gt;=AT$3,$E134&lt;=AT$3+6),$A134,"")))</f>
        <v/>
      </c>
      <c r="AU134" s="47" t="str">
        <f aca="false">IF($A134="","",IF(AND(INDEX(工程マスタ!$I$5:$I$154,$A134)="○",$E134&gt;=AU$3,$E134&lt;=AU$3+6),"▼",IF(AND($E134&gt;=AU$3,$E134&lt;=AU$3+6),$A134,"")))</f>
        <v/>
      </c>
      <c r="AV134" s="47" t="str">
        <f aca="false">IF($A134="","",IF(AND(INDEX(工程マスタ!$I$5:$I$154,$A134)="○",$E134&gt;=AV$3,$E134&lt;=AV$3+6),"▼",IF(AND($E134&gt;=AV$3,$E134&lt;=AV$3+6),$A134,"")))</f>
        <v/>
      </c>
      <c r="AW134" s="47" t="str">
        <f aca="false">IF($A134="","",IF(AND(INDEX(工程マスタ!$I$5:$I$154,$A134)="○",$E134&gt;=AW$3,$E134&lt;=AW$3+6),"▼",IF(AND($E134&gt;=AW$3,$E134&lt;=AW$3+6),$A134,"")))</f>
        <v/>
      </c>
      <c r="AX134" s="47" t="str">
        <f aca="false">IF($A134="","",IF(AND(INDEX(工程マスタ!$I$5:$I$154,$A134)="○",$E134&gt;=AX$3,$E134&lt;=AX$3+6),"▼",IF(AND($E134&gt;=AX$3,$E134&lt;=AX$3+6),$A134,"")))</f>
        <v/>
      </c>
      <c r="AY134" s="47" t="str">
        <f aca="false">IF($A134="","",IF(AND(INDEX(工程マスタ!$I$5:$I$154,$A134)="○",$E134&gt;=AY$3,$E134&lt;=AY$3+6),"▼",IF(AND($E134&gt;=AY$3,$E134&lt;=AY$3+6),$A134,"")))</f>
        <v/>
      </c>
      <c r="AZ134" s="47" t="str">
        <f aca="false">IF($A134="","",IF(AND(INDEX(工程マスタ!$I$5:$I$154,$A134)="○",$E134&gt;=AZ$3,$E134&lt;=AZ$3+6),"▼",IF(AND($E134&gt;=AZ$3,$E134&lt;=AZ$3+6),$A134,"")))</f>
        <v/>
      </c>
      <c r="BA134" s="47" t="str">
        <f aca="false">IF($A134="","",IF(AND(INDEX(工程マスタ!$I$5:$I$154,$A134)="○",$E134&gt;=BA$3,$E134&lt;=BA$3+6),"▼",IF(AND($E134&gt;=BA$3,$E134&lt;=BA$3+6),$A134,"")))</f>
        <v/>
      </c>
      <c r="BB134" s="47" t="str">
        <f aca="false">IF($A134="","",IF(AND(INDEX(工程マスタ!$I$5:$I$154,$A134)="○",$E134&gt;=BB$3,$E134&lt;=BB$3+6),"▼",IF(AND($E134&gt;=BB$3,$E134&lt;=BB$3+6),$A134,"")))</f>
        <v/>
      </c>
      <c r="BC134" s="47" t="str">
        <f aca="false">IF($A134="","",IF(AND(INDEX(工程マスタ!$I$5:$I$154,$A134)="○",$E134&gt;=BC$3,$E134&lt;=BC$3+6),"▼",IF(AND($E134&gt;=BC$3,$E134&lt;=BC$3+6),$A134,"")))</f>
        <v/>
      </c>
      <c r="BD134" s="47" t="str">
        <f aca="false">IF($A134="","",IF(AND(INDEX(工程マスタ!$I$5:$I$154,$A134)="○",$E134&gt;=BD$3,$E134&lt;=BD$3+6),"▼",IF(AND($E134&gt;=BD$3,$E134&lt;=BD$3+6),$A134,"")))</f>
        <v/>
      </c>
      <c r="BE134" s="47" t="str">
        <f aca="false">IF($A134="","",IF(AND(INDEX(工程マスタ!$I$5:$I$154,$A134)="○",$E134&gt;=BE$3,$E134&lt;=BE$3+6),"▼",IF(AND($E134&gt;=BE$3,$E134&lt;=BE$3+6),$A134,"")))</f>
        <v/>
      </c>
      <c r="BF134" s="47" t="str">
        <f aca="false">IF($A134="","",IF(AND(INDEX(工程マスタ!$I$5:$I$154,$A134)="○",$E134&gt;=BF$3,$E134&lt;=BF$3+6),"▼",IF(AND($E134&gt;=BF$3,$E134&lt;=BF$3+6),$A134,"")))</f>
        <v/>
      </c>
      <c r="BG134" s="47" t="str">
        <f aca="false">IF($A134="","",IF(AND(INDEX(工程マスタ!$I$5:$I$154,$A134)="○",$E134&gt;=BG$3,$E134&lt;=BG$3+6),"▼",IF(AND($E134&gt;=BG$3,$E134&lt;=BG$3+6),$A134,"")))</f>
        <v/>
      </c>
      <c r="BH134" s="47" t="str">
        <f aca="false">IF($A134="","",IF(AND(INDEX(工程マスタ!$I$5:$I$154,$A134)="○",$E134&gt;=BH$3,$E134&lt;=BH$3+6),"▼",IF(AND($E134&gt;=BH$3,$E134&lt;=BH$3+6),$A134,"")))</f>
        <v/>
      </c>
      <c r="BI134" s="47" t="str">
        <f aca="false">IF($A134="","",IF(AND(INDEX(工程マスタ!$I$5:$I$154,$A134)="○",$E134&gt;=BI$3,$E134&lt;=BI$3+6),"▼",IF(AND($E134&gt;=BI$3,$E134&lt;=BI$3+6),$A134,"")))</f>
        <v/>
      </c>
      <c r="BJ134" s="47" t="str">
        <f aca="false">IF($A134="","",IF(AND(INDEX(工程マスタ!$I$5:$I$154,$A134)="○",$E134&gt;=BJ$3,$E134&lt;=BJ$3+6),"▼",IF(AND($E134&gt;=BJ$3,$E134&lt;=BJ$3+6),$A134,"")))</f>
        <v/>
      </c>
    </row>
    <row r="135" customFormat="false" ht="15" hidden="false" customHeight="false" outlineLevel="0" collapsed="false">
      <c r="A135" s="28" t="str">
        <f aca="false">IF(工程マスタ!$C133="","",工程マスタ!$A133)</f>
        <v/>
      </c>
      <c r="B135" s="46" t="str">
        <f aca="false">IF($A135="","",工程マスタ!$C133)</f>
        <v/>
      </c>
      <c r="C135" s="28" t="str">
        <f aca="false">IF($A135="","",MAX(1,工程マスタ!$G133))</f>
        <v/>
      </c>
      <c r="D135" s="28" t="str">
        <f aca="false">IF($A135="","",_xlfn.TEXTJOIN(",",TRUE(),工程マスタ!$N133:$P133))</f>
        <v/>
      </c>
      <c r="E135" s="29" t="str">
        <f aca="false">IF($A135="","",IF(COUNT(工程マスタ!$N133:$P133)=0,設定!$B$8,MAX(IF(工程マスタ!$N133="",0,INDEX($F$7:$F$156,工程マスタ!$N133)),IF(工程マスタ!$O133="",0,INDEX($F$7:$F$156,工程マスタ!$O133)),IF(工程マスタ!$P133="",0,INDEX($F$7:$F$156,工程マスタ!$P133)))+1))</f>
        <v/>
      </c>
      <c r="F135" s="29" t="str">
        <f aca="false">IF($A135="","",$E135+$C135-1)</f>
        <v/>
      </c>
      <c r="G135" s="29" t="str">
        <f aca="false">IF($A135="","",$H135-$C135+1)</f>
        <v/>
      </c>
      <c r="H135" s="29" t="str">
        <f aca="false" t="array" ref="H135:H135">IF($A135="","",IF(SUMPRODUCT((工程マスタ!$N$134:$N$154=$A135)*1)+SUMPRODUCT((工程マスタ!$O$134:$O$154=$A135)*1)+SUMPRODUCT((工程マスタ!$P$134:$P$154=$A135)*1)=0,MAX($F$7:$F$156),MIN(IF((工程マスタ!$N$134:$N$154=$A135)+(工程マスタ!$O$134:$O$154=$A135)+(工程マスタ!$P$134:$P$154=$A135),$G136:$G$156))-1))</f>
        <v/>
      </c>
      <c r="I135" s="28" t="str">
        <f aca="false">IF($A135="","",$G135-$E135)</f>
        <v/>
      </c>
      <c r="J135" s="28" t="str">
        <f aca="false">IF($A135="","",IF($I135&lt;=0,"●",""))</f>
        <v/>
      </c>
      <c r="K135" s="47" t="str">
        <f aca="false">IF($A135="","",IF(AND(INDEX(工程マスタ!$I$5:$I$154,$A135)="○",$E135&gt;=K$3,$E135&lt;=K$3+6),"▼",IF(AND($E135&gt;=K$3,$E135&lt;=K$3+6),$A135,"")))</f>
        <v/>
      </c>
      <c r="L135" s="47" t="str">
        <f aca="false">IF($A135="","",IF(AND(INDEX(工程マスタ!$I$5:$I$154,$A135)="○",$E135&gt;=L$3,$E135&lt;=L$3+6),"▼",IF(AND($E135&gt;=L$3,$E135&lt;=L$3+6),$A135,"")))</f>
        <v/>
      </c>
      <c r="M135" s="47" t="str">
        <f aca="false">IF($A135="","",IF(AND(INDEX(工程マスタ!$I$5:$I$154,$A135)="○",$E135&gt;=M$3,$E135&lt;=M$3+6),"▼",IF(AND($E135&gt;=M$3,$E135&lt;=M$3+6),$A135,"")))</f>
        <v/>
      </c>
      <c r="N135" s="47" t="str">
        <f aca="false">IF($A135="","",IF(AND(INDEX(工程マスタ!$I$5:$I$154,$A135)="○",$E135&gt;=N$3,$E135&lt;=N$3+6),"▼",IF(AND($E135&gt;=N$3,$E135&lt;=N$3+6),$A135,"")))</f>
        <v/>
      </c>
      <c r="O135" s="47" t="str">
        <f aca="false">IF($A135="","",IF(AND(INDEX(工程マスタ!$I$5:$I$154,$A135)="○",$E135&gt;=O$3,$E135&lt;=O$3+6),"▼",IF(AND($E135&gt;=O$3,$E135&lt;=O$3+6),$A135,"")))</f>
        <v/>
      </c>
      <c r="P135" s="47" t="str">
        <f aca="false">IF($A135="","",IF(AND(INDEX(工程マスタ!$I$5:$I$154,$A135)="○",$E135&gt;=P$3,$E135&lt;=P$3+6),"▼",IF(AND($E135&gt;=P$3,$E135&lt;=P$3+6),$A135,"")))</f>
        <v/>
      </c>
      <c r="Q135" s="47" t="str">
        <f aca="false">IF($A135="","",IF(AND(INDEX(工程マスタ!$I$5:$I$154,$A135)="○",$E135&gt;=Q$3,$E135&lt;=Q$3+6),"▼",IF(AND($E135&gt;=Q$3,$E135&lt;=Q$3+6),$A135,"")))</f>
        <v/>
      </c>
      <c r="R135" s="47" t="str">
        <f aca="false">IF($A135="","",IF(AND(INDEX(工程マスタ!$I$5:$I$154,$A135)="○",$E135&gt;=R$3,$E135&lt;=R$3+6),"▼",IF(AND($E135&gt;=R$3,$E135&lt;=R$3+6),$A135,"")))</f>
        <v/>
      </c>
      <c r="S135" s="47" t="str">
        <f aca="false">IF($A135="","",IF(AND(INDEX(工程マスタ!$I$5:$I$154,$A135)="○",$E135&gt;=S$3,$E135&lt;=S$3+6),"▼",IF(AND($E135&gt;=S$3,$E135&lt;=S$3+6),$A135,"")))</f>
        <v/>
      </c>
      <c r="T135" s="47" t="str">
        <f aca="false">IF($A135="","",IF(AND(INDEX(工程マスタ!$I$5:$I$154,$A135)="○",$E135&gt;=T$3,$E135&lt;=T$3+6),"▼",IF(AND($E135&gt;=T$3,$E135&lt;=T$3+6),$A135,"")))</f>
        <v/>
      </c>
      <c r="U135" s="47" t="str">
        <f aca="false">IF($A135="","",IF(AND(INDEX(工程マスタ!$I$5:$I$154,$A135)="○",$E135&gt;=U$3,$E135&lt;=U$3+6),"▼",IF(AND($E135&gt;=U$3,$E135&lt;=U$3+6),$A135,"")))</f>
        <v/>
      </c>
      <c r="V135" s="47" t="str">
        <f aca="false">IF($A135="","",IF(AND(INDEX(工程マスタ!$I$5:$I$154,$A135)="○",$E135&gt;=V$3,$E135&lt;=V$3+6),"▼",IF(AND($E135&gt;=V$3,$E135&lt;=V$3+6),$A135,"")))</f>
        <v/>
      </c>
      <c r="W135" s="47" t="str">
        <f aca="false">IF($A135="","",IF(AND(INDEX(工程マスタ!$I$5:$I$154,$A135)="○",$E135&gt;=W$3,$E135&lt;=W$3+6),"▼",IF(AND($E135&gt;=W$3,$E135&lt;=W$3+6),$A135,"")))</f>
        <v/>
      </c>
      <c r="X135" s="47" t="str">
        <f aca="false">IF($A135="","",IF(AND(INDEX(工程マスタ!$I$5:$I$154,$A135)="○",$E135&gt;=X$3,$E135&lt;=X$3+6),"▼",IF(AND($E135&gt;=X$3,$E135&lt;=X$3+6),$A135,"")))</f>
        <v/>
      </c>
      <c r="Y135" s="47" t="str">
        <f aca="false">IF($A135="","",IF(AND(INDEX(工程マスタ!$I$5:$I$154,$A135)="○",$E135&gt;=Y$3,$E135&lt;=Y$3+6),"▼",IF(AND($E135&gt;=Y$3,$E135&lt;=Y$3+6),$A135,"")))</f>
        <v/>
      </c>
      <c r="Z135" s="47" t="str">
        <f aca="false">IF($A135="","",IF(AND(INDEX(工程マスタ!$I$5:$I$154,$A135)="○",$E135&gt;=Z$3,$E135&lt;=Z$3+6),"▼",IF(AND($E135&gt;=Z$3,$E135&lt;=Z$3+6),$A135,"")))</f>
        <v/>
      </c>
      <c r="AA135" s="47" t="str">
        <f aca="false">IF($A135="","",IF(AND(INDEX(工程マスタ!$I$5:$I$154,$A135)="○",$E135&gt;=AA$3,$E135&lt;=AA$3+6),"▼",IF(AND($E135&gt;=AA$3,$E135&lt;=AA$3+6),$A135,"")))</f>
        <v/>
      </c>
      <c r="AB135" s="47" t="str">
        <f aca="false">IF($A135="","",IF(AND(INDEX(工程マスタ!$I$5:$I$154,$A135)="○",$E135&gt;=AB$3,$E135&lt;=AB$3+6),"▼",IF(AND($E135&gt;=AB$3,$E135&lt;=AB$3+6),$A135,"")))</f>
        <v/>
      </c>
      <c r="AC135" s="47" t="str">
        <f aca="false">IF($A135="","",IF(AND(INDEX(工程マスタ!$I$5:$I$154,$A135)="○",$E135&gt;=AC$3,$E135&lt;=AC$3+6),"▼",IF(AND($E135&gt;=AC$3,$E135&lt;=AC$3+6),$A135,"")))</f>
        <v/>
      </c>
      <c r="AD135" s="47" t="str">
        <f aca="false">IF($A135="","",IF(AND(INDEX(工程マスタ!$I$5:$I$154,$A135)="○",$E135&gt;=AD$3,$E135&lt;=AD$3+6),"▼",IF(AND($E135&gt;=AD$3,$E135&lt;=AD$3+6),$A135,"")))</f>
        <v/>
      </c>
      <c r="AE135" s="47" t="str">
        <f aca="false">IF($A135="","",IF(AND(INDEX(工程マスタ!$I$5:$I$154,$A135)="○",$E135&gt;=AE$3,$E135&lt;=AE$3+6),"▼",IF(AND($E135&gt;=AE$3,$E135&lt;=AE$3+6),$A135,"")))</f>
        <v/>
      </c>
      <c r="AF135" s="47" t="str">
        <f aca="false">IF($A135="","",IF(AND(INDEX(工程マスタ!$I$5:$I$154,$A135)="○",$E135&gt;=AF$3,$E135&lt;=AF$3+6),"▼",IF(AND($E135&gt;=AF$3,$E135&lt;=AF$3+6),$A135,"")))</f>
        <v/>
      </c>
      <c r="AG135" s="47" t="str">
        <f aca="false">IF($A135="","",IF(AND(INDEX(工程マスタ!$I$5:$I$154,$A135)="○",$E135&gt;=AG$3,$E135&lt;=AG$3+6),"▼",IF(AND($E135&gt;=AG$3,$E135&lt;=AG$3+6),$A135,"")))</f>
        <v/>
      </c>
      <c r="AH135" s="47" t="str">
        <f aca="false">IF($A135="","",IF(AND(INDEX(工程マスタ!$I$5:$I$154,$A135)="○",$E135&gt;=AH$3,$E135&lt;=AH$3+6),"▼",IF(AND($E135&gt;=AH$3,$E135&lt;=AH$3+6),$A135,"")))</f>
        <v/>
      </c>
      <c r="AI135" s="47" t="str">
        <f aca="false">IF($A135="","",IF(AND(INDEX(工程マスタ!$I$5:$I$154,$A135)="○",$E135&gt;=AI$3,$E135&lt;=AI$3+6),"▼",IF(AND($E135&gt;=AI$3,$E135&lt;=AI$3+6),$A135,"")))</f>
        <v/>
      </c>
      <c r="AJ135" s="47" t="str">
        <f aca="false">IF($A135="","",IF(AND(INDEX(工程マスタ!$I$5:$I$154,$A135)="○",$E135&gt;=AJ$3,$E135&lt;=AJ$3+6),"▼",IF(AND($E135&gt;=AJ$3,$E135&lt;=AJ$3+6),$A135,"")))</f>
        <v/>
      </c>
      <c r="AK135" s="47" t="str">
        <f aca="false">IF($A135="","",IF(AND(INDEX(工程マスタ!$I$5:$I$154,$A135)="○",$E135&gt;=AK$3,$E135&lt;=AK$3+6),"▼",IF(AND($E135&gt;=AK$3,$E135&lt;=AK$3+6),$A135,"")))</f>
        <v/>
      </c>
      <c r="AL135" s="47" t="str">
        <f aca="false">IF($A135="","",IF(AND(INDEX(工程マスタ!$I$5:$I$154,$A135)="○",$E135&gt;=AL$3,$E135&lt;=AL$3+6),"▼",IF(AND($E135&gt;=AL$3,$E135&lt;=AL$3+6),$A135,"")))</f>
        <v/>
      </c>
      <c r="AM135" s="47" t="str">
        <f aca="false">IF($A135="","",IF(AND(INDEX(工程マスタ!$I$5:$I$154,$A135)="○",$E135&gt;=AM$3,$E135&lt;=AM$3+6),"▼",IF(AND($E135&gt;=AM$3,$E135&lt;=AM$3+6),$A135,"")))</f>
        <v/>
      </c>
      <c r="AN135" s="47" t="str">
        <f aca="false">IF($A135="","",IF(AND(INDEX(工程マスタ!$I$5:$I$154,$A135)="○",$E135&gt;=AN$3,$E135&lt;=AN$3+6),"▼",IF(AND($E135&gt;=AN$3,$E135&lt;=AN$3+6),$A135,"")))</f>
        <v/>
      </c>
      <c r="AO135" s="47" t="str">
        <f aca="false">IF($A135="","",IF(AND(INDEX(工程マスタ!$I$5:$I$154,$A135)="○",$E135&gt;=AO$3,$E135&lt;=AO$3+6),"▼",IF(AND($E135&gt;=AO$3,$E135&lt;=AO$3+6),$A135,"")))</f>
        <v/>
      </c>
      <c r="AP135" s="47" t="str">
        <f aca="false">IF($A135="","",IF(AND(INDEX(工程マスタ!$I$5:$I$154,$A135)="○",$E135&gt;=AP$3,$E135&lt;=AP$3+6),"▼",IF(AND($E135&gt;=AP$3,$E135&lt;=AP$3+6),$A135,"")))</f>
        <v/>
      </c>
      <c r="AQ135" s="47" t="str">
        <f aca="false">IF($A135="","",IF(AND(INDEX(工程マスタ!$I$5:$I$154,$A135)="○",$E135&gt;=AQ$3,$E135&lt;=AQ$3+6),"▼",IF(AND($E135&gt;=AQ$3,$E135&lt;=AQ$3+6),$A135,"")))</f>
        <v/>
      </c>
      <c r="AR135" s="47" t="str">
        <f aca="false">IF($A135="","",IF(AND(INDEX(工程マスタ!$I$5:$I$154,$A135)="○",$E135&gt;=AR$3,$E135&lt;=AR$3+6),"▼",IF(AND($E135&gt;=AR$3,$E135&lt;=AR$3+6),$A135,"")))</f>
        <v/>
      </c>
      <c r="AS135" s="47" t="str">
        <f aca="false">IF($A135="","",IF(AND(INDEX(工程マスタ!$I$5:$I$154,$A135)="○",$E135&gt;=AS$3,$E135&lt;=AS$3+6),"▼",IF(AND($E135&gt;=AS$3,$E135&lt;=AS$3+6),$A135,"")))</f>
        <v/>
      </c>
      <c r="AT135" s="47" t="str">
        <f aca="false">IF($A135="","",IF(AND(INDEX(工程マスタ!$I$5:$I$154,$A135)="○",$E135&gt;=AT$3,$E135&lt;=AT$3+6),"▼",IF(AND($E135&gt;=AT$3,$E135&lt;=AT$3+6),$A135,"")))</f>
        <v/>
      </c>
      <c r="AU135" s="47" t="str">
        <f aca="false">IF($A135="","",IF(AND(INDEX(工程マスタ!$I$5:$I$154,$A135)="○",$E135&gt;=AU$3,$E135&lt;=AU$3+6),"▼",IF(AND($E135&gt;=AU$3,$E135&lt;=AU$3+6),$A135,"")))</f>
        <v/>
      </c>
      <c r="AV135" s="47" t="str">
        <f aca="false">IF($A135="","",IF(AND(INDEX(工程マスタ!$I$5:$I$154,$A135)="○",$E135&gt;=AV$3,$E135&lt;=AV$3+6),"▼",IF(AND($E135&gt;=AV$3,$E135&lt;=AV$3+6),$A135,"")))</f>
        <v/>
      </c>
      <c r="AW135" s="47" t="str">
        <f aca="false">IF($A135="","",IF(AND(INDEX(工程マスタ!$I$5:$I$154,$A135)="○",$E135&gt;=AW$3,$E135&lt;=AW$3+6),"▼",IF(AND($E135&gt;=AW$3,$E135&lt;=AW$3+6),$A135,"")))</f>
        <v/>
      </c>
      <c r="AX135" s="47" t="str">
        <f aca="false">IF($A135="","",IF(AND(INDEX(工程マスタ!$I$5:$I$154,$A135)="○",$E135&gt;=AX$3,$E135&lt;=AX$3+6),"▼",IF(AND($E135&gt;=AX$3,$E135&lt;=AX$3+6),$A135,"")))</f>
        <v/>
      </c>
      <c r="AY135" s="47" t="str">
        <f aca="false">IF($A135="","",IF(AND(INDEX(工程マスタ!$I$5:$I$154,$A135)="○",$E135&gt;=AY$3,$E135&lt;=AY$3+6),"▼",IF(AND($E135&gt;=AY$3,$E135&lt;=AY$3+6),$A135,"")))</f>
        <v/>
      </c>
      <c r="AZ135" s="47" t="str">
        <f aca="false">IF($A135="","",IF(AND(INDEX(工程マスタ!$I$5:$I$154,$A135)="○",$E135&gt;=AZ$3,$E135&lt;=AZ$3+6),"▼",IF(AND($E135&gt;=AZ$3,$E135&lt;=AZ$3+6),$A135,"")))</f>
        <v/>
      </c>
      <c r="BA135" s="47" t="str">
        <f aca="false">IF($A135="","",IF(AND(INDEX(工程マスタ!$I$5:$I$154,$A135)="○",$E135&gt;=BA$3,$E135&lt;=BA$3+6),"▼",IF(AND($E135&gt;=BA$3,$E135&lt;=BA$3+6),$A135,"")))</f>
        <v/>
      </c>
      <c r="BB135" s="47" t="str">
        <f aca="false">IF($A135="","",IF(AND(INDEX(工程マスタ!$I$5:$I$154,$A135)="○",$E135&gt;=BB$3,$E135&lt;=BB$3+6),"▼",IF(AND($E135&gt;=BB$3,$E135&lt;=BB$3+6),$A135,"")))</f>
        <v/>
      </c>
      <c r="BC135" s="47" t="str">
        <f aca="false">IF($A135="","",IF(AND(INDEX(工程マスタ!$I$5:$I$154,$A135)="○",$E135&gt;=BC$3,$E135&lt;=BC$3+6),"▼",IF(AND($E135&gt;=BC$3,$E135&lt;=BC$3+6),$A135,"")))</f>
        <v/>
      </c>
      <c r="BD135" s="47" t="str">
        <f aca="false">IF($A135="","",IF(AND(INDEX(工程マスタ!$I$5:$I$154,$A135)="○",$E135&gt;=BD$3,$E135&lt;=BD$3+6),"▼",IF(AND($E135&gt;=BD$3,$E135&lt;=BD$3+6),$A135,"")))</f>
        <v/>
      </c>
      <c r="BE135" s="47" t="str">
        <f aca="false">IF($A135="","",IF(AND(INDEX(工程マスタ!$I$5:$I$154,$A135)="○",$E135&gt;=BE$3,$E135&lt;=BE$3+6),"▼",IF(AND($E135&gt;=BE$3,$E135&lt;=BE$3+6),$A135,"")))</f>
        <v/>
      </c>
      <c r="BF135" s="47" t="str">
        <f aca="false">IF($A135="","",IF(AND(INDEX(工程マスタ!$I$5:$I$154,$A135)="○",$E135&gt;=BF$3,$E135&lt;=BF$3+6),"▼",IF(AND($E135&gt;=BF$3,$E135&lt;=BF$3+6),$A135,"")))</f>
        <v/>
      </c>
      <c r="BG135" s="47" t="str">
        <f aca="false">IF($A135="","",IF(AND(INDEX(工程マスタ!$I$5:$I$154,$A135)="○",$E135&gt;=BG$3,$E135&lt;=BG$3+6),"▼",IF(AND($E135&gt;=BG$3,$E135&lt;=BG$3+6),$A135,"")))</f>
        <v/>
      </c>
      <c r="BH135" s="47" t="str">
        <f aca="false">IF($A135="","",IF(AND(INDEX(工程マスタ!$I$5:$I$154,$A135)="○",$E135&gt;=BH$3,$E135&lt;=BH$3+6),"▼",IF(AND($E135&gt;=BH$3,$E135&lt;=BH$3+6),$A135,"")))</f>
        <v/>
      </c>
      <c r="BI135" s="47" t="str">
        <f aca="false">IF($A135="","",IF(AND(INDEX(工程マスタ!$I$5:$I$154,$A135)="○",$E135&gt;=BI$3,$E135&lt;=BI$3+6),"▼",IF(AND($E135&gt;=BI$3,$E135&lt;=BI$3+6),$A135,"")))</f>
        <v/>
      </c>
      <c r="BJ135" s="47" t="str">
        <f aca="false">IF($A135="","",IF(AND(INDEX(工程マスタ!$I$5:$I$154,$A135)="○",$E135&gt;=BJ$3,$E135&lt;=BJ$3+6),"▼",IF(AND($E135&gt;=BJ$3,$E135&lt;=BJ$3+6),$A135,"")))</f>
        <v/>
      </c>
    </row>
    <row r="136" customFormat="false" ht="15" hidden="false" customHeight="false" outlineLevel="0" collapsed="false">
      <c r="A136" s="28" t="str">
        <f aca="false">IF(工程マスタ!$C134="","",工程マスタ!$A134)</f>
        <v/>
      </c>
      <c r="B136" s="46" t="str">
        <f aca="false">IF($A136="","",工程マスタ!$C134)</f>
        <v/>
      </c>
      <c r="C136" s="28" t="str">
        <f aca="false">IF($A136="","",MAX(1,工程マスタ!$G134))</f>
        <v/>
      </c>
      <c r="D136" s="28" t="str">
        <f aca="false">IF($A136="","",_xlfn.TEXTJOIN(",",TRUE(),工程マスタ!$N134:$P134))</f>
        <v/>
      </c>
      <c r="E136" s="29" t="str">
        <f aca="false">IF($A136="","",IF(COUNT(工程マスタ!$N134:$P134)=0,設定!$B$8,MAX(IF(工程マスタ!$N134="",0,INDEX($F$7:$F$156,工程マスタ!$N134)),IF(工程マスタ!$O134="",0,INDEX($F$7:$F$156,工程マスタ!$O134)),IF(工程マスタ!$P134="",0,INDEX($F$7:$F$156,工程マスタ!$P134)))+1))</f>
        <v/>
      </c>
      <c r="F136" s="29" t="str">
        <f aca="false">IF($A136="","",$E136+$C136-1)</f>
        <v/>
      </c>
      <c r="G136" s="29" t="str">
        <f aca="false">IF($A136="","",$H136-$C136+1)</f>
        <v/>
      </c>
      <c r="H136" s="29" t="str">
        <f aca="false" t="array" ref="H136:H136">IF($A136="","",IF(SUMPRODUCT((工程マスタ!$N$135:$N$154=$A136)*1)+SUMPRODUCT((工程マスタ!$O$135:$O$154=$A136)*1)+SUMPRODUCT((工程マスタ!$P$135:$P$154=$A136)*1)=0,MAX($F$7:$F$156),MIN(IF((工程マスタ!$N$135:$N$154=$A136)+(工程マスタ!$O$135:$O$154=$A136)+(工程マスタ!$P$135:$P$154=$A136),$G137:$G$156))-1))</f>
        <v/>
      </c>
      <c r="I136" s="28" t="str">
        <f aca="false">IF($A136="","",$G136-$E136)</f>
        <v/>
      </c>
      <c r="J136" s="28" t="str">
        <f aca="false">IF($A136="","",IF($I136&lt;=0,"●",""))</f>
        <v/>
      </c>
      <c r="K136" s="47" t="str">
        <f aca="false">IF($A136="","",IF(AND(INDEX(工程マスタ!$I$5:$I$154,$A136)="○",$E136&gt;=K$3,$E136&lt;=K$3+6),"▼",IF(AND($E136&gt;=K$3,$E136&lt;=K$3+6),$A136,"")))</f>
        <v/>
      </c>
      <c r="L136" s="47" t="str">
        <f aca="false">IF($A136="","",IF(AND(INDEX(工程マスタ!$I$5:$I$154,$A136)="○",$E136&gt;=L$3,$E136&lt;=L$3+6),"▼",IF(AND($E136&gt;=L$3,$E136&lt;=L$3+6),$A136,"")))</f>
        <v/>
      </c>
      <c r="M136" s="47" t="str">
        <f aca="false">IF($A136="","",IF(AND(INDEX(工程マスタ!$I$5:$I$154,$A136)="○",$E136&gt;=M$3,$E136&lt;=M$3+6),"▼",IF(AND($E136&gt;=M$3,$E136&lt;=M$3+6),$A136,"")))</f>
        <v/>
      </c>
      <c r="N136" s="47" t="str">
        <f aca="false">IF($A136="","",IF(AND(INDEX(工程マスタ!$I$5:$I$154,$A136)="○",$E136&gt;=N$3,$E136&lt;=N$3+6),"▼",IF(AND($E136&gt;=N$3,$E136&lt;=N$3+6),$A136,"")))</f>
        <v/>
      </c>
      <c r="O136" s="47" t="str">
        <f aca="false">IF($A136="","",IF(AND(INDEX(工程マスタ!$I$5:$I$154,$A136)="○",$E136&gt;=O$3,$E136&lt;=O$3+6),"▼",IF(AND($E136&gt;=O$3,$E136&lt;=O$3+6),$A136,"")))</f>
        <v/>
      </c>
      <c r="P136" s="47" t="str">
        <f aca="false">IF($A136="","",IF(AND(INDEX(工程マスタ!$I$5:$I$154,$A136)="○",$E136&gt;=P$3,$E136&lt;=P$3+6),"▼",IF(AND($E136&gt;=P$3,$E136&lt;=P$3+6),$A136,"")))</f>
        <v/>
      </c>
      <c r="Q136" s="47" t="str">
        <f aca="false">IF($A136="","",IF(AND(INDEX(工程マスタ!$I$5:$I$154,$A136)="○",$E136&gt;=Q$3,$E136&lt;=Q$3+6),"▼",IF(AND($E136&gt;=Q$3,$E136&lt;=Q$3+6),$A136,"")))</f>
        <v/>
      </c>
      <c r="R136" s="47" t="str">
        <f aca="false">IF($A136="","",IF(AND(INDEX(工程マスタ!$I$5:$I$154,$A136)="○",$E136&gt;=R$3,$E136&lt;=R$3+6),"▼",IF(AND($E136&gt;=R$3,$E136&lt;=R$3+6),$A136,"")))</f>
        <v/>
      </c>
      <c r="S136" s="47" t="str">
        <f aca="false">IF($A136="","",IF(AND(INDEX(工程マスタ!$I$5:$I$154,$A136)="○",$E136&gt;=S$3,$E136&lt;=S$3+6),"▼",IF(AND($E136&gt;=S$3,$E136&lt;=S$3+6),$A136,"")))</f>
        <v/>
      </c>
      <c r="T136" s="47" t="str">
        <f aca="false">IF($A136="","",IF(AND(INDEX(工程マスタ!$I$5:$I$154,$A136)="○",$E136&gt;=T$3,$E136&lt;=T$3+6),"▼",IF(AND($E136&gt;=T$3,$E136&lt;=T$3+6),$A136,"")))</f>
        <v/>
      </c>
      <c r="U136" s="47" t="str">
        <f aca="false">IF($A136="","",IF(AND(INDEX(工程マスタ!$I$5:$I$154,$A136)="○",$E136&gt;=U$3,$E136&lt;=U$3+6),"▼",IF(AND($E136&gt;=U$3,$E136&lt;=U$3+6),$A136,"")))</f>
        <v/>
      </c>
      <c r="V136" s="47" t="str">
        <f aca="false">IF($A136="","",IF(AND(INDEX(工程マスタ!$I$5:$I$154,$A136)="○",$E136&gt;=V$3,$E136&lt;=V$3+6),"▼",IF(AND($E136&gt;=V$3,$E136&lt;=V$3+6),$A136,"")))</f>
        <v/>
      </c>
      <c r="W136" s="47" t="str">
        <f aca="false">IF($A136="","",IF(AND(INDEX(工程マスタ!$I$5:$I$154,$A136)="○",$E136&gt;=W$3,$E136&lt;=W$3+6),"▼",IF(AND($E136&gt;=W$3,$E136&lt;=W$3+6),$A136,"")))</f>
        <v/>
      </c>
      <c r="X136" s="47" t="str">
        <f aca="false">IF($A136="","",IF(AND(INDEX(工程マスタ!$I$5:$I$154,$A136)="○",$E136&gt;=X$3,$E136&lt;=X$3+6),"▼",IF(AND($E136&gt;=X$3,$E136&lt;=X$3+6),$A136,"")))</f>
        <v/>
      </c>
      <c r="Y136" s="47" t="str">
        <f aca="false">IF($A136="","",IF(AND(INDEX(工程マスタ!$I$5:$I$154,$A136)="○",$E136&gt;=Y$3,$E136&lt;=Y$3+6),"▼",IF(AND($E136&gt;=Y$3,$E136&lt;=Y$3+6),$A136,"")))</f>
        <v/>
      </c>
      <c r="Z136" s="47" t="str">
        <f aca="false">IF($A136="","",IF(AND(INDEX(工程マスタ!$I$5:$I$154,$A136)="○",$E136&gt;=Z$3,$E136&lt;=Z$3+6),"▼",IF(AND($E136&gt;=Z$3,$E136&lt;=Z$3+6),$A136,"")))</f>
        <v/>
      </c>
      <c r="AA136" s="47" t="str">
        <f aca="false">IF($A136="","",IF(AND(INDEX(工程マスタ!$I$5:$I$154,$A136)="○",$E136&gt;=AA$3,$E136&lt;=AA$3+6),"▼",IF(AND($E136&gt;=AA$3,$E136&lt;=AA$3+6),$A136,"")))</f>
        <v/>
      </c>
      <c r="AB136" s="47" t="str">
        <f aca="false">IF($A136="","",IF(AND(INDEX(工程マスタ!$I$5:$I$154,$A136)="○",$E136&gt;=AB$3,$E136&lt;=AB$3+6),"▼",IF(AND($E136&gt;=AB$3,$E136&lt;=AB$3+6),$A136,"")))</f>
        <v/>
      </c>
      <c r="AC136" s="47" t="str">
        <f aca="false">IF($A136="","",IF(AND(INDEX(工程マスタ!$I$5:$I$154,$A136)="○",$E136&gt;=AC$3,$E136&lt;=AC$3+6),"▼",IF(AND($E136&gt;=AC$3,$E136&lt;=AC$3+6),$A136,"")))</f>
        <v/>
      </c>
      <c r="AD136" s="47" t="str">
        <f aca="false">IF($A136="","",IF(AND(INDEX(工程マスタ!$I$5:$I$154,$A136)="○",$E136&gt;=AD$3,$E136&lt;=AD$3+6),"▼",IF(AND($E136&gt;=AD$3,$E136&lt;=AD$3+6),$A136,"")))</f>
        <v/>
      </c>
      <c r="AE136" s="47" t="str">
        <f aca="false">IF($A136="","",IF(AND(INDEX(工程マスタ!$I$5:$I$154,$A136)="○",$E136&gt;=AE$3,$E136&lt;=AE$3+6),"▼",IF(AND($E136&gt;=AE$3,$E136&lt;=AE$3+6),$A136,"")))</f>
        <v/>
      </c>
      <c r="AF136" s="47" t="str">
        <f aca="false">IF($A136="","",IF(AND(INDEX(工程マスタ!$I$5:$I$154,$A136)="○",$E136&gt;=AF$3,$E136&lt;=AF$3+6),"▼",IF(AND($E136&gt;=AF$3,$E136&lt;=AF$3+6),$A136,"")))</f>
        <v/>
      </c>
      <c r="AG136" s="47" t="str">
        <f aca="false">IF($A136="","",IF(AND(INDEX(工程マスタ!$I$5:$I$154,$A136)="○",$E136&gt;=AG$3,$E136&lt;=AG$3+6),"▼",IF(AND($E136&gt;=AG$3,$E136&lt;=AG$3+6),$A136,"")))</f>
        <v/>
      </c>
      <c r="AH136" s="47" t="str">
        <f aca="false">IF($A136="","",IF(AND(INDEX(工程マスタ!$I$5:$I$154,$A136)="○",$E136&gt;=AH$3,$E136&lt;=AH$3+6),"▼",IF(AND($E136&gt;=AH$3,$E136&lt;=AH$3+6),$A136,"")))</f>
        <v/>
      </c>
      <c r="AI136" s="47" t="str">
        <f aca="false">IF($A136="","",IF(AND(INDEX(工程マスタ!$I$5:$I$154,$A136)="○",$E136&gt;=AI$3,$E136&lt;=AI$3+6),"▼",IF(AND($E136&gt;=AI$3,$E136&lt;=AI$3+6),$A136,"")))</f>
        <v/>
      </c>
      <c r="AJ136" s="47" t="str">
        <f aca="false">IF($A136="","",IF(AND(INDEX(工程マスタ!$I$5:$I$154,$A136)="○",$E136&gt;=AJ$3,$E136&lt;=AJ$3+6),"▼",IF(AND($E136&gt;=AJ$3,$E136&lt;=AJ$3+6),$A136,"")))</f>
        <v/>
      </c>
      <c r="AK136" s="47" t="str">
        <f aca="false">IF($A136="","",IF(AND(INDEX(工程マスタ!$I$5:$I$154,$A136)="○",$E136&gt;=AK$3,$E136&lt;=AK$3+6),"▼",IF(AND($E136&gt;=AK$3,$E136&lt;=AK$3+6),$A136,"")))</f>
        <v/>
      </c>
      <c r="AL136" s="47" t="str">
        <f aca="false">IF($A136="","",IF(AND(INDEX(工程マスタ!$I$5:$I$154,$A136)="○",$E136&gt;=AL$3,$E136&lt;=AL$3+6),"▼",IF(AND($E136&gt;=AL$3,$E136&lt;=AL$3+6),$A136,"")))</f>
        <v/>
      </c>
      <c r="AM136" s="47" t="str">
        <f aca="false">IF($A136="","",IF(AND(INDEX(工程マスタ!$I$5:$I$154,$A136)="○",$E136&gt;=AM$3,$E136&lt;=AM$3+6),"▼",IF(AND($E136&gt;=AM$3,$E136&lt;=AM$3+6),$A136,"")))</f>
        <v/>
      </c>
      <c r="AN136" s="47" t="str">
        <f aca="false">IF($A136="","",IF(AND(INDEX(工程マスタ!$I$5:$I$154,$A136)="○",$E136&gt;=AN$3,$E136&lt;=AN$3+6),"▼",IF(AND($E136&gt;=AN$3,$E136&lt;=AN$3+6),$A136,"")))</f>
        <v/>
      </c>
      <c r="AO136" s="47" t="str">
        <f aca="false">IF($A136="","",IF(AND(INDEX(工程マスタ!$I$5:$I$154,$A136)="○",$E136&gt;=AO$3,$E136&lt;=AO$3+6),"▼",IF(AND($E136&gt;=AO$3,$E136&lt;=AO$3+6),$A136,"")))</f>
        <v/>
      </c>
      <c r="AP136" s="47" t="str">
        <f aca="false">IF($A136="","",IF(AND(INDEX(工程マスタ!$I$5:$I$154,$A136)="○",$E136&gt;=AP$3,$E136&lt;=AP$3+6),"▼",IF(AND($E136&gt;=AP$3,$E136&lt;=AP$3+6),$A136,"")))</f>
        <v/>
      </c>
      <c r="AQ136" s="47" t="str">
        <f aca="false">IF($A136="","",IF(AND(INDEX(工程マスタ!$I$5:$I$154,$A136)="○",$E136&gt;=AQ$3,$E136&lt;=AQ$3+6),"▼",IF(AND($E136&gt;=AQ$3,$E136&lt;=AQ$3+6),$A136,"")))</f>
        <v/>
      </c>
      <c r="AR136" s="47" t="str">
        <f aca="false">IF($A136="","",IF(AND(INDEX(工程マスタ!$I$5:$I$154,$A136)="○",$E136&gt;=AR$3,$E136&lt;=AR$3+6),"▼",IF(AND($E136&gt;=AR$3,$E136&lt;=AR$3+6),$A136,"")))</f>
        <v/>
      </c>
      <c r="AS136" s="47" t="str">
        <f aca="false">IF($A136="","",IF(AND(INDEX(工程マスタ!$I$5:$I$154,$A136)="○",$E136&gt;=AS$3,$E136&lt;=AS$3+6),"▼",IF(AND($E136&gt;=AS$3,$E136&lt;=AS$3+6),$A136,"")))</f>
        <v/>
      </c>
      <c r="AT136" s="47" t="str">
        <f aca="false">IF($A136="","",IF(AND(INDEX(工程マスタ!$I$5:$I$154,$A136)="○",$E136&gt;=AT$3,$E136&lt;=AT$3+6),"▼",IF(AND($E136&gt;=AT$3,$E136&lt;=AT$3+6),$A136,"")))</f>
        <v/>
      </c>
      <c r="AU136" s="47" t="str">
        <f aca="false">IF($A136="","",IF(AND(INDEX(工程マスタ!$I$5:$I$154,$A136)="○",$E136&gt;=AU$3,$E136&lt;=AU$3+6),"▼",IF(AND($E136&gt;=AU$3,$E136&lt;=AU$3+6),$A136,"")))</f>
        <v/>
      </c>
      <c r="AV136" s="47" t="str">
        <f aca="false">IF($A136="","",IF(AND(INDEX(工程マスタ!$I$5:$I$154,$A136)="○",$E136&gt;=AV$3,$E136&lt;=AV$3+6),"▼",IF(AND($E136&gt;=AV$3,$E136&lt;=AV$3+6),$A136,"")))</f>
        <v/>
      </c>
      <c r="AW136" s="47" t="str">
        <f aca="false">IF($A136="","",IF(AND(INDEX(工程マスタ!$I$5:$I$154,$A136)="○",$E136&gt;=AW$3,$E136&lt;=AW$3+6),"▼",IF(AND($E136&gt;=AW$3,$E136&lt;=AW$3+6),$A136,"")))</f>
        <v/>
      </c>
      <c r="AX136" s="47" t="str">
        <f aca="false">IF($A136="","",IF(AND(INDEX(工程マスタ!$I$5:$I$154,$A136)="○",$E136&gt;=AX$3,$E136&lt;=AX$3+6),"▼",IF(AND($E136&gt;=AX$3,$E136&lt;=AX$3+6),$A136,"")))</f>
        <v/>
      </c>
      <c r="AY136" s="47" t="str">
        <f aca="false">IF($A136="","",IF(AND(INDEX(工程マスタ!$I$5:$I$154,$A136)="○",$E136&gt;=AY$3,$E136&lt;=AY$3+6),"▼",IF(AND($E136&gt;=AY$3,$E136&lt;=AY$3+6),$A136,"")))</f>
        <v/>
      </c>
      <c r="AZ136" s="47" t="str">
        <f aca="false">IF($A136="","",IF(AND(INDEX(工程マスタ!$I$5:$I$154,$A136)="○",$E136&gt;=AZ$3,$E136&lt;=AZ$3+6),"▼",IF(AND($E136&gt;=AZ$3,$E136&lt;=AZ$3+6),$A136,"")))</f>
        <v/>
      </c>
      <c r="BA136" s="47" t="str">
        <f aca="false">IF($A136="","",IF(AND(INDEX(工程マスタ!$I$5:$I$154,$A136)="○",$E136&gt;=BA$3,$E136&lt;=BA$3+6),"▼",IF(AND($E136&gt;=BA$3,$E136&lt;=BA$3+6),$A136,"")))</f>
        <v/>
      </c>
      <c r="BB136" s="47" t="str">
        <f aca="false">IF($A136="","",IF(AND(INDEX(工程マスタ!$I$5:$I$154,$A136)="○",$E136&gt;=BB$3,$E136&lt;=BB$3+6),"▼",IF(AND($E136&gt;=BB$3,$E136&lt;=BB$3+6),$A136,"")))</f>
        <v/>
      </c>
      <c r="BC136" s="47" t="str">
        <f aca="false">IF($A136="","",IF(AND(INDEX(工程マスタ!$I$5:$I$154,$A136)="○",$E136&gt;=BC$3,$E136&lt;=BC$3+6),"▼",IF(AND($E136&gt;=BC$3,$E136&lt;=BC$3+6),$A136,"")))</f>
        <v/>
      </c>
      <c r="BD136" s="47" t="str">
        <f aca="false">IF($A136="","",IF(AND(INDEX(工程マスタ!$I$5:$I$154,$A136)="○",$E136&gt;=BD$3,$E136&lt;=BD$3+6),"▼",IF(AND($E136&gt;=BD$3,$E136&lt;=BD$3+6),$A136,"")))</f>
        <v/>
      </c>
      <c r="BE136" s="47" t="str">
        <f aca="false">IF($A136="","",IF(AND(INDEX(工程マスタ!$I$5:$I$154,$A136)="○",$E136&gt;=BE$3,$E136&lt;=BE$3+6),"▼",IF(AND($E136&gt;=BE$3,$E136&lt;=BE$3+6),$A136,"")))</f>
        <v/>
      </c>
      <c r="BF136" s="47" t="str">
        <f aca="false">IF($A136="","",IF(AND(INDEX(工程マスタ!$I$5:$I$154,$A136)="○",$E136&gt;=BF$3,$E136&lt;=BF$3+6),"▼",IF(AND($E136&gt;=BF$3,$E136&lt;=BF$3+6),$A136,"")))</f>
        <v/>
      </c>
      <c r="BG136" s="47" t="str">
        <f aca="false">IF($A136="","",IF(AND(INDEX(工程マスタ!$I$5:$I$154,$A136)="○",$E136&gt;=BG$3,$E136&lt;=BG$3+6),"▼",IF(AND($E136&gt;=BG$3,$E136&lt;=BG$3+6),$A136,"")))</f>
        <v/>
      </c>
      <c r="BH136" s="47" t="str">
        <f aca="false">IF($A136="","",IF(AND(INDEX(工程マスタ!$I$5:$I$154,$A136)="○",$E136&gt;=BH$3,$E136&lt;=BH$3+6),"▼",IF(AND($E136&gt;=BH$3,$E136&lt;=BH$3+6),$A136,"")))</f>
        <v/>
      </c>
      <c r="BI136" s="47" t="str">
        <f aca="false">IF($A136="","",IF(AND(INDEX(工程マスタ!$I$5:$I$154,$A136)="○",$E136&gt;=BI$3,$E136&lt;=BI$3+6),"▼",IF(AND($E136&gt;=BI$3,$E136&lt;=BI$3+6),$A136,"")))</f>
        <v/>
      </c>
      <c r="BJ136" s="47" t="str">
        <f aca="false">IF($A136="","",IF(AND(INDEX(工程マスタ!$I$5:$I$154,$A136)="○",$E136&gt;=BJ$3,$E136&lt;=BJ$3+6),"▼",IF(AND($E136&gt;=BJ$3,$E136&lt;=BJ$3+6),$A136,"")))</f>
        <v/>
      </c>
    </row>
    <row r="137" customFormat="false" ht="15" hidden="false" customHeight="false" outlineLevel="0" collapsed="false">
      <c r="A137" s="28" t="str">
        <f aca="false">IF(工程マスタ!$C135="","",工程マスタ!$A135)</f>
        <v/>
      </c>
      <c r="B137" s="46" t="str">
        <f aca="false">IF($A137="","",工程マスタ!$C135)</f>
        <v/>
      </c>
      <c r="C137" s="28" t="str">
        <f aca="false">IF($A137="","",MAX(1,工程マスタ!$G135))</f>
        <v/>
      </c>
      <c r="D137" s="28" t="str">
        <f aca="false">IF($A137="","",_xlfn.TEXTJOIN(",",TRUE(),工程マスタ!$N135:$P135))</f>
        <v/>
      </c>
      <c r="E137" s="29" t="str">
        <f aca="false">IF($A137="","",IF(COUNT(工程マスタ!$N135:$P135)=0,設定!$B$8,MAX(IF(工程マスタ!$N135="",0,INDEX($F$7:$F$156,工程マスタ!$N135)),IF(工程マスタ!$O135="",0,INDEX($F$7:$F$156,工程マスタ!$O135)),IF(工程マスタ!$P135="",0,INDEX($F$7:$F$156,工程マスタ!$P135)))+1))</f>
        <v/>
      </c>
      <c r="F137" s="29" t="str">
        <f aca="false">IF($A137="","",$E137+$C137-1)</f>
        <v/>
      </c>
      <c r="G137" s="29" t="str">
        <f aca="false">IF($A137="","",$H137-$C137+1)</f>
        <v/>
      </c>
      <c r="H137" s="29" t="str">
        <f aca="false" t="array" ref="H137:H137">IF($A137="","",IF(SUMPRODUCT((工程マスタ!$N$136:$N$154=$A137)*1)+SUMPRODUCT((工程マスタ!$O$136:$O$154=$A137)*1)+SUMPRODUCT((工程マスタ!$P$136:$P$154=$A137)*1)=0,MAX($F$7:$F$156),MIN(IF((工程マスタ!$N$136:$N$154=$A137)+(工程マスタ!$O$136:$O$154=$A137)+(工程マスタ!$P$136:$P$154=$A137),$G138:$G$156))-1))</f>
        <v/>
      </c>
      <c r="I137" s="28" t="str">
        <f aca="false">IF($A137="","",$G137-$E137)</f>
        <v/>
      </c>
      <c r="J137" s="28" t="str">
        <f aca="false">IF($A137="","",IF($I137&lt;=0,"●",""))</f>
        <v/>
      </c>
      <c r="K137" s="47" t="str">
        <f aca="false">IF($A137="","",IF(AND(INDEX(工程マスタ!$I$5:$I$154,$A137)="○",$E137&gt;=K$3,$E137&lt;=K$3+6),"▼",IF(AND($E137&gt;=K$3,$E137&lt;=K$3+6),$A137,"")))</f>
        <v/>
      </c>
      <c r="L137" s="47" t="str">
        <f aca="false">IF($A137="","",IF(AND(INDEX(工程マスタ!$I$5:$I$154,$A137)="○",$E137&gt;=L$3,$E137&lt;=L$3+6),"▼",IF(AND($E137&gt;=L$3,$E137&lt;=L$3+6),$A137,"")))</f>
        <v/>
      </c>
      <c r="M137" s="47" t="str">
        <f aca="false">IF($A137="","",IF(AND(INDEX(工程マスタ!$I$5:$I$154,$A137)="○",$E137&gt;=M$3,$E137&lt;=M$3+6),"▼",IF(AND($E137&gt;=M$3,$E137&lt;=M$3+6),$A137,"")))</f>
        <v/>
      </c>
      <c r="N137" s="47" t="str">
        <f aca="false">IF($A137="","",IF(AND(INDEX(工程マスタ!$I$5:$I$154,$A137)="○",$E137&gt;=N$3,$E137&lt;=N$3+6),"▼",IF(AND($E137&gt;=N$3,$E137&lt;=N$3+6),$A137,"")))</f>
        <v/>
      </c>
      <c r="O137" s="47" t="str">
        <f aca="false">IF($A137="","",IF(AND(INDEX(工程マスタ!$I$5:$I$154,$A137)="○",$E137&gt;=O$3,$E137&lt;=O$3+6),"▼",IF(AND($E137&gt;=O$3,$E137&lt;=O$3+6),$A137,"")))</f>
        <v/>
      </c>
      <c r="P137" s="47" t="str">
        <f aca="false">IF($A137="","",IF(AND(INDEX(工程マスタ!$I$5:$I$154,$A137)="○",$E137&gt;=P$3,$E137&lt;=P$3+6),"▼",IF(AND($E137&gt;=P$3,$E137&lt;=P$3+6),$A137,"")))</f>
        <v/>
      </c>
      <c r="Q137" s="47" t="str">
        <f aca="false">IF($A137="","",IF(AND(INDEX(工程マスタ!$I$5:$I$154,$A137)="○",$E137&gt;=Q$3,$E137&lt;=Q$3+6),"▼",IF(AND($E137&gt;=Q$3,$E137&lt;=Q$3+6),$A137,"")))</f>
        <v/>
      </c>
      <c r="R137" s="47" t="str">
        <f aca="false">IF($A137="","",IF(AND(INDEX(工程マスタ!$I$5:$I$154,$A137)="○",$E137&gt;=R$3,$E137&lt;=R$3+6),"▼",IF(AND($E137&gt;=R$3,$E137&lt;=R$3+6),$A137,"")))</f>
        <v/>
      </c>
      <c r="S137" s="47" t="str">
        <f aca="false">IF($A137="","",IF(AND(INDEX(工程マスタ!$I$5:$I$154,$A137)="○",$E137&gt;=S$3,$E137&lt;=S$3+6),"▼",IF(AND($E137&gt;=S$3,$E137&lt;=S$3+6),$A137,"")))</f>
        <v/>
      </c>
      <c r="T137" s="47" t="str">
        <f aca="false">IF($A137="","",IF(AND(INDEX(工程マスタ!$I$5:$I$154,$A137)="○",$E137&gt;=T$3,$E137&lt;=T$3+6),"▼",IF(AND($E137&gt;=T$3,$E137&lt;=T$3+6),$A137,"")))</f>
        <v/>
      </c>
      <c r="U137" s="47" t="str">
        <f aca="false">IF($A137="","",IF(AND(INDEX(工程マスタ!$I$5:$I$154,$A137)="○",$E137&gt;=U$3,$E137&lt;=U$3+6),"▼",IF(AND($E137&gt;=U$3,$E137&lt;=U$3+6),$A137,"")))</f>
        <v/>
      </c>
      <c r="V137" s="47" t="str">
        <f aca="false">IF($A137="","",IF(AND(INDEX(工程マスタ!$I$5:$I$154,$A137)="○",$E137&gt;=V$3,$E137&lt;=V$3+6),"▼",IF(AND($E137&gt;=V$3,$E137&lt;=V$3+6),$A137,"")))</f>
        <v/>
      </c>
      <c r="W137" s="47" t="str">
        <f aca="false">IF($A137="","",IF(AND(INDEX(工程マスタ!$I$5:$I$154,$A137)="○",$E137&gt;=W$3,$E137&lt;=W$3+6),"▼",IF(AND($E137&gt;=W$3,$E137&lt;=W$3+6),$A137,"")))</f>
        <v/>
      </c>
      <c r="X137" s="47" t="str">
        <f aca="false">IF($A137="","",IF(AND(INDEX(工程マスタ!$I$5:$I$154,$A137)="○",$E137&gt;=X$3,$E137&lt;=X$3+6),"▼",IF(AND($E137&gt;=X$3,$E137&lt;=X$3+6),$A137,"")))</f>
        <v/>
      </c>
      <c r="Y137" s="47" t="str">
        <f aca="false">IF($A137="","",IF(AND(INDEX(工程マスタ!$I$5:$I$154,$A137)="○",$E137&gt;=Y$3,$E137&lt;=Y$3+6),"▼",IF(AND($E137&gt;=Y$3,$E137&lt;=Y$3+6),$A137,"")))</f>
        <v/>
      </c>
      <c r="Z137" s="47" t="str">
        <f aca="false">IF($A137="","",IF(AND(INDEX(工程マスタ!$I$5:$I$154,$A137)="○",$E137&gt;=Z$3,$E137&lt;=Z$3+6),"▼",IF(AND($E137&gt;=Z$3,$E137&lt;=Z$3+6),$A137,"")))</f>
        <v/>
      </c>
      <c r="AA137" s="47" t="str">
        <f aca="false">IF($A137="","",IF(AND(INDEX(工程マスタ!$I$5:$I$154,$A137)="○",$E137&gt;=AA$3,$E137&lt;=AA$3+6),"▼",IF(AND($E137&gt;=AA$3,$E137&lt;=AA$3+6),$A137,"")))</f>
        <v/>
      </c>
      <c r="AB137" s="47" t="str">
        <f aca="false">IF($A137="","",IF(AND(INDEX(工程マスタ!$I$5:$I$154,$A137)="○",$E137&gt;=AB$3,$E137&lt;=AB$3+6),"▼",IF(AND($E137&gt;=AB$3,$E137&lt;=AB$3+6),$A137,"")))</f>
        <v/>
      </c>
      <c r="AC137" s="47" t="str">
        <f aca="false">IF($A137="","",IF(AND(INDEX(工程マスタ!$I$5:$I$154,$A137)="○",$E137&gt;=AC$3,$E137&lt;=AC$3+6),"▼",IF(AND($E137&gt;=AC$3,$E137&lt;=AC$3+6),$A137,"")))</f>
        <v/>
      </c>
      <c r="AD137" s="47" t="str">
        <f aca="false">IF($A137="","",IF(AND(INDEX(工程マスタ!$I$5:$I$154,$A137)="○",$E137&gt;=AD$3,$E137&lt;=AD$3+6),"▼",IF(AND($E137&gt;=AD$3,$E137&lt;=AD$3+6),$A137,"")))</f>
        <v/>
      </c>
      <c r="AE137" s="47" t="str">
        <f aca="false">IF($A137="","",IF(AND(INDEX(工程マスタ!$I$5:$I$154,$A137)="○",$E137&gt;=AE$3,$E137&lt;=AE$3+6),"▼",IF(AND($E137&gt;=AE$3,$E137&lt;=AE$3+6),$A137,"")))</f>
        <v/>
      </c>
      <c r="AF137" s="47" t="str">
        <f aca="false">IF($A137="","",IF(AND(INDEX(工程マスタ!$I$5:$I$154,$A137)="○",$E137&gt;=AF$3,$E137&lt;=AF$3+6),"▼",IF(AND($E137&gt;=AF$3,$E137&lt;=AF$3+6),$A137,"")))</f>
        <v/>
      </c>
      <c r="AG137" s="47" t="str">
        <f aca="false">IF($A137="","",IF(AND(INDEX(工程マスタ!$I$5:$I$154,$A137)="○",$E137&gt;=AG$3,$E137&lt;=AG$3+6),"▼",IF(AND($E137&gt;=AG$3,$E137&lt;=AG$3+6),$A137,"")))</f>
        <v/>
      </c>
      <c r="AH137" s="47" t="str">
        <f aca="false">IF($A137="","",IF(AND(INDEX(工程マスタ!$I$5:$I$154,$A137)="○",$E137&gt;=AH$3,$E137&lt;=AH$3+6),"▼",IF(AND($E137&gt;=AH$3,$E137&lt;=AH$3+6),$A137,"")))</f>
        <v/>
      </c>
      <c r="AI137" s="47" t="str">
        <f aca="false">IF($A137="","",IF(AND(INDEX(工程マスタ!$I$5:$I$154,$A137)="○",$E137&gt;=AI$3,$E137&lt;=AI$3+6),"▼",IF(AND($E137&gt;=AI$3,$E137&lt;=AI$3+6),$A137,"")))</f>
        <v/>
      </c>
      <c r="AJ137" s="47" t="str">
        <f aca="false">IF($A137="","",IF(AND(INDEX(工程マスタ!$I$5:$I$154,$A137)="○",$E137&gt;=AJ$3,$E137&lt;=AJ$3+6),"▼",IF(AND($E137&gt;=AJ$3,$E137&lt;=AJ$3+6),$A137,"")))</f>
        <v/>
      </c>
      <c r="AK137" s="47" t="str">
        <f aca="false">IF($A137="","",IF(AND(INDEX(工程マスタ!$I$5:$I$154,$A137)="○",$E137&gt;=AK$3,$E137&lt;=AK$3+6),"▼",IF(AND($E137&gt;=AK$3,$E137&lt;=AK$3+6),$A137,"")))</f>
        <v/>
      </c>
      <c r="AL137" s="47" t="str">
        <f aca="false">IF($A137="","",IF(AND(INDEX(工程マスタ!$I$5:$I$154,$A137)="○",$E137&gt;=AL$3,$E137&lt;=AL$3+6),"▼",IF(AND($E137&gt;=AL$3,$E137&lt;=AL$3+6),$A137,"")))</f>
        <v/>
      </c>
      <c r="AM137" s="47" t="str">
        <f aca="false">IF($A137="","",IF(AND(INDEX(工程マスタ!$I$5:$I$154,$A137)="○",$E137&gt;=AM$3,$E137&lt;=AM$3+6),"▼",IF(AND($E137&gt;=AM$3,$E137&lt;=AM$3+6),$A137,"")))</f>
        <v/>
      </c>
      <c r="AN137" s="47" t="str">
        <f aca="false">IF($A137="","",IF(AND(INDEX(工程マスタ!$I$5:$I$154,$A137)="○",$E137&gt;=AN$3,$E137&lt;=AN$3+6),"▼",IF(AND($E137&gt;=AN$3,$E137&lt;=AN$3+6),$A137,"")))</f>
        <v/>
      </c>
      <c r="AO137" s="47" t="str">
        <f aca="false">IF($A137="","",IF(AND(INDEX(工程マスタ!$I$5:$I$154,$A137)="○",$E137&gt;=AO$3,$E137&lt;=AO$3+6),"▼",IF(AND($E137&gt;=AO$3,$E137&lt;=AO$3+6),$A137,"")))</f>
        <v/>
      </c>
      <c r="AP137" s="47" t="str">
        <f aca="false">IF($A137="","",IF(AND(INDEX(工程マスタ!$I$5:$I$154,$A137)="○",$E137&gt;=AP$3,$E137&lt;=AP$3+6),"▼",IF(AND($E137&gt;=AP$3,$E137&lt;=AP$3+6),$A137,"")))</f>
        <v/>
      </c>
      <c r="AQ137" s="47" t="str">
        <f aca="false">IF($A137="","",IF(AND(INDEX(工程マスタ!$I$5:$I$154,$A137)="○",$E137&gt;=AQ$3,$E137&lt;=AQ$3+6),"▼",IF(AND($E137&gt;=AQ$3,$E137&lt;=AQ$3+6),$A137,"")))</f>
        <v/>
      </c>
      <c r="AR137" s="47" t="str">
        <f aca="false">IF($A137="","",IF(AND(INDEX(工程マスタ!$I$5:$I$154,$A137)="○",$E137&gt;=AR$3,$E137&lt;=AR$3+6),"▼",IF(AND($E137&gt;=AR$3,$E137&lt;=AR$3+6),$A137,"")))</f>
        <v/>
      </c>
      <c r="AS137" s="47" t="str">
        <f aca="false">IF($A137="","",IF(AND(INDEX(工程マスタ!$I$5:$I$154,$A137)="○",$E137&gt;=AS$3,$E137&lt;=AS$3+6),"▼",IF(AND($E137&gt;=AS$3,$E137&lt;=AS$3+6),$A137,"")))</f>
        <v/>
      </c>
      <c r="AT137" s="47" t="str">
        <f aca="false">IF($A137="","",IF(AND(INDEX(工程マスタ!$I$5:$I$154,$A137)="○",$E137&gt;=AT$3,$E137&lt;=AT$3+6),"▼",IF(AND($E137&gt;=AT$3,$E137&lt;=AT$3+6),$A137,"")))</f>
        <v/>
      </c>
      <c r="AU137" s="47" t="str">
        <f aca="false">IF($A137="","",IF(AND(INDEX(工程マスタ!$I$5:$I$154,$A137)="○",$E137&gt;=AU$3,$E137&lt;=AU$3+6),"▼",IF(AND($E137&gt;=AU$3,$E137&lt;=AU$3+6),$A137,"")))</f>
        <v/>
      </c>
      <c r="AV137" s="47" t="str">
        <f aca="false">IF($A137="","",IF(AND(INDEX(工程マスタ!$I$5:$I$154,$A137)="○",$E137&gt;=AV$3,$E137&lt;=AV$3+6),"▼",IF(AND($E137&gt;=AV$3,$E137&lt;=AV$3+6),$A137,"")))</f>
        <v/>
      </c>
      <c r="AW137" s="47" t="str">
        <f aca="false">IF($A137="","",IF(AND(INDEX(工程マスタ!$I$5:$I$154,$A137)="○",$E137&gt;=AW$3,$E137&lt;=AW$3+6),"▼",IF(AND($E137&gt;=AW$3,$E137&lt;=AW$3+6),$A137,"")))</f>
        <v/>
      </c>
      <c r="AX137" s="47" t="str">
        <f aca="false">IF($A137="","",IF(AND(INDEX(工程マスタ!$I$5:$I$154,$A137)="○",$E137&gt;=AX$3,$E137&lt;=AX$3+6),"▼",IF(AND($E137&gt;=AX$3,$E137&lt;=AX$3+6),$A137,"")))</f>
        <v/>
      </c>
      <c r="AY137" s="47" t="str">
        <f aca="false">IF($A137="","",IF(AND(INDEX(工程マスタ!$I$5:$I$154,$A137)="○",$E137&gt;=AY$3,$E137&lt;=AY$3+6),"▼",IF(AND($E137&gt;=AY$3,$E137&lt;=AY$3+6),$A137,"")))</f>
        <v/>
      </c>
      <c r="AZ137" s="47" t="str">
        <f aca="false">IF($A137="","",IF(AND(INDEX(工程マスタ!$I$5:$I$154,$A137)="○",$E137&gt;=AZ$3,$E137&lt;=AZ$3+6),"▼",IF(AND($E137&gt;=AZ$3,$E137&lt;=AZ$3+6),$A137,"")))</f>
        <v/>
      </c>
      <c r="BA137" s="47" t="str">
        <f aca="false">IF($A137="","",IF(AND(INDEX(工程マスタ!$I$5:$I$154,$A137)="○",$E137&gt;=BA$3,$E137&lt;=BA$3+6),"▼",IF(AND($E137&gt;=BA$3,$E137&lt;=BA$3+6),$A137,"")))</f>
        <v/>
      </c>
      <c r="BB137" s="47" t="str">
        <f aca="false">IF($A137="","",IF(AND(INDEX(工程マスタ!$I$5:$I$154,$A137)="○",$E137&gt;=BB$3,$E137&lt;=BB$3+6),"▼",IF(AND($E137&gt;=BB$3,$E137&lt;=BB$3+6),$A137,"")))</f>
        <v/>
      </c>
      <c r="BC137" s="47" t="str">
        <f aca="false">IF($A137="","",IF(AND(INDEX(工程マスタ!$I$5:$I$154,$A137)="○",$E137&gt;=BC$3,$E137&lt;=BC$3+6),"▼",IF(AND($E137&gt;=BC$3,$E137&lt;=BC$3+6),$A137,"")))</f>
        <v/>
      </c>
      <c r="BD137" s="47" t="str">
        <f aca="false">IF($A137="","",IF(AND(INDEX(工程マスタ!$I$5:$I$154,$A137)="○",$E137&gt;=BD$3,$E137&lt;=BD$3+6),"▼",IF(AND($E137&gt;=BD$3,$E137&lt;=BD$3+6),$A137,"")))</f>
        <v/>
      </c>
      <c r="BE137" s="47" t="str">
        <f aca="false">IF($A137="","",IF(AND(INDEX(工程マスタ!$I$5:$I$154,$A137)="○",$E137&gt;=BE$3,$E137&lt;=BE$3+6),"▼",IF(AND($E137&gt;=BE$3,$E137&lt;=BE$3+6),$A137,"")))</f>
        <v/>
      </c>
      <c r="BF137" s="47" t="str">
        <f aca="false">IF($A137="","",IF(AND(INDEX(工程マスタ!$I$5:$I$154,$A137)="○",$E137&gt;=BF$3,$E137&lt;=BF$3+6),"▼",IF(AND($E137&gt;=BF$3,$E137&lt;=BF$3+6),$A137,"")))</f>
        <v/>
      </c>
      <c r="BG137" s="47" t="str">
        <f aca="false">IF($A137="","",IF(AND(INDEX(工程マスタ!$I$5:$I$154,$A137)="○",$E137&gt;=BG$3,$E137&lt;=BG$3+6),"▼",IF(AND($E137&gt;=BG$3,$E137&lt;=BG$3+6),$A137,"")))</f>
        <v/>
      </c>
      <c r="BH137" s="47" t="str">
        <f aca="false">IF($A137="","",IF(AND(INDEX(工程マスタ!$I$5:$I$154,$A137)="○",$E137&gt;=BH$3,$E137&lt;=BH$3+6),"▼",IF(AND($E137&gt;=BH$3,$E137&lt;=BH$3+6),$A137,"")))</f>
        <v/>
      </c>
      <c r="BI137" s="47" t="str">
        <f aca="false">IF($A137="","",IF(AND(INDEX(工程マスタ!$I$5:$I$154,$A137)="○",$E137&gt;=BI$3,$E137&lt;=BI$3+6),"▼",IF(AND($E137&gt;=BI$3,$E137&lt;=BI$3+6),$A137,"")))</f>
        <v/>
      </c>
      <c r="BJ137" s="47" t="str">
        <f aca="false">IF($A137="","",IF(AND(INDEX(工程マスタ!$I$5:$I$154,$A137)="○",$E137&gt;=BJ$3,$E137&lt;=BJ$3+6),"▼",IF(AND($E137&gt;=BJ$3,$E137&lt;=BJ$3+6),$A137,"")))</f>
        <v/>
      </c>
    </row>
    <row r="138" customFormat="false" ht="15" hidden="false" customHeight="false" outlineLevel="0" collapsed="false">
      <c r="A138" s="28" t="str">
        <f aca="false">IF(工程マスタ!$C136="","",工程マスタ!$A136)</f>
        <v/>
      </c>
      <c r="B138" s="46" t="str">
        <f aca="false">IF($A138="","",工程マスタ!$C136)</f>
        <v/>
      </c>
      <c r="C138" s="28" t="str">
        <f aca="false">IF($A138="","",MAX(1,工程マスタ!$G136))</f>
        <v/>
      </c>
      <c r="D138" s="28" t="str">
        <f aca="false">IF($A138="","",_xlfn.TEXTJOIN(",",TRUE(),工程マスタ!$N136:$P136))</f>
        <v/>
      </c>
      <c r="E138" s="29" t="str">
        <f aca="false">IF($A138="","",IF(COUNT(工程マスタ!$N136:$P136)=0,設定!$B$8,MAX(IF(工程マスタ!$N136="",0,INDEX($F$7:$F$156,工程マスタ!$N136)),IF(工程マスタ!$O136="",0,INDEX($F$7:$F$156,工程マスタ!$O136)),IF(工程マスタ!$P136="",0,INDEX($F$7:$F$156,工程マスタ!$P136)))+1))</f>
        <v/>
      </c>
      <c r="F138" s="29" t="str">
        <f aca="false">IF($A138="","",$E138+$C138-1)</f>
        <v/>
      </c>
      <c r="G138" s="29" t="str">
        <f aca="false">IF($A138="","",$H138-$C138+1)</f>
        <v/>
      </c>
      <c r="H138" s="29" t="str">
        <f aca="false" t="array" ref="H138:H138">IF($A138="","",IF(SUMPRODUCT((工程マスタ!$N$137:$N$154=$A138)*1)+SUMPRODUCT((工程マスタ!$O$137:$O$154=$A138)*1)+SUMPRODUCT((工程マスタ!$P$137:$P$154=$A138)*1)=0,MAX($F$7:$F$156),MIN(IF((工程マスタ!$N$137:$N$154=$A138)+(工程マスタ!$O$137:$O$154=$A138)+(工程マスタ!$P$137:$P$154=$A138),$G139:$G$156))-1))</f>
        <v/>
      </c>
      <c r="I138" s="28" t="str">
        <f aca="false">IF($A138="","",$G138-$E138)</f>
        <v/>
      </c>
      <c r="J138" s="28" t="str">
        <f aca="false">IF($A138="","",IF($I138&lt;=0,"●",""))</f>
        <v/>
      </c>
      <c r="K138" s="47" t="str">
        <f aca="false">IF($A138="","",IF(AND(INDEX(工程マスタ!$I$5:$I$154,$A138)="○",$E138&gt;=K$3,$E138&lt;=K$3+6),"▼",IF(AND($E138&gt;=K$3,$E138&lt;=K$3+6),$A138,"")))</f>
        <v/>
      </c>
      <c r="L138" s="47" t="str">
        <f aca="false">IF($A138="","",IF(AND(INDEX(工程マスタ!$I$5:$I$154,$A138)="○",$E138&gt;=L$3,$E138&lt;=L$3+6),"▼",IF(AND($E138&gt;=L$3,$E138&lt;=L$3+6),$A138,"")))</f>
        <v/>
      </c>
      <c r="M138" s="47" t="str">
        <f aca="false">IF($A138="","",IF(AND(INDEX(工程マスタ!$I$5:$I$154,$A138)="○",$E138&gt;=M$3,$E138&lt;=M$3+6),"▼",IF(AND($E138&gt;=M$3,$E138&lt;=M$3+6),$A138,"")))</f>
        <v/>
      </c>
      <c r="N138" s="47" t="str">
        <f aca="false">IF($A138="","",IF(AND(INDEX(工程マスタ!$I$5:$I$154,$A138)="○",$E138&gt;=N$3,$E138&lt;=N$3+6),"▼",IF(AND($E138&gt;=N$3,$E138&lt;=N$3+6),$A138,"")))</f>
        <v/>
      </c>
      <c r="O138" s="47" t="str">
        <f aca="false">IF($A138="","",IF(AND(INDEX(工程マスタ!$I$5:$I$154,$A138)="○",$E138&gt;=O$3,$E138&lt;=O$3+6),"▼",IF(AND($E138&gt;=O$3,$E138&lt;=O$3+6),$A138,"")))</f>
        <v/>
      </c>
      <c r="P138" s="47" t="str">
        <f aca="false">IF($A138="","",IF(AND(INDEX(工程マスタ!$I$5:$I$154,$A138)="○",$E138&gt;=P$3,$E138&lt;=P$3+6),"▼",IF(AND($E138&gt;=P$3,$E138&lt;=P$3+6),$A138,"")))</f>
        <v/>
      </c>
      <c r="Q138" s="47" t="str">
        <f aca="false">IF($A138="","",IF(AND(INDEX(工程マスタ!$I$5:$I$154,$A138)="○",$E138&gt;=Q$3,$E138&lt;=Q$3+6),"▼",IF(AND($E138&gt;=Q$3,$E138&lt;=Q$3+6),$A138,"")))</f>
        <v/>
      </c>
      <c r="R138" s="47" t="str">
        <f aca="false">IF($A138="","",IF(AND(INDEX(工程マスタ!$I$5:$I$154,$A138)="○",$E138&gt;=R$3,$E138&lt;=R$3+6),"▼",IF(AND($E138&gt;=R$3,$E138&lt;=R$3+6),$A138,"")))</f>
        <v/>
      </c>
      <c r="S138" s="47" t="str">
        <f aca="false">IF($A138="","",IF(AND(INDEX(工程マスタ!$I$5:$I$154,$A138)="○",$E138&gt;=S$3,$E138&lt;=S$3+6),"▼",IF(AND($E138&gt;=S$3,$E138&lt;=S$3+6),$A138,"")))</f>
        <v/>
      </c>
      <c r="T138" s="47" t="str">
        <f aca="false">IF($A138="","",IF(AND(INDEX(工程マスタ!$I$5:$I$154,$A138)="○",$E138&gt;=T$3,$E138&lt;=T$3+6),"▼",IF(AND($E138&gt;=T$3,$E138&lt;=T$3+6),$A138,"")))</f>
        <v/>
      </c>
      <c r="U138" s="47" t="str">
        <f aca="false">IF($A138="","",IF(AND(INDEX(工程マスタ!$I$5:$I$154,$A138)="○",$E138&gt;=U$3,$E138&lt;=U$3+6),"▼",IF(AND($E138&gt;=U$3,$E138&lt;=U$3+6),$A138,"")))</f>
        <v/>
      </c>
      <c r="V138" s="47" t="str">
        <f aca="false">IF($A138="","",IF(AND(INDEX(工程マスタ!$I$5:$I$154,$A138)="○",$E138&gt;=V$3,$E138&lt;=V$3+6),"▼",IF(AND($E138&gt;=V$3,$E138&lt;=V$3+6),$A138,"")))</f>
        <v/>
      </c>
      <c r="W138" s="47" t="str">
        <f aca="false">IF($A138="","",IF(AND(INDEX(工程マスタ!$I$5:$I$154,$A138)="○",$E138&gt;=W$3,$E138&lt;=W$3+6),"▼",IF(AND($E138&gt;=W$3,$E138&lt;=W$3+6),$A138,"")))</f>
        <v/>
      </c>
      <c r="X138" s="47" t="str">
        <f aca="false">IF($A138="","",IF(AND(INDEX(工程マスタ!$I$5:$I$154,$A138)="○",$E138&gt;=X$3,$E138&lt;=X$3+6),"▼",IF(AND($E138&gt;=X$3,$E138&lt;=X$3+6),$A138,"")))</f>
        <v/>
      </c>
      <c r="Y138" s="47" t="str">
        <f aca="false">IF($A138="","",IF(AND(INDEX(工程マスタ!$I$5:$I$154,$A138)="○",$E138&gt;=Y$3,$E138&lt;=Y$3+6),"▼",IF(AND($E138&gt;=Y$3,$E138&lt;=Y$3+6),$A138,"")))</f>
        <v/>
      </c>
      <c r="Z138" s="47" t="str">
        <f aca="false">IF($A138="","",IF(AND(INDEX(工程マスタ!$I$5:$I$154,$A138)="○",$E138&gt;=Z$3,$E138&lt;=Z$3+6),"▼",IF(AND($E138&gt;=Z$3,$E138&lt;=Z$3+6),$A138,"")))</f>
        <v/>
      </c>
      <c r="AA138" s="47" t="str">
        <f aca="false">IF($A138="","",IF(AND(INDEX(工程マスタ!$I$5:$I$154,$A138)="○",$E138&gt;=AA$3,$E138&lt;=AA$3+6),"▼",IF(AND($E138&gt;=AA$3,$E138&lt;=AA$3+6),$A138,"")))</f>
        <v/>
      </c>
      <c r="AB138" s="47" t="str">
        <f aca="false">IF($A138="","",IF(AND(INDEX(工程マスタ!$I$5:$I$154,$A138)="○",$E138&gt;=AB$3,$E138&lt;=AB$3+6),"▼",IF(AND($E138&gt;=AB$3,$E138&lt;=AB$3+6),$A138,"")))</f>
        <v/>
      </c>
      <c r="AC138" s="47" t="str">
        <f aca="false">IF($A138="","",IF(AND(INDEX(工程マスタ!$I$5:$I$154,$A138)="○",$E138&gt;=AC$3,$E138&lt;=AC$3+6),"▼",IF(AND($E138&gt;=AC$3,$E138&lt;=AC$3+6),$A138,"")))</f>
        <v/>
      </c>
      <c r="AD138" s="47" t="str">
        <f aca="false">IF($A138="","",IF(AND(INDEX(工程マスタ!$I$5:$I$154,$A138)="○",$E138&gt;=AD$3,$E138&lt;=AD$3+6),"▼",IF(AND($E138&gt;=AD$3,$E138&lt;=AD$3+6),$A138,"")))</f>
        <v/>
      </c>
      <c r="AE138" s="47" t="str">
        <f aca="false">IF($A138="","",IF(AND(INDEX(工程マスタ!$I$5:$I$154,$A138)="○",$E138&gt;=AE$3,$E138&lt;=AE$3+6),"▼",IF(AND($E138&gt;=AE$3,$E138&lt;=AE$3+6),$A138,"")))</f>
        <v/>
      </c>
      <c r="AF138" s="47" t="str">
        <f aca="false">IF($A138="","",IF(AND(INDEX(工程マスタ!$I$5:$I$154,$A138)="○",$E138&gt;=AF$3,$E138&lt;=AF$3+6),"▼",IF(AND($E138&gt;=AF$3,$E138&lt;=AF$3+6),$A138,"")))</f>
        <v/>
      </c>
      <c r="AG138" s="47" t="str">
        <f aca="false">IF($A138="","",IF(AND(INDEX(工程マスタ!$I$5:$I$154,$A138)="○",$E138&gt;=AG$3,$E138&lt;=AG$3+6),"▼",IF(AND($E138&gt;=AG$3,$E138&lt;=AG$3+6),$A138,"")))</f>
        <v/>
      </c>
      <c r="AH138" s="47" t="str">
        <f aca="false">IF($A138="","",IF(AND(INDEX(工程マスタ!$I$5:$I$154,$A138)="○",$E138&gt;=AH$3,$E138&lt;=AH$3+6),"▼",IF(AND($E138&gt;=AH$3,$E138&lt;=AH$3+6),$A138,"")))</f>
        <v/>
      </c>
      <c r="AI138" s="47" t="str">
        <f aca="false">IF($A138="","",IF(AND(INDEX(工程マスタ!$I$5:$I$154,$A138)="○",$E138&gt;=AI$3,$E138&lt;=AI$3+6),"▼",IF(AND($E138&gt;=AI$3,$E138&lt;=AI$3+6),$A138,"")))</f>
        <v/>
      </c>
      <c r="AJ138" s="47" t="str">
        <f aca="false">IF($A138="","",IF(AND(INDEX(工程マスタ!$I$5:$I$154,$A138)="○",$E138&gt;=AJ$3,$E138&lt;=AJ$3+6),"▼",IF(AND($E138&gt;=AJ$3,$E138&lt;=AJ$3+6),$A138,"")))</f>
        <v/>
      </c>
      <c r="AK138" s="47" t="str">
        <f aca="false">IF($A138="","",IF(AND(INDEX(工程マスタ!$I$5:$I$154,$A138)="○",$E138&gt;=AK$3,$E138&lt;=AK$3+6),"▼",IF(AND($E138&gt;=AK$3,$E138&lt;=AK$3+6),$A138,"")))</f>
        <v/>
      </c>
      <c r="AL138" s="47" t="str">
        <f aca="false">IF($A138="","",IF(AND(INDEX(工程マスタ!$I$5:$I$154,$A138)="○",$E138&gt;=AL$3,$E138&lt;=AL$3+6),"▼",IF(AND($E138&gt;=AL$3,$E138&lt;=AL$3+6),$A138,"")))</f>
        <v/>
      </c>
      <c r="AM138" s="47" t="str">
        <f aca="false">IF($A138="","",IF(AND(INDEX(工程マスタ!$I$5:$I$154,$A138)="○",$E138&gt;=AM$3,$E138&lt;=AM$3+6),"▼",IF(AND($E138&gt;=AM$3,$E138&lt;=AM$3+6),$A138,"")))</f>
        <v/>
      </c>
      <c r="AN138" s="47" t="str">
        <f aca="false">IF($A138="","",IF(AND(INDEX(工程マスタ!$I$5:$I$154,$A138)="○",$E138&gt;=AN$3,$E138&lt;=AN$3+6),"▼",IF(AND($E138&gt;=AN$3,$E138&lt;=AN$3+6),$A138,"")))</f>
        <v/>
      </c>
      <c r="AO138" s="47" t="str">
        <f aca="false">IF($A138="","",IF(AND(INDEX(工程マスタ!$I$5:$I$154,$A138)="○",$E138&gt;=AO$3,$E138&lt;=AO$3+6),"▼",IF(AND($E138&gt;=AO$3,$E138&lt;=AO$3+6),$A138,"")))</f>
        <v/>
      </c>
      <c r="AP138" s="47" t="str">
        <f aca="false">IF($A138="","",IF(AND(INDEX(工程マスタ!$I$5:$I$154,$A138)="○",$E138&gt;=AP$3,$E138&lt;=AP$3+6),"▼",IF(AND($E138&gt;=AP$3,$E138&lt;=AP$3+6),$A138,"")))</f>
        <v/>
      </c>
      <c r="AQ138" s="47" t="str">
        <f aca="false">IF($A138="","",IF(AND(INDEX(工程マスタ!$I$5:$I$154,$A138)="○",$E138&gt;=AQ$3,$E138&lt;=AQ$3+6),"▼",IF(AND($E138&gt;=AQ$3,$E138&lt;=AQ$3+6),$A138,"")))</f>
        <v/>
      </c>
      <c r="AR138" s="47" t="str">
        <f aca="false">IF($A138="","",IF(AND(INDEX(工程マスタ!$I$5:$I$154,$A138)="○",$E138&gt;=AR$3,$E138&lt;=AR$3+6),"▼",IF(AND($E138&gt;=AR$3,$E138&lt;=AR$3+6),$A138,"")))</f>
        <v/>
      </c>
      <c r="AS138" s="47" t="str">
        <f aca="false">IF($A138="","",IF(AND(INDEX(工程マスタ!$I$5:$I$154,$A138)="○",$E138&gt;=AS$3,$E138&lt;=AS$3+6),"▼",IF(AND($E138&gt;=AS$3,$E138&lt;=AS$3+6),$A138,"")))</f>
        <v/>
      </c>
      <c r="AT138" s="47" t="str">
        <f aca="false">IF($A138="","",IF(AND(INDEX(工程マスタ!$I$5:$I$154,$A138)="○",$E138&gt;=AT$3,$E138&lt;=AT$3+6),"▼",IF(AND($E138&gt;=AT$3,$E138&lt;=AT$3+6),$A138,"")))</f>
        <v/>
      </c>
      <c r="AU138" s="47" t="str">
        <f aca="false">IF($A138="","",IF(AND(INDEX(工程マスタ!$I$5:$I$154,$A138)="○",$E138&gt;=AU$3,$E138&lt;=AU$3+6),"▼",IF(AND($E138&gt;=AU$3,$E138&lt;=AU$3+6),$A138,"")))</f>
        <v/>
      </c>
      <c r="AV138" s="47" t="str">
        <f aca="false">IF($A138="","",IF(AND(INDEX(工程マスタ!$I$5:$I$154,$A138)="○",$E138&gt;=AV$3,$E138&lt;=AV$3+6),"▼",IF(AND($E138&gt;=AV$3,$E138&lt;=AV$3+6),$A138,"")))</f>
        <v/>
      </c>
      <c r="AW138" s="47" t="str">
        <f aca="false">IF($A138="","",IF(AND(INDEX(工程マスタ!$I$5:$I$154,$A138)="○",$E138&gt;=AW$3,$E138&lt;=AW$3+6),"▼",IF(AND($E138&gt;=AW$3,$E138&lt;=AW$3+6),$A138,"")))</f>
        <v/>
      </c>
      <c r="AX138" s="47" t="str">
        <f aca="false">IF($A138="","",IF(AND(INDEX(工程マスタ!$I$5:$I$154,$A138)="○",$E138&gt;=AX$3,$E138&lt;=AX$3+6),"▼",IF(AND($E138&gt;=AX$3,$E138&lt;=AX$3+6),$A138,"")))</f>
        <v/>
      </c>
      <c r="AY138" s="47" t="str">
        <f aca="false">IF($A138="","",IF(AND(INDEX(工程マスタ!$I$5:$I$154,$A138)="○",$E138&gt;=AY$3,$E138&lt;=AY$3+6),"▼",IF(AND($E138&gt;=AY$3,$E138&lt;=AY$3+6),$A138,"")))</f>
        <v/>
      </c>
      <c r="AZ138" s="47" t="str">
        <f aca="false">IF($A138="","",IF(AND(INDEX(工程マスタ!$I$5:$I$154,$A138)="○",$E138&gt;=AZ$3,$E138&lt;=AZ$3+6),"▼",IF(AND($E138&gt;=AZ$3,$E138&lt;=AZ$3+6),$A138,"")))</f>
        <v/>
      </c>
      <c r="BA138" s="47" t="str">
        <f aca="false">IF($A138="","",IF(AND(INDEX(工程マスタ!$I$5:$I$154,$A138)="○",$E138&gt;=BA$3,$E138&lt;=BA$3+6),"▼",IF(AND($E138&gt;=BA$3,$E138&lt;=BA$3+6),$A138,"")))</f>
        <v/>
      </c>
      <c r="BB138" s="47" t="str">
        <f aca="false">IF($A138="","",IF(AND(INDEX(工程マスタ!$I$5:$I$154,$A138)="○",$E138&gt;=BB$3,$E138&lt;=BB$3+6),"▼",IF(AND($E138&gt;=BB$3,$E138&lt;=BB$3+6),$A138,"")))</f>
        <v/>
      </c>
      <c r="BC138" s="47" t="str">
        <f aca="false">IF($A138="","",IF(AND(INDEX(工程マスタ!$I$5:$I$154,$A138)="○",$E138&gt;=BC$3,$E138&lt;=BC$3+6),"▼",IF(AND($E138&gt;=BC$3,$E138&lt;=BC$3+6),$A138,"")))</f>
        <v/>
      </c>
      <c r="BD138" s="47" t="str">
        <f aca="false">IF($A138="","",IF(AND(INDEX(工程マスタ!$I$5:$I$154,$A138)="○",$E138&gt;=BD$3,$E138&lt;=BD$3+6),"▼",IF(AND($E138&gt;=BD$3,$E138&lt;=BD$3+6),$A138,"")))</f>
        <v/>
      </c>
      <c r="BE138" s="47" t="str">
        <f aca="false">IF($A138="","",IF(AND(INDEX(工程マスタ!$I$5:$I$154,$A138)="○",$E138&gt;=BE$3,$E138&lt;=BE$3+6),"▼",IF(AND($E138&gt;=BE$3,$E138&lt;=BE$3+6),$A138,"")))</f>
        <v/>
      </c>
      <c r="BF138" s="47" t="str">
        <f aca="false">IF($A138="","",IF(AND(INDEX(工程マスタ!$I$5:$I$154,$A138)="○",$E138&gt;=BF$3,$E138&lt;=BF$3+6),"▼",IF(AND($E138&gt;=BF$3,$E138&lt;=BF$3+6),$A138,"")))</f>
        <v/>
      </c>
      <c r="BG138" s="47" t="str">
        <f aca="false">IF($A138="","",IF(AND(INDEX(工程マスタ!$I$5:$I$154,$A138)="○",$E138&gt;=BG$3,$E138&lt;=BG$3+6),"▼",IF(AND($E138&gt;=BG$3,$E138&lt;=BG$3+6),$A138,"")))</f>
        <v/>
      </c>
      <c r="BH138" s="47" t="str">
        <f aca="false">IF($A138="","",IF(AND(INDEX(工程マスタ!$I$5:$I$154,$A138)="○",$E138&gt;=BH$3,$E138&lt;=BH$3+6),"▼",IF(AND($E138&gt;=BH$3,$E138&lt;=BH$3+6),$A138,"")))</f>
        <v/>
      </c>
      <c r="BI138" s="47" t="str">
        <f aca="false">IF($A138="","",IF(AND(INDEX(工程マスタ!$I$5:$I$154,$A138)="○",$E138&gt;=BI$3,$E138&lt;=BI$3+6),"▼",IF(AND($E138&gt;=BI$3,$E138&lt;=BI$3+6),$A138,"")))</f>
        <v/>
      </c>
      <c r="BJ138" s="47" t="str">
        <f aca="false">IF($A138="","",IF(AND(INDEX(工程マスタ!$I$5:$I$154,$A138)="○",$E138&gt;=BJ$3,$E138&lt;=BJ$3+6),"▼",IF(AND($E138&gt;=BJ$3,$E138&lt;=BJ$3+6),$A138,"")))</f>
        <v/>
      </c>
    </row>
    <row r="139" customFormat="false" ht="15" hidden="false" customHeight="false" outlineLevel="0" collapsed="false">
      <c r="A139" s="28" t="str">
        <f aca="false">IF(工程マスタ!$C137="","",工程マスタ!$A137)</f>
        <v/>
      </c>
      <c r="B139" s="46" t="str">
        <f aca="false">IF($A139="","",工程マスタ!$C137)</f>
        <v/>
      </c>
      <c r="C139" s="28" t="str">
        <f aca="false">IF($A139="","",MAX(1,工程マスタ!$G137))</f>
        <v/>
      </c>
      <c r="D139" s="28" t="str">
        <f aca="false">IF($A139="","",_xlfn.TEXTJOIN(",",TRUE(),工程マスタ!$N137:$P137))</f>
        <v/>
      </c>
      <c r="E139" s="29" t="str">
        <f aca="false">IF($A139="","",IF(COUNT(工程マスタ!$N137:$P137)=0,設定!$B$8,MAX(IF(工程マスタ!$N137="",0,INDEX($F$7:$F$156,工程マスタ!$N137)),IF(工程マスタ!$O137="",0,INDEX($F$7:$F$156,工程マスタ!$O137)),IF(工程マスタ!$P137="",0,INDEX($F$7:$F$156,工程マスタ!$P137)))+1))</f>
        <v/>
      </c>
      <c r="F139" s="29" t="str">
        <f aca="false">IF($A139="","",$E139+$C139-1)</f>
        <v/>
      </c>
      <c r="G139" s="29" t="str">
        <f aca="false">IF($A139="","",$H139-$C139+1)</f>
        <v/>
      </c>
      <c r="H139" s="29" t="str">
        <f aca="false" t="array" ref="H139:H139">IF($A139="","",IF(SUMPRODUCT((工程マスタ!$N$138:$N$154=$A139)*1)+SUMPRODUCT((工程マスタ!$O$138:$O$154=$A139)*1)+SUMPRODUCT((工程マスタ!$P$138:$P$154=$A139)*1)=0,MAX($F$7:$F$156),MIN(IF((工程マスタ!$N$138:$N$154=$A139)+(工程マスタ!$O$138:$O$154=$A139)+(工程マスタ!$P$138:$P$154=$A139),$G140:$G$156))-1))</f>
        <v/>
      </c>
      <c r="I139" s="28" t="str">
        <f aca="false">IF($A139="","",$G139-$E139)</f>
        <v/>
      </c>
      <c r="J139" s="28" t="str">
        <f aca="false">IF($A139="","",IF($I139&lt;=0,"●",""))</f>
        <v/>
      </c>
      <c r="K139" s="47" t="str">
        <f aca="false">IF($A139="","",IF(AND(INDEX(工程マスタ!$I$5:$I$154,$A139)="○",$E139&gt;=K$3,$E139&lt;=K$3+6),"▼",IF(AND($E139&gt;=K$3,$E139&lt;=K$3+6),$A139,"")))</f>
        <v/>
      </c>
      <c r="L139" s="47" t="str">
        <f aca="false">IF($A139="","",IF(AND(INDEX(工程マスタ!$I$5:$I$154,$A139)="○",$E139&gt;=L$3,$E139&lt;=L$3+6),"▼",IF(AND($E139&gt;=L$3,$E139&lt;=L$3+6),$A139,"")))</f>
        <v/>
      </c>
      <c r="M139" s="47" t="str">
        <f aca="false">IF($A139="","",IF(AND(INDEX(工程マスタ!$I$5:$I$154,$A139)="○",$E139&gt;=M$3,$E139&lt;=M$3+6),"▼",IF(AND($E139&gt;=M$3,$E139&lt;=M$3+6),$A139,"")))</f>
        <v/>
      </c>
      <c r="N139" s="47" t="str">
        <f aca="false">IF($A139="","",IF(AND(INDEX(工程マスタ!$I$5:$I$154,$A139)="○",$E139&gt;=N$3,$E139&lt;=N$3+6),"▼",IF(AND($E139&gt;=N$3,$E139&lt;=N$3+6),$A139,"")))</f>
        <v/>
      </c>
      <c r="O139" s="47" t="str">
        <f aca="false">IF($A139="","",IF(AND(INDEX(工程マスタ!$I$5:$I$154,$A139)="○",$E139&gt;=O$3,$E139&lt;=O$3+6),"▼",IF(AND($E139&gt;=O$3,$E139&lt;=O$3+6),$A139,"")))</f>
        <v/>
      </c>
      <c r="P139" s="47" t="str">
        <f aca="false">IF($A139="","",IF(AND(INDEX(工程マスタ!$I$5:$I$154,$A139)="○",$E139&gt;=P$3,$E139&lt;=P$3+6),"▼",IF(AND($E139&gt;=P$3,$E139&lt;=P$3+6),$A139,"")))</f>
        <v/>
      </c>
      <c r="Q139" s="47" t="str">
        <f aca="false">IF($A139="","",IF(AND(INDEX(工程マスタ!$I$5:$I$154,$A139)="○",$E139&gt;=Q$3,$E139&lt;=Q$3+6),"▼",IF(AND($E139&gt;=Q$3,$E139&lt;=Q$3+6),$A139,"")))</f>
        <v/>
      </c>
      <c r="R139" s="47" t="str">
        <f aca="false">IF($A139="","",IF(AND(INDEX(工程マスタ!$I$5:$I$154,$A139)="○",$E139&gt;=R$3,$E139&lt;=R$3+6),"▼",IF(AND($E139&gt;=R$3,$E139&lt;=R$3+6),$A139,"")))</f>
        <v/>
      </c>
      <c r="S139" s="47" t="str">
        <f aca="false">IF($A139="","",IF(AND(INDEX(工程マスタ!$I$5:$I$154,$A139)="○",$E139&gt;=S$3,$E139&lt;=S$3+6),"▼",IF(AND($E139&gt;=S$3,$E139&lt;=S$3+6),$A139,"")))</f>
        <v/>
      </c>
      <c r="T139" s="47" t="str">
        <f aca="false">IF($A139="","",IF(AND(INDEX(工程マスタ!$I$5:$I$154,$A139)="○",$E139&gt;=T$3,$E139&lt;=T$3+6),"▼",IF(AND($E139&gt;=T$3,$E139&lt;=T$3+6),$A139,"")))</f>
        <v/>
      </c>
      <c r="U139" s="47" t="str">
        <f aca="false">IF($A139="","",IF(AND(INDEX(工程マスタ!$I$5:$I$154,$A139)="○",$E139&gt;=U$3,$E139&lt;=U$3+6),"▼",IF(AND($E139&gt;=U$3,$E139&lt;=U$3+6),$A139,"")))</f>
        <v/>
      </c>
      <c r="V139" s="47" t="str">
        <f aca="false">IF($A139="","",IF(AND(INDEX(工程マスタ!$I$5:$I$154,$A139)="○",$E139&gt;=V$3,$E139&lt;=V$3+6),"▼",IF(AND($E139&gt;=V$3,$E139&lt;=V$3+6),$A139,"")))</f>
        <v/>
      </c>
      <c r="W139" s="47" t="str">
        <f aca="false">IF($A139="","",IF(AND(INDEX(工程マスタ!$I$5:$I$154,$A139)="○",$E139&gt;=W$3,$E139&lt;=W$3+6),"▼",IF(AND($E139&gt;=W$3,$E139&lt;=W$3+6),$A139,"")))</f>
        <v/>
      </c>
      <c r="X139" s="47" t="str">
        <f aca="false">IF($A139="","",IF(AND(INDEX(工程マスタ!$I$5:$I$154,$A139)="○",$E139&gt;=X$3,$E139&lt;=X$3+6),"▼",IF(AND($E139&gt;=X$3,$E139&lt;=X$3+6),$A139,"")))</f>
        <v/>
      </c>
      <c r="Y139" s="47" t="str">
        <f aca="false">IF($A139="","",IF(AND(INDEX(工程マスタ!$I$5:$I$154,$A139)="○",$E139&gt;=Y$3,$E139&lt;=Y$3+6),"▼",IF(AND($E139&gt;=Y$3,$E139&lt;=Y$3+6),$A139,"")))</f>
        <v/>
      </c>
      <c r="Z139" s="47" t="str">
        <f aca="false">IF($A139="","",IF(AND(INDEX(工程マスタ!$I$5:$I$154,$A139)="○",$E139&gt;=Z$3,$E139&lt;=Z$3+6),"▼",IF(AND($E139&gt;=Z$3,$E139&lt;=Z$3+6),$A139,"")))</f>
        <v/>
      </c>
      <c r="AA139" s="47" t="str">
        <f aca="false">IF($A139="","",IF(AND(INDEX(工程マスタ!$I$5:$I$154,$A139)="○",$E139&gt;=AA$3,$E139&lt;=AA$3+6),"▼",IF(AND($E139&gt;=AA$3,$E139&lt;=AA$3+6),$A139,"")))</f>
        <v/>
      </c>
      <c r="AB139" s="47" t="str">
        <f aca="false">IF($A139="","",IF(AND(INDEX(工程マスタ!$I$5:$I$154,$A139)="○",$E139&gt;=AB$3,$E139&lt;=AB$3+6),"▼",IF(AND($E139&gt;=AB$3,$E139&lt;=AB$3+6),$A139,"")))</f>
        <v/>
      </c>
      <c r="AC139" s="47" t="str">
        <f aca="false">IF($A139="","",IF(AND(INDEX(工程マスタ!$I$5:$I$154,$A139)="○",$E139&gt;=AC$3,$E139&lt;=AC$3+6),"▼",IF(AND($E139&gt;=AC$3,$E139&lt;=AC$3+6),$A139,"")))</f>
        <v/>
      </c>
      <c r="AD139" s="47" t="str">
        <f aca="false">IF($A139="","",IF(AND(INDEX(工程マスタ!$I$5:$I$154,$A139)="○",$E139&gt;=AD$3,$E139&lt;=AD$3+6),"▼",IF(AND($E139&gt;=AD$3,$E139&lt;=AD$3+6),$A139,"")))</f>
        <v/>
      </c>
      <c r="AE139" s="47" t="str">
        <f aca="false">IF($A139="","",IF(AND(INDEX(工程マスタ!$I$5:$I$154,$A139)="○",$E139&gt;=AE$3,$E139&lt;=AE$3+6),"▼",IF(AND($E139&gt;=AE$3,$E139&lt;=AE$3+6),$A139,"")))</f>
        <v/>
      </c>
      <c r="AF139" s="47" t="str">
        <f aca="false">IF($A139="","",IF(AND(INDEX(工程マスタ!$I$5:$I$154,$A139)="○",$E139&gt;=AF$3,$E139&lt;=AF$3+6),"▼",IF(AND($E139&gt;=AF$3,$E139&lt;=AF$3+6),$A139,"")))</f>
        <v/>
      </c>
      <c r="AG139" s="47" t="str">
        <f aca="false">IF($A139="","",IF(AND(INDEX(工程マスタ!$I$5:$I$154,$A139)="○",$E139&gt;=AG$3,$E139&lt;=AG$3+6),"▼",IF(AND($E139&gt;=AG$3,$E139&lt;=AG$3+6),$A139,"")))</f>
        <v/>
      </c>
      <c r="AH139" s="47" t="str">
        <f aca="false">IF($A139="","",IF(AND(INDEX(工程マスタ!$I$5:$I$154,$A139)="○",$E139&gt;=AH$3,$E139&lt;=AH$3+6),"▼",IF(AND($E139&gt;=AH$3,$E139&lt;=AH$3+6),$A139,"")))</f>
        <v/>
      </c>
      <c r="AI139" s="47" t="str">
        <f aca="false">IF($A139="","",IF(AND(INDEX(工程マスタ!$I$5:$I$154,$A139)="○",$E139&gt;=AI$3,$E139&lt;=AI$3+6),"▼",IF(AND($E139&gt;=AI$3,$E139&lt;=AI$3+6),$A139,"")))</f>
        <v/>
      </c>
      <c r="AJ139" s="47" t="str">
        <f aca="false">IF($A139="","",IF(AND(INDEX(工程マスタ!$I$5:$I$154,$A139)="○",$E139&gt;=AJ$3,$E139&lt;=AJ$3+6),"▼",IF(AND($E139&gt;=AJ$3,$E139&lt;=AJ$3+6),$A139,"")))</f>
        <v/>
      </c>
      <c r="AK139" s="47" t="str">
        <f aca="false">IF($A139="","",IF(AND(INDEX(工程マスタ!$I$5:$I$154,$A139)="○",$E139&gt;=AK$3,$E139&lt;=AK$3+6),"▼",IF(AND($E139&gt;=AK$3,$E139&lt;=AK$3+6),$A139,"")))</f>
        <v/>
      </c>
      <c r="AL139" s="47" t="str">
        <f aca="false">IF($A139="","",IF(AND(INDEX(工程マスタ!$I$5:$I$154,$A139)="○",$E139&gt;=AL$3,$E139&lt;=AL$3+6),"▼",IF(AND($E139&gt;=AL$3,$E139&lt;=AL$3+6),$A139,"")))</f>
        <v/>
      </c>
      <c r="AM139" s="47" t="str">
        <f aca="false">IF($A139="","",IF(AND(INDEX(工程マスタ!$I$5:$I$154,$A139)="○",$E139&gt;=AM$3,$E139&lt;=AM$3+6),"▼",IF(AND($E139&gt;=AM$3,$E139&lt;=AM$3+6),$A139,"")))</f>
        <v/>
      </c>
      <c r="AN139" s="47" t="str">
        <f aca="false">IF($A139="","",IF(AND(INDEX(工程マスタ!$I$5:$I$154,$A139)="○",$E139&gt;=AN$3,$E139&lt;=AN$3+6),"▼",IF(AND($E139&gt;=AN$3,$E139&lt;=AN$3+6),$A139,"")))</f>
        <v/>
      </c>
      <c r="AO139" s="47" t="str">
        <f aca="false">IF($A139="","",IF(AND(INDEX(工程マスタ!$I$5:$I$154,$A139)="○",$E139&gt;=AO$3,$E139&lt;=AO$3+6),"▼",IF(AND($E139&gt;=AO$3,$E139&lt;=AO$3+6),$A139,"")))</f>
        <v/>
      </c>
      <c r="AP139" s="47" t="str">
        <f aca="false">IF($A139="","",IF(AND(INDEX(工程マスタ!$I$5:$I$154,$A139)="○",$E139&gt;=AP$3,$E139&lt;=AP$3+6),"▼",IF(AND($E139&gt;=AP$3,$E139&lt;=AP$3+6),$A139,"")))</f>
        <v/>
      </c>
      <c r="AQ139" s="47" t="str">
        <f aca="false">IF($A139="","",IF(AND(INDEX(工程マスタ!$I$5:$I$154,$A139)="○",$E139&gt;=AQ$3,$E139&lt;=AQ$3+6),"▼",IF(AND($E139&gt;=AQ$3,$E139&lt;=AQ$3+6),$A139,"")))</f>
        <v/>
      </c>
      <c r="AR139" s="47" t="str">
        <f aca="false">IF($A139="","",IF(AND(INDEX(工程マスタ!$I$5:$I$154,$A139)="○",$E139&gt;=AR$3,$E139&lt;=AR$3+6),"▼",IF(AND($E139&gt;=AR$3,$E139&lt;=AR$3+6),$A139,"")))</f>
        <v/>
      </c>
      <c r="AS139" s="47" t="str">
        <f aca="false">IF($A139="","",IF(AND(INDEX(工程マスタ!$I$5:$I$154,$A139)="○",$E139&gt;=AS$3,$E139&lt;=AS$3+6),"▼",IF(AND($E139&gt;=AS$3,$E139&lt;=AS$3+6),$A139,"")))</f>
        <v/>
      </c>
      <c r="AT139" s="47" t="str">
        <f aca="false">IF($A139="","",IF(AND(INDEX(工程マスタ!$I$5:$I$154,$A139)="○",$E139&gt;=AT$3,$E139&lt;=AT$3+6),"▼",IF(AND($E139&gt;=AT$3,$E139&lt;=AT$3+6),$A139,"")))</f>
        <v/>
      </c>
      <c r="AU139" s="47" t="str">
        <f aca="false">IF($A139="","",IF(AND(INDEX(工程マスタ!$I$5:$I$154,$A139)="○",$E139&gt;=AU$3,$E139&lt;=AU$3+6),"▼",IF(AND($E139&gt;=AU$3,$E139&lt;=AU$3+6),$A139,"")))</f>
        <v/>
      </c>
      <c r="AV139" s="47" t="str">
        <f aca="false">IF($A139="","",IF(AND(INDEX(工程マスタ!$I$5:$I$154,$A139)="○",$E139&gt;=AV$3,$E139&lt;=AV$3+6),"▼",IF(AND($E139&gt;=AV$3,$E139&lt;=AV$3+6),$A139,"")))</f>
        <v/>
      </c>
      <c r="AW139" s="47" t="str">
        <f aca="false">IF($A139="","",IF(AND(INDEX(工程マスタ!$I$5:$I$154,$A139)="○",$E139&gt;=AW$3,$E139&lt;=AW$3+6),"▼",IF(AND($E139&gt;=AW$3,$E139&lt;=AW$3+6),$A139,"")))</f>
        <v/>
      </c>
      <c r="AX139" s="47" t="str">
        <f aca="false">IF($A139="","",IF(AND(INDEX(工程マスタ!$I$5:$I$154,$A139)="○",$E139&gt;=AX$3,$E139&lt;=AX$3+6),"▼",IF(AND($E139&gt;=AX$3,$E139&lt;=AX$3+6),$A139,"")))</f>
        <v/>
      </c>
      <c r="AY139" s="47" t="str">
        <f aca="false">IF($A139="","",IF(AND(INDEX(工程マスタ!$I$5:$I$154,$A139)="○",$E139&gt;=AY$3,$E139&lt;=AY$3+6),"▼",IF(AND($E139&gt;=AY$3,$E139&lt;=AY$3+6),$A139,"")))</f>
        <v/>
      </c>
      <c r="AZ139" s="47" t="str">
        <f aca="false">IF($A139="","",IF(AND(INDEX(工程マスタ!$I$5:$I$154,$A139)="○",$E139&gt;=AZ$3,$E139&lt;=AZ$3+6),"▼",IF(AND($E139&gt;=AZ$3,$E139&lt;=AZ$3+6),$A139,"")))</f>
        <v/>
      </c>
      <c r="BA139" s="47" t="str">
        <f aca="false">IF($A139="","",IF(AND(INDEX(工程マスタ!$I$5:$I$154,$A139)="○",$E139&gt;=BA$3,$E139&lt;=BA$3+6),"▼",IF(AND($E139&gt;=BA$3,$E139&lt;=BA$3+6),$A139,"")))</f>
        <v/>
      </c>
      <c r="BB139" s="47" t="str">
        <f aca="false">IF($A139="","",IF(AND(INDEX(工程マスタ!$I$5:$I$154,$A139)="○",$E139&gt;=BB$3,$E139&lt;=BB$3+6),"▼",IF(AND($E139&gt;=BB$3,$E139&lt;=BB$3+6),$A139,"")))</f>
        <v/>
      </c>
      <c r="BC139" s="47" t="str">
        <f aca="false">IF($A139="","",IF(AND(INDEX(工程マスタ!$I$5:$I$154,$A139)="○",$E139&gt;=BC$3,$E139&lt;=BC$3+6),"▼",IF(AND($E139&gt;=BC$3,$E139&lt;=BC$3+6),$A139,"")))</f>
        <v/>
      </c>
      <c r="BD139" s="47" t="str">
        <f aca="false">IF($A139="","",IF(AND(INDEX(工程マスタ!$I$5:$I$154,$A139)="○",$E139&gt;=BD$3,$E139&lt;=BD$3+6),"▼",IF(AND($E139&gt;=BD$3,$E139&lt;=BD$3+6),$A139,"")))</f>
        <v/>
      </c>
      <c r="BE139" s="47" t="str">
        <f aca="false">IF($A139="","",IF(AND(INDEX(工程マスタ!$I$5:$I$154,$A139)="○",$E139&gt;=BE$3,$E139&lt;=BE$3+6),"▼",IF(AND($E139&gt;=BE$3,$E139&lt;=BE$3+6),$A139,"")))</f>
        <v/>
      </c>
      <c r="BF139" s="47" t="str">
        <f aca="false">IF($A139="","",IF(AND(INDEX(工程マスタ!$I$5:$I$154,$A139)="○",$E139&gt;=BF$3,$E139&lt;=BF$3+6),"▼",IF(AND($E139&gt;=BF$3,$E139&lt;=BF$3+6),$A139,"")))</f>
        <v/>
      </c>
      <c r="BG139" s="47" t="str">
        <f aca="false">IF($A139="","",IF(AND(INDEX(工程マスタ!$I$5:$I$154,$A139)="○",$E139&gt;=BG$3,$E139&lt;=BG$3+6),"▼",IF(AND($E139&gt;=BG$3,$E139&lt;=BG$3+6),$A139,"")))</f>
        <v/>
      </c>
      <c r="BH139" s="47" t="str">
        <f aca="false">IF($A139="","",IF(AND(INDEX(工程マスタ!$I$5:$I$154,$A139)="○",$E139&gt;=BH$3,$E139&lt;=BH$3+6),"▼",IF(AND($E139&gt;=BH$3,$E139&lt;=BH$3+6),$A139,"")))</f>
        <v/>
      </c>
      <c r="BI139" s="47" t="str">
        <f aca="false">IF($A139="","",IF(AND(INDEX(工程マスタ!$I$5:$I$154,$A139)="○",$E139&gt;=BI$3,$E139&lt;=BI$3+6),"▼",IF(AND($E139&gt;=BI$3,$E139&lt;=BI$3+6),$A139,"")))</f>
        <v/>
      </c>
      <c r="BJ139" s="47" t="str">
        <f aca="false">IF($A139="","",IF(AND(INDEX(工程マスタ!$I$5:$I$154,$A139)="○",$E139&gt;=BJ$3,$E139&lt;=BJ$3+6),"▼",IF(AND($E139&gt;=BJ$3,$E139&lt;=BJ$3+6),$A139,"")))</f>
        <v/>
      </c>
    </row>
    <row r="140" customFormat="false" ht="15" hidden="false" customHeight="false" outlineLevel="0" collapsed="false">
      <c r="A140" s="28" t="str">
        <f aca="false">IF(工程マスタ!$C138="","",工程マスタ!$A138)</f>
        <v/>
      </c>
      <c r="B140" s="46" t="str">
        <f aca="false">IF($A140="","",工程マスタ!$C138)</f>
        <v/>
      </c>
      <c r="C140" s="28" t="str">
        <f aca="false">IF($A140="","",MAX(1,工程マスタ!$G138))</f>
        <v/>
      </c>
      <c r="D140" s="28" t="str">
        <f aca="false">IF($A140="","",_xlfn.TEXTJOIN(",",TRUE(),工程マスタ!$N138:$P138))</f>
        <v/>
      </c>
      <c r="E140" s="29" t="str">
        <f aca="false">IF($A140="","",IF(COUNT(工程マスタ!$N138:$P138)=0,設定!$B$8,MAX(IF(工程マスタ!$N138="",0,INDEX($F$7:$F$156,工程マスタ!$N138)),IF(工程マスタ!$O138="",0,INDEX($F$7:$F$156,工程マスタ!$O138)),IF(工程マスタ!$P138="",0,INDEX($F$7:$F$156,工程マスタ!$P138)))+1))</f>
        <v/>
      </c>
      <c r="F140" s="29" t="str">
        <f aca="false">IF($A140="","",$E140+$C140-1)</f>
        <v/>
      </c>
      <c r="G140" s="29" t="str">
        <f aca="false">IF($A140="","",$H140-$C140+1)</f>
        <v/>
      </c>
      <c r="H140" s="29" t="str">
        <f aca="false" t="array" ref="H140:H140">IF($A140="","",IF(SUMPRODUCT((工程マスタ!$N$139:$N$154=$A140)*1)+SUMPRODUCT((工程マスタ!$O$139:$O$154=$A140)*1)+SUMPRODUCT((工程マスタ!$P$139:$P$154=$A140)*1)=0,MAX($F$7:$F$156),MIN(IF((工程マスタ!$N$139:$N$154=$A140)+(工程マスタ!$O$139:$O$154=$A140)+(工程マスタ!$P$139:$P$154=$A140),$G141:$G$156))-1))</f>
        <v/>
      </c>
      <c r="I140" s="28" t="str">
        <f aca="false">IF($A140="","",$G140-$E140)</f>
        <v/>
      </c>
      <c r="J140" s="28" t="str">
        <f aca="false">IF($A140="","",IF($I140&lt;=0,"●",""))</f>
        <v/>
      </c>
      <c r="K140" s="47" t="str">
        <f aca="false">IF($A140="","",IF(AND(INDEX(工程マスタ!$I$5:$I$154,$A140)="○",$E140&gt;=K$3,$E140&lt;=K$3+6),"▼",IF(AND($E140&gt;=K$3,$E140&lt;=K$3+6),$A140,"")))</f>
        <v/>
      </c>
      <c r="L140" s="47" t="str">
        <f aca="false">IF($A140="","",IF(AND(INDEX(工程マスタ!$I$5:$I$154,$A140)="○",$E140&gt;=L$3,$E140&lt;=L$3+6),"▼",IF(AND($E140&gt;=L$3,$E140&lt;=L$3+6),$A140,"")))</f>
        <v/>
      </c>
      <c r="M140" s="47" t="str">
        <f aca="false">IF($A140="","",IF(AND(INDEX(工程マスタ!$I$5:$I$154,$A140)="○",$E140&gt;=M$3,$E140&lt;=M$3+6),"▼",IF(AND($E140&gt;=M$3,$E140&lt;=M$3+6),$A140,"")))</f>
        <v/>
      </c>
      <c r="N140" s="47" t="str">
        <f aca="false">IF($A140="","",IF(AND(INDEX(工程マスタ!$I$5:$I$154,$A140)="○",$E140&gt;=N$3,$E140&lt;=N$3+6),"▼",IF(AND($E140&gt;=N$3,$E140&lt;=N$3+6),$A140,"")))</f>
        <v/>
      </c>
      <c r="O140" s="47" t="str">
        <f aca="false">IF($A140="","",IF(AND(INDEX(工程マスタ!$I$5:$I$154,$A140)="○",$E140&gt;=O$3,$E140&lt;=O$3+6),"▼",IF(AND($E140&gt;=O$3,$E140&lt;=O$3+6),$A140,"")))</f>
        <v/>
      </c>
      <c r="P140" s="47" t="str">
        <f aca="false">IF($A140="","",IF(AND(INDEX(工程マスタ!$I$5:$I$154,$A140)="○",$E140&gt;=P$3,$E140&lt;=P$3+6),"▼",IF(AND($E140&gt;=P$3,$E140&lt;=P$3+6),$A140,"")))</f>
        <v/>
      </c>
      <c r="Q140" s="47" t="str">
        <f aca="false">IF($A140="","",IF(AND(INDEX(工程マスタ!$I$5:$I$154,$A140)="○",$E140&gt;=Q$3,$E140&lt;=Q$3+6),"▼",IF(AND($E140&gt;=Q$3,$E140&lt;=Q$3+6),$A140,"")))</f>
        <v/>
      </c>
      <c r="R140" s="47" t="str">
        <f aca="false">IF($A140="","",IF(AND(INDEX(工程マスタ!$I$5:$I$154,$A140)="○",$E140&gt;=R$3,$E140&lt;=R$3+6),"▼",IF(AND($E140&gt;=R$3,$E140&lt;=R$3+6),$A140,"")))</f>
        <v/>
      </c>
      <c r="S140" s="47" t="str">
        <f aca="false">IF($A140="","",IF(AND(INDEX(工程マスタ!$I$5:$I$154,$A140)="○",$E140&gt;=S$3,$E140&lt;=S$3+6),"▼",IF(AND($E140&gt;=S$3,$E140&lt;=S$3+6),$A140,"")))</f>
        <v/>
      </c>
      <c r="T140" s="47" t="str">
        <f aca="false">IF($A140="","",IF(AND(INDEX(工程マスタ!$I$5:$I$154,$A140)="○",$E140&gt;=T$3,$E140&lt;=T$3+6),"▼",IF(AND($E140&gt;=T$3,$E140&lt;=T$3+6),$A140,"")))</f>
        <v/>
      </c>
      <c r="U140" s="47" t="str">
        <f aca="false">IF($A140="","",IF(AND(INDEX(工程マスタ!$I$5:$I$154,$A140)="○",$E140&gt;=U$3,$E140&lt;=U$3+6),"▼",IF(AND($E140&gt;=U$3,$E140&lt;=U$3+6),$A140,"")))</f>
        <v/>
      </c>
      <c r="V140" s="47" t="str">
        <f aca="false">IF($A140="","",IF(AND(INDEX(工程マスタ!$I$5:$I$154,$A140)="○",$E140&gt;=V$3,$E140&lt;=V$3+6),"▼",IF(AND($E140&gt;=V$3,$E140&lt;=V$3+6),$A140,"")))</f>
        <v/>
      </c>
      <c r="W140" s="47" t="str">
        <f aca="false">IF($A140="","",IF(AND(INDEX(工程マスタ!$I$5:$I$154,$A140)="○",$E140&gt;=W$3,$E140&lt;=W$3+6),"▼",IF(AND($E140&gt;=W$3,$E140&lt;=W$3+6),$A140,"")))</f>
        <v/>
      </c>
      <c r="X140" s="47" t="str">
        <f aca="false">IF($A140="","",IF(AND(INDEX(工程マスタ!$I$5:$I$154,$A140)="○",$E140&gt;=X$3,$E140&lt;=X$3+6),"▼",IF(AND($E140&gt;=X$3,$E140&lt;=X$3+6),$A140,"")))</f>
        <v/>
      </c>
      <c r="Y140" s="47" t="str">
        <f aca="false">IF($A140="","",IF(AND(INDEX(工程マスタ!$I$5:$I$154,$A140)="○",$E140&gt;=Y$3,$E140&lt;=Y$3+6),"▼",IF(AND($E140&gt;=Y$3,$E140&lt;=Y$3+6),$A140,"")))</f>
        <v/>
      </c>
      <c r="Z140" s="47" t="str">
        <f aca="false">IF($A140="","",IF(AND(INDEX(工程マスタ!$I$5:$I$154,$A140)="○",$E140&gt;=Z$3,$E140&lt;=Z$3+6),"▼",IF(AND($E140&gt;=Z$3,$E140&lt;=Z$3+6),$A140,"")))</f>
        <v/>
      </c>
      <c r="AA140" s="47" t="str">
        <f aca="false">IF($A140="","",IF(AND(INDEX(工程マスタ!$I$5:$I$154,$A140)="○",$E140&gt;=AA$3,$E140&lt;=AA$3+6),"▼",IF(AND($E140&gt;=AA$3,$E140&lt;=AA$3+6),$A140,"")))</f>
        <v/>
      </c>
      <c r="AB140" s="47" t="str">
        <f aca="false">IF($A140="","",IF(AND(INDEX(工程マスタ!$I$5:$I$154,$A140)="○",$E140&gt;=AB$3,$E140&lt;=AB$3+6),"▼",IF(AND($E140&gt;=AB$3,$E140&lt;=AB$3+6),$A140,"")))</f>
        <v/>
      </c>
      <c r="AC140" s="47" t="str">
        <f aca="false">IF($A140="","",IF(AND(INDEX(工程マスタ!$I$5:$I$154,$A140)="○",$E140&gt;=AC$3,$E140&lt;=AC$3+6),"▼",IF(AND($E140&gt;=AC$3,$E140&lt;=AC$3+6),$A140,"")))</f>
        <v/>
      </c>
      <c r="AD140" s="47" t="str">
        <f aca="false">IF($A140="","",IF(AND(INDEX(工程マスタ!$I$5:$I$154,$A140)="○",$E140&gt;=AD$3,$E140&lt;=AD$3+6),"▼",IF(AND($E140&gt;=AD$3,$E140&lt;=AD$3+6),$A140,"")))</f>
        <v/>
      </c>
      <c r="AE140" s="47" t="str">
        <f aca="false">IF($A140="","",IF(AND(INDEX(工程マスタ!$I$5:$I$154,$A140)="○",$E140&gt;=AE$3,$E140&lt;=AE$3+6),"▼",IF(AND($E140&gt;=AE$3,$E140&lt;=AE$3+6),$A140,"")))</f>
        <v/>
      </c>
      <c r="AF140" s="47" t="str">
        <f aca="false">IF($A140="","",IF(AND(INDEX(工程マスタ!$I$5:$I$154,$A140)="○",$E140&gt;=AF$3,$E140&lt;=AF$3+6),"▼",IF(AND($E140&gt;=AF$3,$E140&lt;=AF$3+6),$A140,"")))</f>
        <v/>
      </c>
      <c r="AG140" s="47" t="str">
        <f aca="false">IF($A140="","",IF(AND(INDEX(工程マスタ!$I$5:$I$154,$A140)="○",$E140&gt;=AG$3,$E140&lt;=AG$3+6),"▼",IF(AND($E140&gt;=AG$3,$E140&lt;=AG$3+6),$A140,"")))</f>
        <v/>
      </c>
      <c r="AH140" s="47" t="str">
        <f aca="false">IF($A140="","",IF(AND(INDEX(工程マスタ!$I$5:$I$154,$A140)="○",$E140&gt;=AH$3,$E140&lt;=AH$3+6),"▼",IF(AND($E140&gt;=AH$3,$E140&lt;=AH$3+6),$A140,"")))</f>
        <v/>
      </c>
      <c r="AI140" s="47" t="str">
        <f aca="false">IF($A140="","",IF(AND(INDEX(工程マスタ!$I$5:$I$154,$A140)="○",$E140&gt;=AI$3,$E140&lt;=AI$3+6),"▼",IF(AND($E140&gt;=AI$3,$E140&lt;=AI$3+6),$A140,"")))</f>
        <v/>
      </c>
      <c r="AJ140" s="47" t="str">
        <f aca="false">IF($A140="","",IF(AND(INDEX(工程マスタ!$I$5:$I$154,$A140)="○",$E140&gt;=AJ$3,$E140&lt;=AJ$3+6),"▼",IF(AND($E140&gt;=AJ$3,$E140&lt;=AJ$3+6),$A140,"")))</f>
        <v/>
      </c>
      <c r="AK140" s="47" t="str">
        <f aca="false">IF($A140="","",IF(AND(INDEX(工程マスタ!$I$5:$I$154,$A140)="○",$E140&gt;=AK$3,$E140&lt;=AK$3+6),"▼",IF(AND($E140&gt;=AK$3,$E140&lt;=AK$3+6),$A140,"")))</f>
        <v/>
      </c>
      <c r="AL140" s="47" t="str">
        <f aca="false">IF($A140="","",IF(AND(INDEX(工程マスタ!$I$5:$I$154,$A140)="○",$E140&gt;=AL$3,$E140&lt;=AL$3+6),"▼",IF(AND($E140&gt;=AL$3,$E140&lt;=AL$3+6),$A140,"")))</f>
        <v/>
      </c>
      <c r="AM140" s="47" t="str">
        <f aca="false">IF($A140="","",IF(AND(INDEX(工程マスタ!$I$5:$I$154,$A140)="○",$E140&gt;=AM$3,$E140&lt;=AM$3+6),"▼",IF(AND($E140&gt;=AM$3,$E140&lt;=AM$3+6),$A140,"")))</f>
        <v/>
      </c>
      <c r="AN140" s="47" t="str">
        <f aca="false">IF($A140="","",IF(AND(INDEX(工程マスタ!$I$5:$I$154,$A140)="○",$E140&gt;=AN$3,$E140&lt;=AN$3+6),"▼",IF(AND($E140&gt;=AN$3,$E140&lt;=AN$3+6),$A140,"")))</f>
        <v/>
      </c>
      <c r="AO140" s="47" t="str">
        <f aca="false">IF($A140="","",IF(AND(INDEX(工程マスタ!$I$5:$I$154,$A140)="○",$E140&gt;=AO$3,$E140&lt;=AO$3+6),"▼",IF(AND($E140&gt;=AO$3,$E140&lt;=AO$3+6),$A140,"")))</f>
        <v/>
      </c>
      <c r="AP140" s="47" t="str">
        <f aca="false">IF($A140="","",IF(AND(INDEX(工程マスタ!$I$5:$I$154,$A140)="○",$E140&gt;=AP$3,$E140&lt;=AP$3+6),"▼",IF(AND($E140&gt;=AP$3,$E140&lt;=AP$3+6),$A140,"")))</f>
        <v/>
      </c>
      <c r="AQ140" s="47" t="str">
        <f aca="false">IF($A140="","",IF(AND(INDEX(工程マスタ!$I$5:$I$154,$A140)="○",$E140&gt;=AQ$3,$E140&lt;=AQ$3+6),"▼",IF(AND($E140&gt;=AQ$3,$E140&lt;=AQ$3+6),$A140,"")))</f>
        <v/>
      </c>
      <c r="AR140" s="47" t="str">
        <f aca="false">IF($A140="","",IF(AND(INDEX(工程マスタ!$I$5:$I$154,$A140)="○",$E140&gt;=AR$3,$E140&lt;=AR$3+6),"▼",IF(AND($E140&gt;=AR$3,$E140&lt;=AR$3+6),$A140,"")))</f>
        <v/>
      </c>
      <c r="AS140" s="47" t="str">
        <f aca="false">IF($A140="","",IF(AND(INDEX(工程マスタ!$I$5:$I$154,$A140)="○",$E140&gt;=AS$3,$E140&lt;=AS$3+6),"▼",IF(AND($E140&gt;=AS$3,$E140&lt;=AS$3+6),$A140,"")))</f>
        <v/>
      </c>
      <c r="AT140" s="47" t="str">
        <f aca="false">IF($A140="","",IF(AND(INDEX(工程マスタ!$I$5:$I$154,$A140)="○",$E140&gt;=AT$3,$E140&lt;=AT$3+6),"▼",IF(AND($E140&gt;=AT$3,$E140&lt;=AT$3+6),$A140,"")))</f>
        <v/>
      </c>
      <c r="AU140" s="47" t="str">
        <f aca="false">IF($A140="","",IF(AND(INDEX(工程マスタ!$I$5:$I$154,$A140)="○",$E140&gt;=AU$3,$E140&lt;=AU$3+6),"▼",IF(AND($E140&gt;=AU$3,$E140&lt;=AU$3+6),$A140,"")))</f>
        <v/>
      </c>
      <c r="AV140" s="47" t="str">
        <f aca="false">IF($A140="","",IF(AND(INDEX(工程マスタ!$I$5:$I$154,$A140)="○",$E140&gt;=AV$3,$E140&lt;=AV$3+6),"▼",IF(AND($E140&gt;=AV$3,$E140&lt;=AV$3+6),$A140,"")))</f>
        <v/>
      </c>
      <c r="AW140" s="47" t="str">
        <f aca="false">IF($A140="","",IF(AND(INDEX(工程マスタ!$I$5:$I$154,$A140)="○",$E140&gt;=AW$3,$E140&lt;=AW$3+6),"▼",IF(AND($E140&gt;=AW$3,$E140&lt;=AW$3+6),$A140,"")))</f>
        <v/>
      </c>
      <c r="AX140" s="47" t="str">
        <f aca="false">IF($A140="","",IF(AND(INDEX(工程マスタ!$I$5:$I$154,$A140)="○",$E140&gt;=AX$3,$E140&lt;=AX$3+6),"▼",IF(AND($E140&gt;=AX$3,$E140&lt;=AX$3+6),$A140,"")))</f>
        <v/>
      </c>
      <c r="AY140" s="47" t="str">
        <f aca="false">IF($A140="","",IF(AND(INDEX(工程マスタ!$I$5:$I$154,$A140)="○",$E140&gt;=AY$3,$E140&lt;=AY$3+6),"▼",IF(AND($E140&gt;=AY$3,$E140&lt;=AY$3+6),$A140,"")))</f>
        <v/>
      </c>
      <c r="AZ140" s="47" t="str">
        <f aca="false">IF($A140="","",IF(AND(INDEX(工程マスタ!$I$5:$I$154,$A140)="○",$E140&gt;=AZ$3,$E140&lt;=AZ$3+6),"▼",IF(AND($E140&gt;=AZ$3,$E140&lt;=AZ$3+6),$A140,"")))</f>
        <v/>
      </c>
      <c r="BA140" s="47" t="str">
        <f aca="false">IF($A140="","",IF(AND(INDEX(工程マスタ!$I$5:$I$154,$A140)="○",$E140&gt;=BA$3,$E140&lt;=BA$3+6),"▼",IF(AND($E140&gt;=BA$3,$E140&lt;=BA$3+6),$A140,"")))</f>
        <v/>
      </c>
      <c r="BB140" s="47" t="str">
        <f aca="false">IF($A140="","",IF(AND(INDEX(工程マスタ!$I$5:$I$154,$A140)="○",$E140&gt;=BB$3,$E140&lt;=BB$3+6),"▼",IF(AND($E140&gt;=BB$3,$E140&lt;=BB$3+6),$A140,"")))</f>
        <v/>
      </c>
      <c r="BC140" s="47" t="str">
        <f aca="false">IF($A140="","",IF(AND(INDEX(工程マスタ!$I$5:$I$154,$A140)="○",$E140&gt;=BC$3,$E140&lt;=BC$3+6),"▼",IF(AND($E140&gt;=BC$3,$E140&lt;=BC$3+6),$A140,"")))</f>
        <v/>
      </c>
      <c r="BD140" s="47" t="str">
        <f aca="false">IF($A140="","",IF(AND(INDEX(工程マスタ!$I$5:$I$154,$A140)="○",$E140&gt;=BD$3,$E140&lt;=BD$3+6),"▼",IF(AND($E140&gt;=BD$3,$E140&lt;=BD$3+6),$A140,"")))</f>
        <v/>
      </c>
      <c r="BE140" s="47" t="str">
        <f aca="false">IF($A140="","",IF(AND(INDEX(工程マスタ!$I$5:$I$154,$A140)="○",$E140&gt;=BE$3,$E140&lt;=BE$3+6),"▼",IF(AND($E140&gt;=BE$3,$E140&lt;=BE$3+6),$A140,"")))</f>
        <v/>
      </c>
      <c r="BF140" s="47" t="str">
        <f aca="false">IF($A140="","",IF(AND(INDEX(工程マスタ!$I$5:$I$154,$A140)="○",$E140&gt;=BF$3,$E140&lt;=BF$3+6),"▼",IF(AND($E140&gt;=BF$3,$E140&lt;=BF$3+6),$A140,"")))</f>
        <v/>
      </c>
      <c r="BG140" s="47" t="str">
        <f aca="false">IF($A140="","",IF(AND(INDEX(工程マスタ!$I$5:$I$154,$A140)="○",$E140&gt;=BG$3,$E140&lt;=BG$3+6),"▼",IF(AND($E140&gt;=BG$3,$E140&lt;=BG$3+6),$A140,"")))</f>
        <v/>
      </c>
      <c r="BH140" s="47" t="str">
        <f aca="false">IF($A140="","",IF(AND(INDEX(工程マスタ!$I$5:$I$154,$A140)="○",$E140&gt;=BH$3,$E140&lt;=BH$3+6),"▼",IF(AND($E140&gt;=BH$3,$E140&lt;=BH$3+6),$A140,"")))</f>
        <v/>
      </c>
      <c r="BI140" s="47" t="str">
        <f aca="false">IF($A140="","",IF(AND(INDEX(工程マスタ!$I$5:$I$154,$A140)="○",$E140&gt;=BI$3,$E140&lt;=BI$3+6),"▼",IF(AND($E140&gt;=BI$3,$E140&lt;=BI$3+6),$A140,"")))</f>
        <v/>
      </c>
      <c r="BJ140" s="47" t="str">
        <f aca="false">IF($A140="","",IF(AND(INDEX(工程マスタ!$I$5:$I$154,$A140)="○",$E140&gt;=BJ$3,$E140&lt;=BJ$3+6),"▼",IF(AND($E140&gt;=BJ$3,$E140&lt;=BJ$3+6),$A140,"")))</f>
        <v/>
      </c>
    </row>
    <row r="141" customFormat="false" ht="15" hidden="false" customHeight="false" outlineLevel="0" collapsed="false">
      <c r="A141" s="28" t="str">
        <f aca="false">IF(工程マスタ!$C139="","",工程マスタ!$A139)</f>
        <v/>
      </c>
      <c r="B141" s="46" t="str">
        <f aca="false">IF($A141="","",工程マスタ!$C139)</f>
        <v/>
      </c>
      <c r="C141" s="28" t="str">
        <f aca="false">IF($A141="","",MAX(1,工程マスタ!$G139))</f>
        <v/>
      </c>
      <c r="D141" s="28" t="str">
        <f aca="false">IF($A141="","",_xlfn.TEXTJOIN(",",TRUE(),工程マスタ!$N139:$P139))</f>
        <v/>
      </c>
      <c r="E141" s="29" t="str">
        <f aca="false">IF($A141="","",IF(COUNT(工程マスタ!$N139:$P139)=0,設定!$B$8,MAX(IF(工程マスタ!$N139="",0,INDEX($F$7:$F$156,工程マスタ!$N139)),IF(工程マスタ!$O139="",0,INDEX($F$7:$F$156,工程マスタ!$O139)),IF(工程マスタ!$P139="",0,INDEX($F$7:$F$156,工程マスタ!$P139)))+1))</f>
        <v/>
      </c>
      <c r="F141" s="29" t="str">
        <f aca="false">IF($A141="","",$E141+$C141-1)</f>
        <v/>
      </c>
      <c r="G141" s="29" t="str">
        <f aca="false">IF($A141="","",$H141-$C141+1)</f>
        <v/>
      </c>
      <c r="H141" s="29" t="str">
        <f aca="false" t="array" ref="H141:H141">IF($A141="","",IF(SUMPRODUCT((工程マスタ!$N$140:$N$154=$A141)*1)+SUMPRODUCT((工程マスタ!$O$140:$O$154=$A141)*1)+SUMPRODUCT((工程マスタ!$P$140:$P$154=$A141)*1)=0,MAX($F$7:$F$156),MIN(IF((工程マスタ!$N$140:$N$154=$A141)+(工程マスタ!$O$140:$O$154=$A141)+(工程マスタ!$P$140:$P$154=$A141),$G142:$G$156))-1))</f>
        <v/>
      </c>
      <c r="I141" s="28" t="str">
        <f aca="false">IF($A141="","",$G141-$E141)</f>
        <v/>
      </c>
      <c r="J141" s="28" t="str">
        <f aca="false">IF($A141="","",IF($I141&lt;=0,"●",""))</f>
        <v/>
      </c>
      <c r="K141" s="47" t="str">
        <f aca="false">IF($A141="","",IF(AND(INDEX(工程マスタ!$I$5:$I$154,$A141)="○",$E141&gt;=K$3,$E141&lt;=K$3+6),"▼",IF(AND($E141&gt;=K$3,$E141&lt;=K$3+6),$A141,"")))</f>
        <v/>
      </c>
      <c r="L141" s="47" t="str">
        <f aca="false">IF($A141="","",IF(AND(INDEX(工程マスタ!$I$5:$I$154,$A141)="○",$E141&gt;=L$3,$E141&lt;=L$3+6),"▼",IF(AND($E141&gt;=L$3,$E141&lt;=L$3+6),$A141,"")))</f>
        <v/>
      </c>
      <c r="M141" s="47" t="str">
        <f aca="false">IF($A141="","",IF(AND(INDEX(工程マスタ!$I$5:$I$154,$A141)="○",$E141&gt;=M$3,$E141&lt;=M$3+6),"▼",IF(AND($E141&gt;=M$3,$E141&lt;=M$3+6),$A141,"")))</f>
        <v/>
      </c>
      <c r="N141" s="47" t="str">
        <f aca="false">IF($A141="","",IF(AND(INDEX(工程マスタ!$I$5:$I$154,$A141)="○",$E141&gt;=N$3,$E141&lt;=N$3+6),"▼",IF(AND($E141&gt;=N$3,$E141&lt;=N$3+6),$A141,"")))</f>
        <v/>
      </c>
      <c r="O141" s="47" t="str">
        <f aca="false">IF($A141="","",IF(AND(INDEX(工程マスタ!$I$5:$I$154,$A141)="○",$E141&gt;=O$3,$E141&lt;=O$3+6),"▼",IF(AND($E141&gt;=O$3,$E141&lt;=O$3+6),$A141,"")))</f>
        <v/>
      </c>
      <c r="P141" s="47" t="str">
        <f aca="false">IF($A141="","",IF(AND(INDEX(工程マスタ!$I$5:$I$154,$A141)="○",$E141&gt;=P$3,$E141&lt;=P$3+6),"▼",IF(AND($E141&gt;=P$3,$E141&lt;=P$3+6),$A141,"")))</f>
        <v/>
      </c>
      <c r="Q141" s="47" t="str">
        <f aca="false">IF($A141="","",IF(AND(INDEX(工程マスタ!$I$5:$I$154,$A141)="○",$E141&gt;=Q$3,$E141&lt;=Q$3+6),"▼",IF(AND($E141&gt;=Q$3,$E141&lt;=Q$3+6),$A141,"")))</f>
        <v/>
      </c>
      <c r="R141" s="47" t="str">
        <f aca="false">IF($A141="","",IF(AND(INDEX(工程マスタ!$I$5:$I$154,$A141)="○",$E141&gt;=R$3,$E141&lt;=R$3+6),"▼",IF(AND($E141&gt;=R$3,$E141&lt;=R$3+6),$A141,"")))</f>
        <v/>
      </c>
      <c r="S141" s="47" t="str">
        <f aca="false">IF($A141="","",IF(AND(INDEX(工程マスタ!$I$5:$I$154,$A141)="○",$E141&gt;=S$3,$E141&lt;=S$3+6),"▼",IF(AND($E141&gt;=S$3,$E141&lt;=S$3+6),$A141,"")))</f>
        <v/>
      </c>
      <c r="T141" s="47" t="str">
        <f aca="false">IF($A141="","",IF(AND(INDEX(工程マスタ!$I$5:$I$154,$A141)="○",$E141&gt;=T$3,$E141&lt;=T$3+6),"▼",IF(AND($E141&gt;=T$3,$E141&lt;=T$3+6),$A141,"")))</f>
        <v/>
      </c>
      <c r="U141" s="47" t="str">
        <f aca="false">IF($A141="","",IF(AND(INDEX(工程マスタ!$I$5:$I$154,$A141)="○",$E141&gt;=U$3,$E141&lt;=U$3+6),"▼",IF(AND($E141&gt;=U$3,$E141&lt;=U$3+6),$A141,"")))</f>
        <v/>
      </c>
      <c r="V141" s="47" t="str">
        <f aca="false">IF($A141="","",IF(AND(INDEX(工程マスタ!$I$5:$I$154,$A141)="○",$E141&gt;=V$3,$E141&lt;=V$3+6),"▼",IF(AND($E141&gt;=V$3,$E141&lt;=V$3+6),$A141,"")))</f>
        <v/>
      </c>
      <c r="W141" s="47" t="str">
        <f aca="false">IF($A141="","",IF(AND(INDEX(工程マスタ!$I$5:$I$154,$A141)="○",$E141&gt;=W$3,$E141&lt;=W$3+6),"▼",IF(AND($E141&gt;=W$3,$E141&lt;=W$3+6),$A141,"")))</f>
        <v/>
      </c>
      <c r="X141" s="47" t="str">
        <f aca="false">IF($A141="","",IF(AND(INDEX(工程マスタ!$I$5:$I$154,$A141)="○",$E141&gt;=X$3,$E141&lt;=X$3+6),"▼",IF(AND($E141&gt;=X$3,$E141&lt;=X$3+6),$A141,"")))</f>
        <v/>
      </c>
      <c r="Y141" s="47" t="str">
        <f aca="false">IF($A141="","",IF(AND(INDEX(工程マスタ!$I$5:$I$154,$A141)="○",$E141&gt;=Y$3,$E141&lt;=Y$3+6),"▼",IF(AND($E141&gt;=Y$3,$E141&lt;=Y$3+6),$A141,"")))</f>
        <v/>
      </c>
      <c r="Z141" s="47" t="str">
        <f aca="false">IF($A141="","",IF(AND(INDEX(工程マスタ!$I$5:$I$154,$A141)="○",$E141&gt;=Z$3,$E141&lt;=Z$3+6),"▼",IF(AND($E141&gt;=Z$3,$E141&lt;=Z$3+6),$A141,"")))</f>
        <v/>
      </c>
      <c r="AA141" s="47" t="str">
        <f aca="false">IF($A141="","",IF(AND(INDEX(工程マスタ!$I$5:$I$154,$A141)="○",$E141&gt;=AA$3,$E141&lt;=AA$3+6),"▼",IF(AND($E141&gt;=AA$3,$E141&lt;=AA$3+6),$A141,"")))</f>
        <v/>
      </c>
      <c r="AB141" s="47" t="str">
        <f aca="false">IF($A141="","",IF(AND(INDEX(工程マスタ!$I$5:$I$154,$A141)="○",$E141&gt;=AB$3,$E141&lt;=AB$3+6),"▼",IF(AND($E141&gt;=AB$3,$E141&lt;=AB$3+6),$A141,"")))</f>
        <v/>
      </c>
      <c r="AC141" s="47" t="str">
        <f aca="false">IF($A141="","",IF(AND(INDEX(工程マスタ!$I$5:$I$154,$A141)="○",$E141&gt;=AC$3,$E141&lt;=AC$3+6),"▼",IF(AND($E141&gt;=AC$3,$E141&lt;=AC$3+6),$A141,"")))</f>
        <v/>
      </c>
      <c r="AD141" s="47" t="str">
        <f aca="false">IF($A141="","",IF(AND(INDEX(工程マスタ!$I$5:$I$154,$A141)="○",$E141&gt;=AD$3,$E141&lt;=AD$3+6),"▼",IF(AND($E141&gt;=AD$3,$E141&lt;=AD$3+6),$A141,"")))</f>
        <v/>
      </c>
      <c r="AE141" s="47" t="str">
        <f aca="false">IF($A141="","",IF(AND(INDEX(工程マスタ!$I$5:$I$154,$A141)="○",$E141&gt;=AE$3,$E141&lt;=AE$3+6),"▼",IF(AND($E141&gt;=AE$3,$E141&lt;=AE$3+6),$A141,"")))</f>
        <v/>
      </c>
      <c r="AF141" s="47" t="str">
        <f aca="false">IF($A141="","",IF(AND(INDEX(工程マスタ!$I$5:$I$154,$A141)="○",$E141&gt;=AF$3,$E141&lt;=AF$3+6),"▼",IF(AND($E141&gt;=AF$3,$E141&lt;=AF$3+6),$A141,"")))</f>
        <v/>
      </c>
      <c r="AG141" s="47" t="str">
        <f aca="false">IF($A141="","",IF(AND(INDEX(工程マスタ!$I$5:$I$154,$A141)="○",$E141&gt;=AG$3,$E141&lt;=AG$3+6),"▼",IF(AND($E141&gt;=AG$3,$E141&lt;=AG$3+6),$A141,"")))</f>
        <v/>
      </c>
      <c r="AH141" s="47" t="str">
        <f aca="false">IF($A141="","",IF(AND(INDEX(工程マスタ!$I$5:$I$154,$A141)="○",$E141&gt;=AH$3,$E141&lt;=AH$3+6),"▼",IF(AND($E141&gt;=AH$3,$E141&lt;=AH$3+6),$A141,"")))</f>
        <v/>
      </c>
      <c r="AI141" s="47" t="str">
        <f aca="false">IF($A141="","",IF(AND(INDEX(工程マスタ!$I$5:$I$154,$A141)="○",$E141&gt;=AI$3,$E141&lt;=AI$3+6),"▼",IF(AND($E141&gt;=AI$3,$E141&lt;=AI$3+6),$A141,"")))</f>
        <v/>
      </c>
      <c r="AJ141" s="47" t="str">
        <f aca="false">IF($A141="","",IF(AND(INDEX(工程マスタ!$I$5:$I$154,$A141)="○",$E141&gt;=AJ$3,$E141&lt;=AJ$3+6),"▼",IF(AND($E141&gt;=AJ$3,$E141&lt;=AJ$3+6),$A141,"")))</f>
        <v/>
      </c>
      <c r="AK141" s="47" t="str">
        <f aca="false">IF($A141="","",IF(AND(INDEX(工程マスタ!$I$5:$I$154,$A141)="○",$E141&gt;=AK$3,$E141&lt;=AK$3+6),"▼",IF(AND($E141&gt;=AK$3,$E141&lt;=AK$3+6),$A141,"")))</f>
        <v/>
      </c>
      <c r="AL141" s="47" t="str">
        <f aca="false">IF($A141="","",IF(AND(INDEX(工程マスタ!$I$5:$I$154,$A141)="○",$E141&gt;=AL$3,$E141&lt;=AL$3+6),"▼",IF(AND($E141&gt;=AL$3,$E141&lt;=AL$3+6),$A141,"")))</f>
        <v/>
      </c>
      <c r="AM141" s="47" t="str">
        <f aca="false">IF($A141="","",IF(AND(INDEX(工程マスタ!$I$5:$I$154,$A141)="○",$E141&gt;=AM$3,$E141&lt;=AM$3+6),"▼",IF(AND($E141&gt;=AM$3,$E141&lt;=AM$3+6),$A141,"")))</f>
        <v/>
      </c>
      <c r="AN141" s="47" t="str">
        <f aca="false">IF($A141="","",IF(AND(INDEX(工程マスタ!$I$5:$I$154,$A141)="○",$E141&gt;=AN$3,$E141&lt;=AN$3+6),"▼",IF(AND($E141&gt;=AN$3,$E141&lt;=AN$3+6),$A141,"")))</f>
        <v/>
      </c>
      <c r="AO141" s="47" t="str">
        <f aca="false">IF($A141="","",IF(AND(INDEX(工程マスタ!$I$5:$I$154,$A141)="○",$E141&gt;=AO$3,$E141&lt;=AO$3+6),"▼",IF(AND($E141&gt;=AO$3,$E141&lt;=AO$3+6),$A141,"")))</f>
        <v/>
      </c>
      <c r="AP141" s="47" t="str">
        <f aca="false">IF($A141="","",IF(AND(INDEX(工程マスタ!$I$5:$I$154,$A141)="○",$E141&gt;=AP$3,$E141&lt;=AP$3+6),"▼",IF(AND($E141&gt;=AP$3,$E141&lt;=AP$3+6),$A141,"")))</f>
        <v/>
      </c>
      <c r="AQ141" s="47" t="str">
        <f aca="false">IF($A141="","",IF(AND(INDEX(工程マスタ!$I$5:$I$154,$A141)="○",$E141&gt;=AQ$3,$E141&lt;=AQ$3+6),"▼",IF(AND($E141&gt;=AQ$3,$E141&lt;=AQ$3+6),$A141,"")))</f>
        <v/>
      </c>
      <c r="AR141" s="47" t="str">
        <f aca="false">IF($A141="","",IF(AND(INDEX(工程マスタ!$I$5:$I$154,$A141)="○",$E141&gt;=AR$3,$E141&lt;=AR$3+6),"▼",IF(AND($E141&gt;=AR$3,$E141&lt;=AR$3+6),$A141,"")))</f>
        <v/>
      </c>
      <c r="AS141" s="47" t="str">
        <f aca="false">IF($A141="","",IF(AND(INDEX(工程マスタ!$I$5:$I$154,$A141)="○",$E141&gt;=AS$3,$E141&lt;=AS$3+6),"▼",IF(AND($E141&gt;=AS$3,$E141&lt;=AS$3+6),$A141,"")))</f>
        <v/>
      </c>
      <c r="AT141" s="47" t="str">
        <f aca="false">IF($A141="","",IF(AND(INDEX(工程マスタ!$I$5:$I$154,$A141)="○",$E141&gt;=AT$3,$E141&lt;=AT$3+6),"▼",IF(AND($E141&gt;=AT$3,$E141&lt;=AT$3+6),$A141,"")))</f>
        <v/>
      </c>
      <c r="AU141" s="47" t="str">
        <f aca="false">IF($A141="","",IF(AND(INDEX(工程マスタ!$I$5:$I$154,$A141)="○",$E141&gt;=AU$3,$E141&lt;=AU$3+6),"▼",IF(AND($E141&gt;=AU$3,$E141&lt;=AU$3+6),$A141,"")))</f>
        <v/>
      </c>
      <c r="AV141" s="47" t="str">
        <f aca="false">IF($A141="","",IF(AND(INDEX(工程マスタ!$I$5:$I$154,$A141)="○",$E141&gt;=AV$3,$E141&lt;=AV$3+6),"▼",IF(AND($E141&gt;=AV$3,$E141&lt;=AV$3+6),$A141,"")))</f>
        <v/>
      </c>
      <c r="AW141" s="47" t="str">
        <f aca="false">IF($A141="","",IF(AND(INDEX(工程マスタ!$I$5:$I$154,$A141)="○",$E141&gt;=AW$3,$E141&lt;=AW$3+6),"▼",IF(AND($E141&gt;=AW$3,$E141&lt;=AW$3+6),$A141,"")))</f>
        <v/>
      </c>
      <c r="AX141" s="47" t="str">
        <f aca="false">IF($A141="","",IF(AND(INDEX(工程マスタ!$I$5:$I$154,$A141)="○",$E141&gt;=AX$3,$E141&lt;=AX$3+6),"▼",IF(AND($E141&gt;=AX$3,$E141&lt;=AX$3+6),$A141,"")))</f>
        <v/>
      </c>
      <c r="AY141" s="47" t="str">
        <f aca="false">IF($A141="","",IF(AND(INDEX(工程マスタ!$I$5:$I$154,$A141)="○",$E141&gt;=AY$3,$E141&lt;=AY$3+6),"▼",IF(AND($E141&gt;=AY$3,$E141&lt;=AY$3+6),$A141,"")))</f>
        <v/>
      </c>
      <c r="AZ141" s="47" t="str">
        <f aca="false">IF($A141="","",IF(AND(INDEX(工程マスタ!$I$5:$I$154,$A141)="○",$E141&gt;=AZ$3,$E141&lt;=AZ$3+6),"▼",IF(AND($E141&gt;=AZ$3,$E141&lt;=AZ$3+6),$A141,"")))</f>
        <v/>
      </c>
      <c r="BA141" s="47" t="str">
        <f aca="false">IF($A141="","",IF(AND(INDEX(工程マスタ!$I$5:$I$154,$A141)="○",$E141&gt;=BA$3,$E141&lt;=BA$3+6),"▼",IF(AND($E141&gt;=BA$3,$E141&lt;=BA$3+6),$A141,"")))</f>
        <v/>
      </c>
      <c r="BB141" s="47" t="str">
        <f aca="false">IF($A141="","",IF(AND(INDEX(工程マスタ!$I$5:$I$154,$A141)="○",$E141&gt;=BB$3,$E141&lt;=BB$3+6),"▼",IF(AND($E141&gt;=BB$3,$E141&lt;=BB$3+6),$A141,"")))</f>
        <v/>
      </c>
      <c r="BC141" s="47" t="str">
        <f aca="false">IF($A141="","",IF(AND(INDEX(工程マスタ!$I$5:$I$154,$A141)="○",$E141&gt;=BC$3,$E141&lt;=BC$3+6),"▼",IF(AND($E141&gt;=BC$3,$E141&lt;=BC$3+6),$A141,"")))</f>
        <v/>
      </c>
      <c r="BD141" s="47" t="str">
        <f aca="false">IF($A141="","",IF(AND(INDEX(工程マスタ!$I$5:$I$154,$A141)="○",$E141&gt;=BD$3,$E141&lt;=BD$3+6),"▼",IF(AND($E141&gt;=BD$3,$E141&lt;=BD$3+6),$A141,"")))</f>
        <v/>
      </c>
      <c r="BE141" s="47" t="str">
        <f aca="false">IF($A141="","",IF(AND(INDEX(工程マスタ!$I$5:$I$154,$A141)="○",$E141&gt;=BE$3,$E141&lt;=BE$3+6),"▼",IF(AND($E141&gt;=BE$3,$E141&lt;=BE$3+6),$A141,"")))</f>
        <v/>
      </c>
      <c r="BF141" s="47" t="str">
        <f aca="false">IF($A141="","",IF(AND(INDEX(工程マスタ!$I$5:$I$154,$A141)="○",$E141&gt;=BF$3,$E141&lt;=BF$3+6),"▼",IF(AND($E141&gt;=BF$3,$E141&lt;=BF$3+6),$A141,"")))</f>
        <v/>
      </c>
      <c r="BG141" s="47" t="str">
        <f aca="false">IF($A141="","",IF(AND(INDEX(工程マスタ!$I$5:$I$154,$A141)="○",$E141&gt;=BG$3,$E141&lt;=BG$3+6),"▼",IF(AND($E141&gt;=BG$3,$E141&lt;=BG$3+6),$A141,"")))</f>
        <v/>
      </c>
      <c r="BH141" s="47" t="str">
        <f aca="false">IF($A141="","",IF(AND(INDEX(工程マスタ!$I$5:$I$154,$A141)="○",$E141&gt;=BH$3,$E141&lt;=BH$3+6),"▼",IF(AND($E141&gt;=BH$3,$E141&lt;=BH$3+6),$A141,"")))</f>
        <v/>
      </c>
      <c r="BI141" s="47" t="str">
        <f aca="false">IF($A141="","",IF(AND(INDEX(工程マスタ!$I$5:$I$154,$A141)="○",$E141&gt;=BI$3,$E141&lt;=BI$3+6),"▼",IF(AND($E141&gt;=BI$3,$E141&lt;=BI$3+6),$A141,"")))</f>
        <v/>
      </c>
      <c r="BJ141" s="47" t="str">
        <f aca="false">IF($A141="","",IF(AND(INDEX(工程マスタ!$I$5:$I$154,$A141)="○",$E141&gt;=BJ$3,$E141&lt;=BJ$3+6),"▼",IF(AND($E141&gt;=BJ$3,$E141&lt;=BJ$3+6),$A141,"")))</f>
        <v/>
      </c>
    </row>
    <row r="142" customFormat="false" ht="15" hidden="false" customHeight="false" outlineLevel="0" collapsed="false">
      <c r="A142" s="28" t="str">
        <f aca="false">IF(工程マスタ!$C140="","",工程マスタ!$A140)</f>
        <v/>
      </c>
      <c r="B142" s="46" t="str">
        <f aca="false">IF($A142="","",工程マスタ!$C140)</f>
        <v/>
      </c>
      <c r="C142" s="28" t="str">
        <f aca="false">IF($A142="","",MAX(1,工程マスタ!$G140))</f>
        <v/>
      </c>
      <c r="D142" s="28" t="str">
        <f aca="false">IF($A142="","",_xlfn.TEXTJOIN(",",TRUE(),工程マスタ!$N140:$P140))</f>
        <v/>
      </c>
      <c r="E142" s="29" t="str">
        <f aca="false">IF($A142="","",IF(COUNT(工程マスタ!$N140:$P140)=0,設定!$B$8,MAX(IF(工程マスタ!$N140="",0,INDEX($F$7:$F$156,工程マスタ!$N140)),IF(工程マスタ!$O140="",0,INDEX($F$7:$F$156,工程マスタ!$O140)),IF(工程マスタ!$P140="",0,INDEX($F$7:$F$156,工程マスタ!$P140)))+1))</f>
        <v/>
      </c>
      <c r="F142" s="29" t="str">
        <f aca="false">IF($A142="","",$E142+$C142-1)</f>
        <v/>
      </c>
      <c r="G142" s="29" t="str">
        <f aca="false">IF($A142="","",$H142-$C142+1)</f>
        <v/>
      </c>
      <c r="H142" s="29" t="str">
        <f aca="false" t="array" ref="H142:H142">IF($A142="","",IF(SUMPRODUCT((工程マスタ!$N$141:$N$154=$A142)*1)+SUMPRODUCT((工程マスタ!$O$141:$O$154=$A142)*1)+SUMPRODUCT((工程マスタ!$P$141:$P$154=$A142)*1)=0,MAX($F$7:$F$156),MIN(IF((工程マスタ!$N$141:$N$154=$A142)+(工程マスタ!$O$141:$O$154=$A142)+(工程マスタ!$P$141:$P$154=$A142),$G143:$G$156))-1))</f>
        <v/>
      </c>
      <c r="I142" s="28" t="str">
        <f aca="false">IF($A142="","",$G142-$E142)</f>
        <v/>
      </c>
      <c r="J142" s="28" t="str">
        <f aca="false">IF($A142="","",IF($I142&lt;=0,"●",""))</f>
        <v/>
      </c>
      <c r="K142" s="47" t="str">
        <f aca="false">IF($A142="","",IF(AND(INDEX(工程マスタ!$I$5:$I$154,$A142)="○",$E142&gt;=K$3,$E142&lt;=K$3+6),"▼",IF(AND($E142&gt;=K$3,$E142&lt;=K$3+6),$A142,"")))</f>
        <v/>
      </c>
      <c r="L142" s="47" t="str">
        <f aca="false">IF($A142="","",IF(AND(INDEX(工程マスタ!$I$5:$I$154,$A142)="○",$E142&gt;=L$3,$E142&lt;=L$3+6),"▼",IF(AND($E142&gt;=L$3,$E142&lt;=L$3+6),$A142,"")))</f>
        <v/>
      </c>
      <c r="M142" s="47" t="str">
        <f aca="false">IF($A142="","",IF(AND(INDEX(工程マスタ!$I$5:$I$154,$A142)="○",$E142&gt;=M$3,$E142&lt;=M$3+6),"▼",IF(AND($E142&gt;=M$3,$E142&lt;=M$3+6),$A142,"")))</f>
        <v/>
      </c>
      <c r="N142" s="47" t="str">
        <f aca="false">IF($A142="","",IF(AND(INDEX(工程マスタ!$I$5:$I$154,$A142)="○",$E142&gt;=N$3,$E142&lt;=N$3+6),"▼",IF(AND($E142&gt;=N$3,$E142&lt;=N$3+6),$A142,"")))</f>
        <v/>
      </c>
      <c r="O142" s="47" t="str">
        <f aca="false">IF($A142="","",IF(AND(INDEX(工程マスタ!$I$5:$I$154,$A142)="○",$E142&gt;=O$3,$E142&lt;=O$3+6),"▼",IF(AND($E142&gt;=O$3,$E142&lt;=O$3+6),$A142,"")))</f>
        <v/>
      </c>
      <c r="P142" s="47" t="str">
        <f aca="false">IF($A142="","",IF(AND(INDEX(工程マスタ!$I$5:$I$154,$A142)="○",$E142&gt;=P$3,$E142&lt;=P$3+6),"▼",IF(AND($E142&gt;=P$3,$E142&lt;=P$3+6),$A142,"")))</f>
        <v/>
      </c>
      <c r="Q142" s="47" t="str">
        <f aca="false">IF($A142="","",IF(AND(INDEX(工程マスタ!$I$5:$I$154,$A142)="○",$E142&gt;=Q$3,$E142&lt;=Q$3+6),"▼",IF(AND($E142&gt;=Q$3,$E142&lt;=Q$3+6),$A142,"")))</f>
        <v/>
      </c>
      <c r="R142" s="47" t="str">
        <f aca="false">IF($A142="","",IF(AND(INDEX(工程マスタ!$I$5:$I$154,$A142)="○",$E142&gt;=R$3,$E142&lt;=R$3+6),"▼",IF(AND($E142&gt;=R$3,$E142&lt;=R$3+6),$A142,"")))</f>
        <v/>
      </c>
      <c r="S142" s="47" t="str">
        <f aca="false">IF($A142="","",IF(AND(INDEX(工程マスタ!$I$5:$I$154,$A142)="○",$E142&gt;=S$3,$E142&lt;=S$3+6),"▼",IF(AND($E142&gt;=S$3,$E142&lt;=S$3+6),$A142,"")))</f>
        <v/>
      </c>
      <c r="T142" s="47" t="str">
        <f aca="false">IF($A142="","",IF(AND(INDEX(工程マスタ!$I$5:$I$154,$A142)="○",$E142&gt;=T$3,$E142&lt;=T$3+6),"▼",IF(AND($E142&gt;=T$3,$E142&lt;=T$3+6),$A142,"")))</f>
        <v/>
      </c>
      <c r="U142" s="47" t="str">
        <f aca="false">IF($A142="","",IF(AND(INDEX(工程マスタ!$I$5:$I$154,$A142)="○",$E142&gt;=U$3,$E142&lt;=U$3+6),"▼",IF(AND($E142&gt;=U$3,$E142&lt;=U$3+6),$A142,"")))</f>
        <v/>
      </c>
      <c r="V142" s="47" t="str">
        <f aca="false">IF($A142="","",IF(AND(INDEX(工程マスタ!$I$5:$I$154,$A142)="○",$E142&gt;=V$3,$E142&lt;=V$3+6),"▼",IF(AND($E142&gt;=V$3,$E142&lt;=V$3+6),$A142,"")))</f>
        <v/>
      </c>
      <c r="W142" s="47" t="str">
        <f aca="false">IF($A142="","",IF(AND(INDEX(工程マスタ!$I$5:$I$154,$A142)="○",$E142&gt;=W$3,$E142&lt;=W$3+6),"▼",IF(AND($E142&gt;=W$3,$E142&lt;=W$3+6),$A142,"")))</f>
        <v/>
      </c>
      <c r="X142" s="47" t="str">
        <f aca="false">IF($A142="","",IF(AND(INDEX(工程マスタ!$I$5:$I$154,$A142)="○",$E142&gt;=X$3,$E142&lt;=X$3+6),"▼",IF(AND($E142&gt;=X$3,$E142&lt;=X$3+6),$A142,"")))</f>
        <v/>
      </c>
      <c r="Y142" s="47" t="str">
        <f aca="false">IF($A142="","",IF(AND(INDEX(工程マスタ!$I$5:$I$154,$A142)="○",$E142&gt;=Y$3,$E142&lt;=Y$3+6),"▼",IF(AND($E142&gt;=Y$3,$E142&lt;=Y$3+6),$A142,"")))</f>
        <v/>
      </c>
      <c r="Z142" s="47" t="str">
        <f aca="false">IF($A142="","",IF(AND(INDEX(工程マスタ!$I$5:$I$154,$A142)="○",$E142&gt;=Z$3,$E142&lt;=Z$3+6),"▼",IF(AND($E142&gt;=Z$3,$E142&lt;=Z$3+6),$A142,"")))</f>
        <v/>
      </c>
      <c r="AA142" s="47" t="str">
        <f aca="false">IF($A142="","",IF(AND(INDEX(工程マスタ!$I$5:$I$154,$A142)="○",$E142&gt;=AA$3,$E142&lt;=AA$3+6),"▼",IF(AND($E142&gt;=AA$3,$E142&lt;=AA$3+6),$A142,"")))</f>
        <v/>
      </c>
      <c r="AB142" s="47" t="str">
        <f aca="false">IF($A142="","",IF(AND(INDEX(工程マスタ!$I$5:$I$154,$A142)="○",$E142&gt;=AB$3,$E142&lt;=AB$3+6),"▼",IF(AND($E142&gt;=AB$3,$E142&lt;=AB$3+6),$A142,"")))</f>
        <v/>
      </c>
      <c r="AC142" s="47" t="str">
        <f aca="false">IF($A142="","",IF(AND(INDEX(工程マスタ!$I$5:$I$154,$A142)="○",$E142&gt;=AC$3,$E142&lt;=AC$3+6),"▼",IF(AND($E142&gt;=AC$3,$E142&lt;=AC$3+6),$A142,"")))</f>
        <v/>
      </c>
      <c r="AD142" s="47" t="str">
        <f aca="false">IF($A142="","",IF(AND(INDEX(工程マスタ!$I$5:$I$154,$A142)="○",$E142&gt;=AD$3,$E142&lt;=AD$3+6),"▼",IF(AND($E142&gt;=AD$3,$E142&lt;=AD$3+6),$A142,"")))</f>
        <v/>
      </c>
      <c r="AE142" s="47" t="str">
        <f aca="false">IF($A142="","",IF(AND(INDEX(工程マスタ!$I$5:$I$154,$A142)="○",$E142&gt;=AE$3,$E142&lt;=AE$3+6),"▼",IF(AND($E142&gt;=AE$3,$E142&lt;=AE$3+6),$A142,"")))</f>
        <v/>
      </c>
      <c r="AF142" s="47" t="str">
        <f aca="false">IF($A142="","",IF(AND(INDEX(工程マスタ!$I$5:$I$154,$A142)="○",$E142&gt;=AF$3,$E142&lt;=AF$3+6),"▼",IF(AND($E142&gt;=AF$3,$E142&lt;=AF$3+6),$A142,"")))</f>
        <v/>
      </c>
      <c r="AG142" s="47" t="str">
        <f aca="false">IF($A142="","",IF(AND(INDEX(工程マスタ!$I$5:$I$154,$A142)="○",$E142&gt;=AG$3,$E142&lt;=AG$3+6),"▼",IF(AND($E142&gt;=AG$3,$E142&lt;=AG$3+6),$A142,"")))</f>
        <v/>
      </c>
      <c r="AH142" s="47" t="str">
        <f aca="false">IF($A142="","",IF(AND(INDEX(工程マスタ!$I$5:$I$154,$A142)="○",$E142&gt;=AH$3,$E142&lt;=AH$3+6),"▼",IF(AND($E142&gt;=AH$3,$E142&lt;=AH$3+6),$A142,"")))</f>
        <v/>
      </c>
      <c r="AI142" s="47" t="str">
        <f aca="false">IF($A142="","",IF(AND(INDEX(工程マスタ!$I$5:$I$154,$A142)="○",$E142&gt;=AI$3,$E142&lt;=AI$3+6),"▼",IF(AND($E142&gt;=AI$3,$E142&lt;=AI$3+6),$A142,"")))</f>
        <v/>
      </c>
      <c r="AJ142" s="47" t="str">
        <f aca="false">IF($A142="","",IF(AND(INDEX(工程マスタ!$I$5:$I$154,$A142)="○",$E142&gt;=AJ$3,$E142&lt;=AJ$3+6),"▼",IF(AND($E142&gt;=AJ$3,$E142&lt;=AJ$3+6),$A142,"")))</f>
        <v/>
      </c>
      <c r="AK142" s="47" t="str">
        <f aca="false">IF($A142="","",IF(AND(INDEX(工程マスタ!$I$5:$I$154,$A142)="○",$E142&gt;=AK$3,$E142&lt;=AK$3+6),"▼",IF(AND($E142&gt;=AK$3,$E142&lt;=AK$3+6),$A142,"")))</f>
        <v/>
      </c>
      <c r="AL142" s="47" t="str">
        <f aca="false">IF($A142="","",IF(AND(INDEX(工程マスタ!$I$5:$I$154,$A142)="○",$E142&gt;=AL$3,$E142&lt;=AL$3+6),"▼",IF(AND($E142&gt;=AL$3,$E142&lt;=AL$3+6),$A142,"")))</f>
        <v/>
      </c>
      <c r="AM142" s="47" t="str">
        <f aca="false">IF($A142="","",IF(AND(INDEX(工程マスタ!$I$5:$I$154,$A142)="○",$E142&gt;=AM$3,$E142&lt;=AM$3+6),"▼",IF(AND($E142&gt;=AM$3,$E142&lt;=AM$3+6),$A142,"")))</f>
        <v/>
      </c>
      <c r="AN142" s="47" t="str">
        <f aca="false">IF($A142="","",IF(AND(INDEX(工程マスタ!$I$5:$I$154,$A142)="○",$E142&gt;=AN$3,$E142&lt;=AN$3+6),"▼",IF(AND($E142&gt;=AN$3,$E142&lt;=AN$3+6),$A142,"")))</f>
        <v/>
      </c>
      <c r="AO142" s="47" t="str">
        <f aca="false">IF($A142="","",IF(AND(INDEX(工程マスタ!$I$5:$I$154,$A142)="○",$E142&gt;=AO$3,$E142&lt;=AO$3+6),"▼",IF(AND($E142&gt;=AO$3,$E142&lt;=AO$3+6),$A142,"")))</f>
        <v/>
      </c>
      <c r="AP142" s="47" t="str">
        <f aca="false">IF($A142="","",IF(AND(INDEX(工程マスタ!$I$5:$I$154,$A142)="○",$E142&gt;=AP$3,$E142&lt;=AP$3+6),"▼",IF(AND($E142&gt;=AP$3,$E142&lt;=AP$3+6),$A142,"")))</f>
        <v/>
      </c>
      <c r="AQ142" s="47" t="str">
        <f aca="false">IF($A142="","",IF(AND(INDEX(工程マスタ!$I$5:$I$154,$A142)="○",$E142&gt;=AQ$3,$E142&lt;=AQ$3+6),"▼",IF(AND($E142&gt;=AQ$3,$E142&lt;=AQ$3+6),$A142,"")))</f>
        <v/>
      </c>
      <c r="AR142" s="47" t="str">
        <f aca="false">IF($A142="","",IF(AND(INDEX(工程マスタ!$I$5:$I$154,$A142)="○",$E142&gt;=AR$3,$E142&lt;=AR$3+6),"▼",IF(AND($E142&gt;=AR$3,$E142&lt;=AR$3+6),$A142,"")))</f>
        <v/>
      </c>
      <c r="AS142" s="47" t="str">
        <f aca="false">IF($A142="","",IF(AND(INDEX(工程マスタ!$I$5:$I$154,$A142)="○",$E142&gt;=AS$3,$E142&lt;=AS$3+6),"▼",IF(AND($E142&gt;=AS$3,$E142&lt;=AS$3+6),$A142,"")))</f>
        <v/>
      </c>
      <c r="AT142" s="47" t="str">
        <f aca="false">IF($A142="","",IF(AND(INDEX(工程マスタ!$I$5:$I$154,$A142)="○",$E142&gt;=AT$3,$E142&lt;=AT$3+6),"▼",IF(AND($E142&gt;=AT$3,$E142&lt;=AT$3+6),$A142,"")))</f>
        <v/>
      </c>
      <c r="AU142" s="47" t="str">
        <f aca="false">IF($A142="","",IF(AND(INDEX(工程マスタ!$I$5:$I$154,$A142)="○",$E142&gt;=AU$3,$E142&lt;=AU$3+6),"▼",IF(AND($E142&gt;=AU$3,$E142&lt;=AU$3+6),$A142,"")))</f>
        <v/>
      </c>
      <c r="AV142" s="47" t="str">
        <f aca="false">IF($A142="","",IF(AND(INDEX(工程マスタ!$I$5:$I$154,$A142)="○",$E142&gt;=AV$3,$E142&lt;=AV$3+6),"▼",IF(AND($E142&gt;=AV$3,$E142&lt;=AV$3+6),$A142,"")))</f>
        <v/>
      </c>
      <c r="AW142" s="47" t="str">
        <f aca="false">IF($A142="","",IF(AND(INDEX(工程マスタ!$I$5:$I$154,$A142)="○",$E142&gt;=AW$3,$E142&lt;=AW$3+6),"▼",IF(AND($E142&gt;=AW$3,$E142&lt;=AW$3+6),$A142,"")))</f>
        <v/>
      </c>
      <c r="AX142" s="47" t="str">
        <f aca="false">IF($A142="","",IF(AND(INDEX(工程マスタ!$I$5:$I$154,$A142)="○",$E142&gt;=AX$3,$E142&lt;=AX$3+6),"▼",IF(AND($E142&gt;=AX$3,$E142&lt;=AX$3+6),$A142,"")))</f>
        <v/>
      </c>
      <c r="AY142" s="47" t="str">
        <f aca="false">IF($A142="","",IF(AND(INDEX(工程マスタ!$I$5:$I$154,$A142)="○",$E142&gt;=AY$3,$E142&lt;=AY$3+6),"▼",IF(AND($E142&gt;=AY$3,$E142&lt;=AY$3+6),$A142,"")))</f>
        <v/>
      </c>
      <c r="AZ142" s="47" t="str">
        <f aca="false">IF($A142="","",IF(AND(INDEX(工程マスタ!$I$5:$I$154,$A142)="○",$E142&gt;=AZ$3,$E142&lt;=AZ$3+6),"▼",IF(AND($E142&gt;=AZ$3,$E142&lt;=AZ$3+6),$A142,"")))</f>
        <v/>
      </c>
      <c r="BA142" s="47" t="str">
        <f aca="false">IF($A142="","",IF(AND(INDEX(工程マスタ!$I$5:$I$154,$A142)="○",$E142&gt;=BA$3,$E142&lt;=BA$3+6),"▼",IF(AND($E142&gt;=BA$3,$E142&lt;=BA$3+6),$A142,"")))</f>
        <v/>
      </c>
      <c r="BB142" s="47" t="str">
        <f aca="false">IF($A142="","",IF(AND(INDEX(工程マスタ!$I$5:$I$154,$A142)="○",$E142&gt;=BB$3,$E142&lt;=BB$3+6),"▼",IF(AND($E142&gt;=BB$3,$E142&lt;=BB$3+6),$A142,"")))</f>
        <v/>
      </c>
      <c r="BC142" s="47" t="str">
        <f aca="false">IF($A142="","",IF(AND(INDEX(工程マスタ!$I$5:$I$154,$A142)="○",$E142&gt;=BC$3,$E142&lt;=BC$3+6),"▼",IF(AND($E142&gt;=BC$3,$E142&lt;=BC$3+6),$A142,"")))</f>
        <v/>
      </c>
      <c r="BD142" s="47" t="str">
        <f aca="false">IF($A142="","",IF(AND(INDEX(工程マスタ!$I$5:$I$154,$A142)="○",$E142&gt;=BD$3,$E142&lt;=BD$3+6),"▼",IF(AND($E142&gt;=BD$3,$E142&lt;=BD$3+6),$A142,"")))</f>
        <v/>
      </c>
      <c r="BE142" s="47" t="str">
        <f aca="false">IF($A142="","",IF(AND(INDEX(工程マスタ!$I$5:$I$154,$A142)="○",$E142&gt;=BE$3,$E142&lt;=BE$3+6),"▼",IF(AND($E142&gt;=BE$3,$E142&lt;=BE$3+6),$A142,"")))</f>
        <v/>
      </c>
      <c r="BF142" s="47" t="str">
        <f aca="false">IF($A142="","",IF(AND(INDEX(工程マスタ!$I$5:$I$154,$A142)="○",$E142&gt;=BF$3,$E142&lt;=BF$3+6),"▼",IF(AND($E142&gt;=BF$3,$E142&lt;=BF$3+6),$A142,"")))</f>
        <v/>
      </c>
      <c r="BG142" s="47" t="str">
        <f aca="false">IF($A142="","",IF(AND(INDEX(工程マスタ!$I$5:$I$154,$A142)="○",$E142&gt;=BG$3,$E142&lt;=BG$3+6),"▼",IF(AND($E142&gt;=BG$3,$E142&lt;=BG$3+6),$A142,"")))</f>
        <v/>
      </c>
      <c r="BH142" s="47" t="str">
        <f aca="false">IF($A142="","",IF(AND(INDEX(工程マスタ!$I$5:$I$154,$A142)="○",$E142&gt;=BH$3,$E142&lt;=BH$3+6),"▼",IF(AND($E142&gt;=BH$3,$E142&lt;=BH$3+6),$A142,"")))</f>
        <v/>
      </c>
      <c r="BI142" s="47" t="str">
        <f aca="false">IF($A142="","",IF(AND(INDEX(工程マスタ!$I$5:$I$154,$A142)="○",$E142&gt;=BI$3,$E142&lt;=BI$3+6),"▼",IF(AND($E142&gt;=BI$3,$E142&lt;=BI$3+6),$A142,"")))</f>
        <v/>
      </c>
      <c r="BJ142" s="47" t="str">
        <f aca="false">IF($A142="","",IF(AND(INDEX(工程マスタ!$I$5:$I$154,$A142)="○",$E142&gt;=BJ$3,$E142&lt;=BJ$3+6),"▼",IF(AND($E142&gt;=BJ$3,$E142&lt;=BJ$3+6),$A142,"")))</f>
        <v/>
      </c>
    </row>
    <row r="143" customFormat="false" ht="15" hidden="false" customHeight="false" outlineLevel="0" collapsed="false">
      <c r="A143" s="28" t="str">
        <f aca="false">IF(工程マスタ!$C141="","",工程マスタ!$A141)</f>
        <v/>
      </c>
      <c r="B143" s="46" t="str">
        <f aca="false">IF($A143="","",工程マスタ!$C141)</f>
        <v/>
      </c>
      <c r="C143" s="28" t="str">
        <f aca="false">IF($A143="","",MAX(1,工程マスタ!$G141))</f>
        <v/>
      </c>
      <c r="D143" s="28" t="str">
        <f aca="false">IF($A143="","",_xlfn.TEXTJOIN(",",TRUE(),工程マスタ!$N141:$P141))</f>
        <v/>
      </c>
      <c r="E143" s="29" t="str">
        <f aca="false">IF($A143="","",IF(COUNT(工程マスタ!$N141:$P141)=0,設定!$B$8,MAX(IF(工程マスタ!$N141="",0,INDEX($F$7:$F$156,工程マスタ!$N141)),IF(工程マスタ!$O141="",0,INDEX($F$7:$F$156,工程マスタ!$O141)),IF(工程マスタ!$P141="",0,INDEX($F$7:$F$156,工程マスタ!$P141)))+1))</f>
        <v/>
      </c>
      <c r="F143" s="29" t="str">
        <f aca="false">IF($A143="","",$E143+$C143-1)</f>
        <v/>
      </c>
      <c r="G143" s="29" t="str">
        <f aca="false">IF($A143="","",$H143-$C143+1)</f>
        <v/>
      </c>
      <c r="H143" s="29" t="str">
        <f aca="false" t="array" ref="H143:H143">IF($A143="","",IF(SUMPRODUCT((工程マスタ!$N$142:$N$154=$A143)*1)+SUMPRODUCT((工程マスタ!$O$142:$O$154=$A143)*1)+SUMPRODUCT((工程マスタ!$P$142:$P$154=$A143)*1)=0,MAX($F$7:$F$156),MIN(IF((工程マスタ!$N$142:$N$154=$A143)+(工程マスタ!$O$142:$O$154=$A143)+(工程マスタ!$P$142:$P$154=$A143),$G144:$G$156))-1))</f>
        <v/>
      </c>
      <c r="I143" s="28" t="str">
        <f aca="false">IF($A143="","",$G143-$E143)</f>
        <v/>
      </c>
      <c r="J143" s="28" t="str">
        <f aca="false">IF($A143="","",IF($I143&lt;=0,"●",""))</f>
        <v/>
      </c>
      <c r="K143" s="47" t="str">
        <f aca="false">IF($A143="","",IF(AND(INDEX(工程マスタ!$I$5:$I$154,$A143)="○",$E143&gt;=K$3,$E143&lt;=K$3+6),"▼",IF(AND($E143&gt;=K$3,$E143&lt;=K$3+6),$A143,"")))</f>
        <v/>
      </c>
      <c r="L143" s="47" t="str">
        <f aca="false">IF($A143="","",IF(AND(INDEX(工程マスタ!$I$5:$I$154,$A143)="○",$E143&gt;=L$3,$E143&lt;=L$3+6),"▼",IF(AND($E143&gt;=L$3,$E143&lt;=L$3+6),$A143,"")))</f>
        <v/>
      </c>
      <c r="M143" s="47" t="str">
        <f aca="false">IF($A143="","",IF(AND(INDEX(工程マスタ!$I$5:$I$154,$A143)="○",$E143&gt;=M$3,$E143&lt;=M$3+6),"▼",IF(AND($E143&gt;=M$3,$E143&lt;=M$3+6),$A143,"")))</f>
        <v/>
      </c>
      <c r="N143" s="47" t="str">
        <f aca="false">IF($A143="","",IF(AND(INDEX(工程マスタ!$I$5:$I$154,$A143)="○",$E143&gt;=N$3,$E143&lt;=N$3+6),"▼",IF(AND($E143&gt;=N$3,$E143&lt;=N$3+6),$A143,"")))</f>
        <v/>
      </c>
      <c r="O143" s="47" t="str">
        <f aca="false">IF($A143="","",IF(AND(INDEX(工程マスタ!$I$5:$I$154,$A143)="○",$E143&gt;=O$3,$E143&lt;=O$3+6),"▼",IF(AND($E143&gt;=O$3,$E143&lt;=O$3+6),$A143,"")))</f>
        <v/>
      </c>
      <c r="P143" s="47" t="str">
        <f aca="false">IF($A143="","",IF(AND(INDEX(工程マスタ!$I$5:$I$154,$A143)="○",$E143&gt;=P$3,$E143&lt;=P$3+6),"▼",IF(AND($E143&gt;=P$3,$E143&lt;=P$3+6),$A143,"")))</f>
        <v/>
      </c>
      <c r="Q143" s="47" t="str">
        <f aca="false">IF($A143="","",IF(AND(INDEX(工程マスタ!$I$5:$I$154,$A143)="○",$E143&gt;=Q$3,$E143&lt;=Q$3+6),"▼",IF(AND($E143&gt;=Q$3,$E143&lt;=Q$3+6),$A143,"")))</f>
        <v/>
      </c>
      <c r="R143" s="47" t="str">
        <f aca="false">IF($A143="","",IF(AND(INDEX(工程マスタ!$I$5:$I$154,$A143)="○",$E143&gt;=R$3,$E143&lt;=R$3+6),"▼",IF(AND($E143&gt;=R$3,$E143&lt;=R$3+6),$A143,"")))</f>
        <v/>
      </c>
      <c r="S143" s="47" t="str">
        <f aca="false">IF($A143="","",IF(AND(INDEX(工程マスタ!$I$5:$I$154,$A143)="○",$E143&gt;=S$3,$E143&lt;=S$3+6),"▼",IF(AND($E143&gt;=S$3,$E143&lt;=S$3+6),$A143,"")))</f>
        <v/>
      </c>
      <c r="T143" s="47" t="str">
        <f aca="false">IF($A143="","",IF(AND(INDEX(工程マスタ!$I$5:$I$154,$A143)="○",$E143&gt;=T$3,$E143&lt;=T$3+6),"▼",IF(AND($E143&gt;=T$3,$E143&lt;=T$3+6),$A143,"")))</f>
        <v/>
      </c>
      <c r="U143" s="47" t="str">
        <f aca="false">IF($A143="","",IF(AND(INDEX(工程マスタ!$I$5:$I$154,$A143)="○",$E143&gt;=U$3,$E143&lt;=U$3+6),"▼",IF(AND($E143&gt;=U$3,$E143&lt;=U$3+6),$A143,"")))</f>
        <v/>
      </c>
      <c r="V143" s="47" t="str">
        <f aca="false">IF($A143="","",IF(AND(INDEX(工程マスタ!$I$5:$I$154,$A143)="○",$E143&gt;=V$3,$E143&lt;=V$3+6),"▼",IF(AND($E143&gt;=V$3,$E143&lt;=V$3+6),$A143,"")))</f>
        <v/>
      </c>
      <c r="W143" s="47" t="str">
        <f aca="false">IF($A143="","",IF(AND(INDEX(工程マスタ!$I$5:$I$154,$A143)="○",$E143&gt;=W$3,$E143&lt;=W$3+6),"▼",IF(AND($E143&gt;=W$3,$E143&lt;=W$3+6),$A143,"")))</f>
        <v/>
      </c>
      <c r="X143" s="47" t="str">
        <f aca="false">IF($A143="","",IF(AND(INDEX(工程マスタ!$I$5:$I$154,$A143)="○",$E143&gt;=X$3,$E143&lt;=X$3+6),"▼",IF(AND($E143&gt;=X$3,$E143&lt;=X$3+6),$A143,"")))</f>
        <v/>
      </c>
      <c r="Y143" s="47" t="str">
        <f aca="false">IF($A143="","",IF(AND(INDEX(工程マスタ!$I$5:$I$154,$A143)="○",$E143&gt;=Y$3,$E143&lt;=Y$3+6),"▼",IF(AND($E143&gt;=Y$3,$E143&lt;=Y$3+6),$A143,"")))</f>
        <v/>
      </c>
      <c r="Z143" s="47" t="str">
        <f aca="false">IF($A143="","",IF(AND(INDEX(工程マスタ!$I$5:$I$154,$A143)="○",$E143&gt;=Z$3,$E143&lt;=Z$3+6),"▼",IF(AND($E143&gt;=Z$3,$E143&lt;=Z$3+6),$A143,"")))</f>
        <v/>
      </c>
      <c r="AA143" s="47" t="str">
        <f aca="false">IF($A143="","",IF(AND(INDEX(工程マスタ!$I$5:$I$154,$A143)="○",$E143&gt;=AA$3,$E143&lt;=AA$3+6),"▼",IF(AND($E143&gt;=AA$3,$E143&lt;=AA$3+6),$A143,"")))</f>
        <v/>
      </c>
      <c r="AB143" s="47" t="str">
        <f aca="false">IF($A143="","",IF(AND(INDEX(工程マスタ!$I$5:$I$154,$A143)="○",$E143&gt;=AB$3,$E143&lt;=AB$3+6),"▼",IF(AND($E143&gt;=AB$3,$E143&lt;=AB$3+6),$A143,"")))</f>
        <v/>
      </c>
      <c r="AC143" s="47" t="str">
        <f aca="false">IF($A143="","",IF(AND(INDEX(工程マスタ!$I$5:$I$154,$A143)="○",$E143&gt;=AC$3,$E143&lt;=AC$3+6),"▼",IF(AND($E143&gt;=AC$3,$E143&lt;=AC$3+6),$A143,"")))</f>
        <v/>
      </c>
      <c r="AD143" s="47" t="str">
        <f aca="false">IF($A143="","",IF(AND(INDEX(工程マスタ!$I$5:$I$154,$A143)="○",$E143&gt;=AD$3,$E143&lt;=AD$3+6),"▼",IF(AND($E143&gt;=AD$3,$E143&lt;=AD$3+6),$A143,"")))</f>
        <v/>
      </c>
      <c r="AE143" s="47" t="str">
        <f aca="false">IF($A143="","",IF(AND(INDEX(工程マスタ!$I$5:$I$154,$A143)="○",$E143&gt;=AE$3,$E143&lt;=AE$3+6),"▼",IF(AND($E143&gt;=AE$3,$E143&lt;=AE$3+6),$A143,"")))</f>
        <v/>
      </c>
      <c r="AF143" s="47" t="str">
        <f aca="false">IF($A143="","",IF(AND(INDEX(工程マスタ!$I$5:$I$154,$A143)="○",$E143&gt;=AF$3,$E143&lt;=AF$3+6),"▼",IF(AND($E143&gt;=AF$3,$E143&lt;=AF$3+6),$A143,"")))</f>
        <v/>
      </c>
      <c r="AG143" s="47" t="str">
        <f aca="false">IF($A143="","",IF(AND(INDEX(工程マスタ!$I$5:$I$154,$A143)="○",$E143&gt;=AG$3,$E143&lt;=AG$3+6),"▼",IF(AND($E143&gt;=AG$3,$E143&lt;=AG$3+6),$A143,"")))</f>
        <v/>
      </c>
      <c r="AH143" s="47" t="str">
        <f aca="false">IF($A143="","",IF(AND(INDEX(工程マスタ!$I$5:$I$154,$A143)="○",$E143&gt;=AH$3,$E143&lt;=AH$3+6),"▼",IF(AND($E143&gt;=AH$3,$E143&lt;=AH$3+6),$A143,"")))</f>
        <v/>
      </c>
      <c r="AI143" s="47" t="str">
        <f aca="false">IF($A143="","",IF(AND(INDEX(工程マスタ!$I$5:$I$154,$A143)="○",$E143&gt;=AI$3,$E143&lt;=AI$3+6),"▼",IF(AND($E143&gt;=AI$3,$E143&lt;=AI$3+6),$A143,"")))</f>
        <v/>
      </c>
      <c r="AJ143" s="47" t="str">
        <f aca="false">IF($A143="","",IF(AND(INDEX(工程マスタ!$I$5:$I$154,$A143)="○",$E143&gt;=AJ$3,$E143&lt;=AJ$3+6),"▼",IF(AND($E143&gt;=AJ$3,$E143&lt;=AJ$3+6),$A143,"")))</f>
        <v/>
      </c>
      <c r="AK143" s="47" t="str">
        <f aca="false">IF($A143="","",IF(AND(INDEX(工程マスタ!$I$5:$I$154,$A143)="○",$E143&gt;=AK$3,$E143&lt;=AK$3+6),"▼",IF(AND($E143&gt;=AK$3,$E143&lt;=AK$3+6),$A143,"")))</f>
        <v/>
      </c>
      <c r="AL143" s="47" t="str">
        <f aca="false">IF($A143="","",IF(AND(INDEX(工程マスタ!$I$5:$I$154,$A143)="○",$E143&gt;=AL$3,$E143&lt;=AL$3+6),"▼",IF(AND($E143&gt;=AL$3,$E143&lt;=AL$3+6),$A143,"")))</f>
        <v/>
      </c>
      <c r="AM143" s="47" t="str">
        <f aca="false">IF($A143="","",IF(AND(INDEX(工程マスタ!$I$5:$I$154,$A143)="○",$E143&gt;=AM$3,$E143&lt;=AM$3+6),"▼",IF(AND($E143&gt;=AM$3,$E143&lt;=AM$3+6),$A143,"")))</f>
        <v/>
      </c>
      <c r="AN143" s="47" t="str">
        <f aca="false">IF($A143="","",IF(AND(INDEX(工程マスタ!$I$5:$I$154,$A143)="○",$E143&gt;=AN$3,$E143&lt;=AN$3+6),"▼",IF(AND($E143&gt;=AN$3,$E143&lt;=AN$3+6),$A143,"")))</f>
        <v/>
      </c>
      <c r="AO143" s="47" t="str">
        <f aca="false">IF($A143="","",IF(AND(INDEX(工程マスタ!$I$5:$I$154,$A143)="○",$E143&gt;=AO$3,$E143&lt;=AO$3+6),"▼",IF(AND($E143&gt;=AO$3,$E143&lt;=AO$3+6),$A143,"")))</f>
        <v/>
      </c>
      <c r="AP143" s="47" t="str">
        <f aca="false">IF($A143="","",IF(AND(INDEX(工程マスタ!$I$5:$I$154,$A143)="○",$E143&gt;=AP$3,$E143&lt;=AP$3+6),"▼",IF(AND($E143&gt;=AP$3,$E143&lt;=AP$3+6),$A143,"")))</f>
        <v/>
      </c>
      <c r="AQ143" s="47" t="str">
        <f aca="false">IF($A143="","",IF(AND(INDEX(工程マスタ!$I$5:$I$154,$A143)="○",$E143&gt;=AQ$3,$E143&lt;=AQ$3+6),"▼",IF(AND($E143&gt;=AQ$3,$E143&lt;=AQ$3+6),$A143,"")))</f>
        <v/>
      </c>
      <c r="AR143" s="47" t="str">
        <f aca="false">IF($A143="","",IF(AND(INDEX(工程マスタ!$I$5:$I$154,$A143)="○",$E143&gt;=AR$3,$E143&lt;=AR$3+6),"▼",IF(AND($E143&gt;=AR$3,$E143&lt;=AR$3+6),$A143,"")))</f>
        <v/>
      </c>
      <c r="AS143" s="47" t="str">
        <f aca="false">IF($A143="","",IF(AND(INDEX(工程マスタ!$I$5:$I$154,$A143)="○",$E143&gt;=AS$3,$E143&lt;=AS$3+6),"▼",IF(AND($E143&gt;=AS$3,$E143&lt;=AS$3+6),$A143,"")))</f>
        <v/>
      </c>
      <c r="AT143" s="47" t="str">
        <f aca="false">IF($A143="","",IF(AND(INDEX(工程マスタ!$I$5:$I$154,$A143)="○",$E143&gt;=AT$3,$E143&lt;=AT$3+6),"▼",IF(AND($E143&gt;=AT$3,$E143&lt;=AT$3+6),$A143,"")))</f>
        <v/>
      </c>
      <c r="AU143" s="47" t="str">
        <f aca="false">IF($A143="","",IF(AND(INDEX(工程マスタ!$I$5:$I$154,$A143)="○",$E143&gt;=AU$3,$E143&lt;=AU$3+6),"▼",IF(AND($E143&gt;=AU$3,$E143&lt;=AU$3+6),$A143,"")))</f>
        <v/>
      </c>
      <c r="AV143" s="47" t="str">
        <f aca="false">IF($A143="","",IF(AND(INDEX(工程マスタ!$I$5:$I$154,$A143)="○",$E143&gt;=AV$3,$E143&lt;=AV$3+6),"▼",IF(AND($E143&gt;=AV$3,$E143&lt;=AV$3+6),$A143,"")))</f>
        <v/>
      </c>
      <c r="AW143" s="47" t="str">
        <f aca="false">IF($A143="","",IF(AND(INDEX(工程マスタ!$I$5:$I$154,$A143)="○",$E143&gt;=AW$3,$E143&lt;=AW$3+6),"▼",IF(AND($E143&gt;=AW$3,$E143&lt;=AW$3+6),$A143,"")))</f>
        <v/>
      </c>
      <c r="AX143" s="47" t="str">
        <f aca="false">IF($A143="","",IF(AND(INDEX(工程マスタ!$I$5:$I$154,$A143)="○",$E143&gt;=AX$3,$E143&lt;=AX$3+6),"▼",IF(AND($E143&gt;=AX$3,$E143&lt;=AX$3+6),$A143,"")))</f>
        <v/>
      </c>
      <c r="AY143" s="47" t="str">
        <f aca="false">IF($A143="","",IF(AND(INDEX(工程マスタ!$I$5:$I$154,$A143)="○",$E143&gt;=AY$3,$E143&lt;=AY$3+6),"▼",IF(AND($E143&gt;=AY$3,$E143&lt;=AY$3+6),$A143,"")))</f>
        <v/>
      </c>
      <c r="AZ143" s="47" t="str">
        <f aca="false">IF($A143="","",IF(AND(INDEX(工程マスタ!$I$5:$I$154,$A143)="○",$E143&gt;=AZ$3,$E143&lt;=AZ$3+6),"▼",IF(AND($E143&gt;=AZ$3,$E143&lt;=AZ$3+6),$A143,"")))</f>
        <v/>
      </c>
      <c r="BA143" s="47" t="str">
        <f aca="false">IF($A143="","",IF(AND(INDEX(工程マスタ!$I$5:$I$154,$A143)="○",$E143&gt;=BA$3,$E143&lt;=BA$3+6),"▼",IF(AND($E143&gt;=BA$3,$E143&lt;=BA$3+6),$A143,"")))</f>
        <v/>
      </c>
      <c r="BB143" s="47" t="str">
        <f aca="false">IF($A143="","",IF(AND(INDEX(工程マスタ!$I$5:$I$154,$A143)="○",$E143&gt;=BB$3,$E143&lt;=BB$3+6),"▼",IF(AND($E143&gt;=BB$3,$E143&lt;=BB$3+6),$A143,"")))</f>
        <v/>
      </c>
      <c r="BC143" s="47" t="str">
        <f aca="false">IF($A143="","",IF(AND(INDEX(工程マスタ!$I$5:$I$154,$A143)="○",$E143&gt;=BC$3,$E143&lt;=BC$3+6),"▼",IF(AND($E143&gt;=BC$3,$E143&lt;=BC$3+6),$A143,"")))</f>
        <v/>
      </c>
      <c r="BD143" s="47" t="str">
        <f aca="false">IF($A143="","",IF(AND(INDEX(工程マスタ!$I$5:$I$154,$A143)="○",$E143&gt;=BD$3,$E143&lt;=BD$3+6),"▼",IF(AND($E143&gt;=BD$3,$E143&lt;=BD$3+6),$A143,"")))</f>
        <v/>
      </c>
      <c r="BE143" s="47" t="str">
        <f aca="false">IF($A143="","",IF(AND(INDEX(工程マスタ!$I$5:$I$154,$A143)="○",$E143&gt;=BE$3,$E143&lt;=BE$3+6),"▼",IF(AND($E143&gt;=BE$3,$E143&lt;=BE$3+6),$A143,"")))</f>
        <v/>
      </c>
      <c r="BF143" s="47" t="str">
        <f aca="false">IF($A143="","",IF(AND(INDEX(工程マスタ!$I$5:$I$154,$A143)="○",$E143&gt;=BF$3,$E143&lt;=BF$3+6),"▼",IF(AND($E143&gt;=BF$3,$E143&lt;=BF$3+6),$A143,"")))</f>
        <v/>
      </c>
      <c r="BG143" s="47" t="str">
        <f aca="false">IF($A143="","",IF(AND(INDEX(工程マスタ!$I$5:$I$154,$A143)="○",$E143&gt;=BG$3,$E143&lt;=BG$3+6),"▼",IF(AND($E143&gt;=BG$3,$E143&lt;=BG$3+6),$A143,"")))</f>
        <v/>
      </c>
      <c r="BH143" s="47" t="str">
        <f aca="false">IF($A143="","",IF(AND(INDEX(工程マスタ!$I$5:$I$154,$A143)="○",$E143&gt;=BH$3,$E143&lt;=BH$3+6),"▼",IF(AND($E143&gt;=BH$3,$E143&lt;=BH$3+6),$A143,"")))</f>
        <v/>
      </c>
      <c r="BI143" s="47" t="str">
        <f aca="false">IF($A143="","",IF(AND(INDEX(工程マスタ!$I$5:$I$154,$A143)="○",$E143&gt;=BI$3,$E143&lt;=BI$3+6),"▼",IF(AND($E143&gt;=BI$3,$E143&lt;=BI$3+6),$A143,"")))</f>
        <v/>
      </c>
      <c r="BJ143" s="47" t="str">
        <f aca="false">IF($A143="","",IF(AND(INDEX(工程マスタ!$I$5:$I$154,$A143)="○",$E143&gt;=BJ$3,$E143&lt;=BJ$3+6),"▼",IF(AND($E143&gt;=BJ$3,$E143&lt;=BJ$3+6),$A143,"")))</f>
        <v/>
      </c>
    </row>
    <row r="144" customFormat="false" ht="15" hidden="false" customHeight="false" outlineLevel="0" collapsed="false">
      <c r="A144" s="28" t="str">
        <f aca="false">IF(工程マスタ!$C142="","",工程マスタ!$A142)</f>
        <v/>
      </c>
      <c r="B144" s="46" t="str">
        <f aca="false">IF($A144="","",工程マスタ!$C142)</f>
        <v/>
      </c>
      <c r="C144" s="28" t="str">
        <f aca="false">IF($A144="","",MAX(1,工程マスタ!$G142))</f>
        <v/>
      </c>
      <c r="D144" s="28" t="str">
        <f aca="false">IF($A144="","",_xlfn.TEXTJOIN(",",TRUE(),工程マスタ!$N142:$P142))</f>
        <v/>
      </c>
      <c r="E144" s="29" t="str">
        <f aca="false">IF($A144="","",IF(COUNT(工程マスタ!$N142:$P142)=0,設定!$B$8,MAX(IF(工程マスタ!$N142="",0,INDEX($F$7:$F$156,工程マスタ!$N142)),IF(工程マスタ!$O142="",0,INDEX($F$7:$F$156,工程マスタ!$O142)),IF(工程マスタ!$P142="",0,INDEX($F$7:$F$156,工程マスタ!$P142)))+1))</f>
        <v/>
      </c>
      <c r="F144" s="29" t="str">
        <f aca="false">IF($A144="","",$E144+$C144-1)</f>
        <v/>
      </c>
      <c r="G144" s="29" t="str">
        <f aca="false">IF($A144="","",$H144-$C144+1)</f>
        <v/>
      </c>
      <c r="H144" s="29" t="str">
        <f aca="false" t="array" ref="H144:H144">IF($A144="","",IF(SUMPRODUCT((工程マスタ!$N$143:$N$154=$A144)*1)+SUMPRODUCT((工程マスタ!$O$143:$O$154=$A144)*1)+SUMPRODUCT((工程マスタ!$P$143:$P$154=$A144)*1)=0,MAX($F$7:$F$156),MIN(IF((工程マスタ!$N$143:$N$154=$A144)+(工程マスタ!$O$143:$O$154=$A144)+(工程マスタ!$P$143:$P$154=$A144),$G145:$G$156))-1))</f>
        <v/>
      </c>
      <c r="I144" s="28" t="str">
        <f aca="false">IF($A144="","",$G144-$E144)</f>
        <v/>
      </c>
      <c r="J144" s="28" t="str">
        <f aca="false">IF($A144="","",IF($I144&lt;=0,"●",""))</f>
        <v/>
      </c>
      <c r="K144" s="47" t="str">
        <f aca="false">IF($A144="","",IF(AND(INDEX(工程マスタ!$I$5:$I$154,$A144)="○",$E144&gt;=K$3,$E144&lt;=K$3+6),"▼",IF(AND($E144&gt;=K$3,$E144&lt;=K$3+6),$A144,"")))</f>
        <v/>
      </c>
      <c r="L144" s="47" t="str">
        <f aca="false">IF($A144="","",IF(AND(INDEX(工程マスタ!$I$5:$I$154,$A144)="○",$E144&gt;=L$3,$E144&lt;=L$3+6),"▼",IF(AND($E144&gt;=L$3,$E144&lt;=L$3+6),$A144,"")))</f>
        <v/>
      </c>
      <c r="M144" s="47" t="str">
        <f aca="false">IF($A144="","",IF(AND(INDEX(工程マスタ!$I$5:$I$154,$A144)="○",$E144&gt;=M$3,$E144&lt;=M$3+6),"▼",IF(AND($E144&gt;=M$3,$E144&lt;=M$3+6),$A144,"")))</f>
        <v/>
      </c>
      <c r="N144" s="47" t="str">
        <f aca="false">IF($A144="","",IF(AND(INDEX(工程マスタ!$I$5:$I$154,$A144)="○",$E144&gt;=N$3,$E144&lt;=N$3+6),"▼",IF(AND($E144&gt;=N$3,$E144&lt;=N$3+6),$A144,"")))</f>
        <v/>
      </c>
      <c r="O144" s="47" t="str">
        <f aca="false">IF($A144="","",IF(AND(INDEX(工程マスタ!$I$5:$I$154,$A144)="○",$E144&gt;=O$3,$E144&lt;=O$3+6),"▼",IF(AND($E144&gt;=O$3,$E144&lt;=O$3+6),$A144,"")))</f>
        <v/>
      </c>
      <c r="P144" s="47" t="str">
        <f aca="false">IF($A144="","",IF(AND(INDEX(工程マスタ!$I$5:$I$154,$A144)="○",$E144&gt;=P$3,$E144&lt;=P$3+6),"▼",IF(AND($E144&gt;=P$3,$E144&lt;=P$3+6),$A144,"")))</f>
        <v/>
      </c>
      <c r="Q144" s="47" t="str">
        <f aca="false">IF($A144="","",IF(AND(INDEX(工程マスタ!$I$5:$I$154,$A144)="○",$E144&gt;=Q$3,$E144&lt;=Q$3+6),"▼",IF(AND($E144&gt;=Q$3,$E144&lt;=Q$3+6),$A144,"")))</f>
        <v/>
      </c>
      <c r="R144" s="47" t="str">
        <f aca="false">IF($A144="","",IF(AND(INDEX(工程マスタ!$I$5:$I$154,$A144)="○",$E144&gt;=R$3,$E144&lt;=R$3+6),"▼",IF(AND($E144&gt;=R$3,$E144&lt;=R$3+6),$A144,"")))</f>
        <v/>
      </c>
      <c r="S144" s="47" t="str">
        <f aca="false">IF($A144="","",IF(AND(INDEX(工程マスタ!$I$5:$I$154,$A144)="○",$E144&gt;=S$3,$E144&lt;=S$3+6),"▼",IF(AND($E144&gt;=S$3,$E144&lt;=S$3+6),$A144,"")))</f>
        <v/>
      </c>
      <c r="T144" s="47" t="str">
        <f aca="false">IF($A144="","",IF(AND(INDEX(工程マスタ!$I$5:$I$154,$A144)="○",$E144&gt;=T$3,$E144&lt;=T$3+6),"▼",IF(AND($E144&gt;=T$3,$E144&lt;=T$3+6),$A144,"")))</f>
        <v/>
      </c>
      <c r="U144" s="47" t="str">
        <f aca="false">IF($A144="","",IF(AND(INDEX(工程マスタ!$I$5:$I$154,$A144)="○",$E144&gt;=U$3,$E144&lt;=U$3+6),"▼",IF(AND($E144&gt;=U$3,$E144&lt;=U$3+6),$A144,"")))</f>
        <v/>
      </c>
      <c r="V144" s="47" t="str">
        <f aca="false">IF($A144="","",IF(AND(INDEX(工程マスタ!$I$5:$I$154,$A144)="○",$E144&gt;=V$3,$E144&lt;=V$3+6),"▼",IF(AND($E144&gt;=V$3,$E144&lt;=V$3+6),$A144,"")))</f>
        <v/>
      </c>
      <c r="W144" s="47" t="str">
        <f aca="false">IF($A144="","",IF(AND(INDEX(工程マスタ!$I$5:$I$154,$A144)="○",$E144&gt;=W$3,$E144&lt;=W$3+6),"▼",IF(AND($E144&gt;=W$3,$E144&lt;=W$3+6),$A144,"")))</f>
        <v/>
      </c>
      <c r="X144" s="47" t="str">
        <f aca="false">IF($A144="","",IF(AND(INDEX(工程マスタ!$I$5:$I$154,$A144)="○",$E144&gt;=X$3,$E144&lt;=X$3+6),"▼",IF(AND($E144&gt;=X$3,$E144&lt;=X$3+6),$A144,"")))</f>
        <v/>
      </c>
      <c r="Y144" s="47" t="str">
        <f aca="false">IF($A144="","",IF(AND(INDEX(工程マスタ!$I$5:$I$154,$A144)="○",$E144&gt;=Y$3,$E144&lt;=Y$3+6),"▼",IF(AND($E144&gt;=Y$3,$E144&lt;=Y$3+6),$A144,"")))</f>
        <v/>
      </c>
      <c r="Z144" s="47" t="str">
        <f aca="false">IF($A144="","",IF(AND(INDEX(工程マスタ!$I$5:$I$154,$A144)="○",$E144&gt;=Z$3,$E144&lt;=Z$3+6),"▼",IF(AND($E144&gt;=Z$3,$E144&lt;=Z$3+6),$A144,"")))</f>
        <v/>
      </c>
      <c r="AA144" s="47" t="str">
        <f aca="false">IF($A144="","",IF(AND(INDEX(工程マスタ!$I$5:$I$154,$A144)="○",$E144&gt;=AA$3,$E144&lt;=AA$3+6),"▼",IF(AND($E144&gt;=AA$3,$E144&lt;=AA$3+6),$A144,"")))</f>
        <v/>
      </c>
      <c r="AB144" s="47" t="str">
        <f aca="false">IF($A144="","",IF(AND(INDEX(工程マスタ!$I$5:$I$154,$A144)="○",$E144&gt;=AB$3,$E144&lt;=AB$3+6),"▼",IF(AND($E144&gt;=AB$3,$E144&lt;=AB$3+6),$A144,"")))</f>
        <v/>
      </c>
      <c r="AC144" s="47" t="str">
        <f aca="false">IF($A144="","",IF(AND(INDEX(工程マスタ!$I$5:$I$154,$A144)="○",$E144&gt;=AC$3,$E144&lt;=AC$3+6),"▼",IF(AND($E144&gt;=AC$3,$E144&lt;=AC$3+6),$A144,"")))</f>
        <v/>
      </c>
      <c r="AD144" s="47" t="str">
        <f aca="false">IF($A144="","",IF(AND(INDEX(工程マスタ!$I$5:$I$154,$A144)="○",$E144&gt;=AD$3,$E144&lt;=AD$3+6),"▼",IF(AND($E144&gt;=AD$3,$E144&lt;=AD$3+6),$A144,"")))</f>
        <v/>
      </c>
      <c r="AE144" s="47" t="str">
        <f aca="false">IF($A144="","",IF(AND(INDEX(工程マスタ!$I$5:$I$154,$A144)="○",$E144&gt;=AE$3,$E144&lt;=AE$3+6),"▼",IF(AND($E144&gt;=AE$3,$E144&lt;=AE$3+6),$A144,"")))</f>
        <v/>
      </c>
      <c r="AF144" s="47" t="str">
        <f aca="false">IF($A144="","",IF(AND(INDEX(工程マスタ!$I$5:$I$154,$A144)="○",$E144&gt;=AF$3,$E144&lt;=AF$3+6),"▼",IF(AND($E144&gt;=AF$3,$E144&lt;=AF$3+6),$A144,"")))</f>
        <v/>
      </c>
      <c r="AG144" s="47" t="str">
        <f aca="false">IF($A144="","",IF(AND(INDEX(工程マスタ!$I$5:$I$154,$A144)="○",$E144&gt;=AG$3,$E144&lt;=AG$3+6),"▼",IF(AND($E144&gt;=AG$3,$E144&lt;=AG$3+6),$A144,"")))</f>
        <v/>
      </c>
      <c r="AH144" s="47" t="str">
        <f aca="false">IF($A144="","",IF(AND(INDEX(工程マスタ!$I$5:$I$154,$A144)="○",$E144&gt;=AH$3,$E144&lt;=AH$3+6),"▼",IF(AND($E144&gt;=AH$3,$E144&lt;=AH$3+6),$A144,"")))</f>
        <v/>
      </c>
      <c r="AI144" s="47" t="str">
        <f aca="false">IF($A144="","",IF(AND(INDEX(工程マスタ!$I$5:$I$154,$A144)="○",$E144&gt;=AI$3,$E144&lt;=AI$3+6),"▼",IF(AND($E144&gt;=AI$3,$E144&lt;=AI$3+6),$A144,"")))</f>
        <v/>
      </c>
      <c r="AJ144" s="47" t="str">
        <f aca="false">IF($A144="","",IF(AND(INDEX(工程マスタ!$I$5:$I$154,$A144)="○",$E144&gt;=AJ$3,$E144&lt;=AJ$3+6),"▼",IF(AND($E144&gt;=AJ$3,$E144&lt;=AJ$3+6),$A144,"")))</f>
        <v/>
      </c>
      <c r="AK144" s="47" t="str">
        <f aca="false">IF($A144="","",IF(AND(INDEX(工程マスタ!$I$5:$I$154,$A144)="○",$E144&gt;=AK$3,$E144&lt;=AK$3+6),"▼",IF(AND($E144&gt;=AK$3,$E144&lt;=AK$3+6),$A144,"")))</f>
        <v/>
      </c>
      <c r="AL144" s="47" t="str">
        <f aca="false">IF($A144="","",IF(AND(INDEX(工程マスタ!$I$5:$I$154,$A144)="○",$E144&gt;=AL$3,$E144&lt;=AL$3+6),"▼",IF(AND($E144&gt;=AL$3,$E144&lt;=AL$3+6),$A144,"")))</f>
        <v/>
      </c>
      <c r="AM144" s="47" t="str">
        <f aca="false">IF($A144="","",IF(AND(INDEX(工程マスタ!$I$5:$I$154,$A144)="○",$E144&gt;=AM$3,$E144&lt;=AM$3+6),"▼",IF(AND($E144&gt;=AM$3,$E144&lt;=AM$3+6),$A144,"")))</f>
        <v/>
      </c>
      <c r="AN144" s="47" t="str">
        <f aca="false">IF($A144="","",IF(AND(INDEX(工程マスタ!$I$5:$I$154,$A144)="○",$E144&gt;=AN$3,$E144&lt;=AN$3+6),"▼",IF(AND($E144&gt;=AN$3,$E144&lt;=AN$3+6),$A144,"")))</f>
        <v/>
      </c>
      <c r="AO144" s="47" t="str">
        <f aca="false">IF($A144="","",IF(AND(INDEX(工程マスタ!$I$5:$I$154,$A144)="○",$E144&gt;=AO$3,$E144&lt;=AO$3+6),"▼",IF(AND($E144&gt;=AO$3,$E144&lt;=AO$3+6),$A144,"")))</f>
        <v/>
      </c>
      <c r="AP144" s="47" t="str">
        <f aca="false">IF($A144="","",IF(AND(INDEX(工程マスタ!$I$5:$I$154,$A144)="○",$E144&gt;=AP$3,$E144&lt;=AP$3+6),"▼",IF(AND($E144&gt;=AP$3,$E144&lt;=AP$3+6),$A144,"")))</f>
        <v/>
      </c>
      <c r="AQ144" s="47" t="str">
        <f aca="false">IF($A144="","",IF(AND(INDEX(工程マスタ!$I$5:$I$154,$A144)="○",$E144&gt;=AQ$3,$E144&lt;=AQ$3+6),"▼",IF(AND($E144&gt;=AQ$3,$E144&lt;=AQ$3+6),$A144,"")))</f>
        <v/>
      </c>
      <c r="AR144" s="47" t="str">
        <f aca="false">IF($A144="","",IF(AND(INDEX(工程マスタ!$I$5:$I$154,$A144)="○",$E144&gt;=AR$3,$E144&lt;=AR$3+6),"▼",IF(AND($E144&gt;=AR$3,$E144&lt;=AR$3+6),$A144,"")))</f>
        <v/>
      </c>
      <c r="AS144" s="47" t="str">
        <f aca="false">IF($A144="","",IF(AND(INDEX(工程マスタ!$I$5:$I$154,$A144)="○",$E144&gt;=AS$3,$E144&lt;=AS$3+6),"▼",IF(AND($E144&gt;=AS$3,$E144&lt;=AS$3+6),$A144,"")))</f>
        <v/>
      </c>
      <c r="AT144" s="47" t="str">
        <f aca="false">IF($A144="","",IF(AND(INDEX(工程マスタ!$I$5:$I$154,$A144)="○",$E144&gt;=AT$3,$E144&lt;=AT$3+6),"▼",IF(AND($E144&gt;=AT$3,$E144&lt;=AT$3+6),$A144,"")))</f>
        <v/>
      </c>
      <c r="AU144" s="47" t="str">
        <f aca="false">IF($A144="","",IF(AND(INDEX(工程マスタ!$I$5:$I$154,$A144)="○",$E144&gt;=AU$3,$E144&lt;=AU$3+6),"▼",IF(AND($E144&gt;=AU$3,$E144&lt;=AU$3+6),$A144,"")))</f>
        <v/>
      </c>
      <c r="AV144" s="47" t="str">
        <f aca="false">IF($A144="","",IF(AND(INDEX(工程マスタ!$I$5:$I$154,$A144)="○",$E144&gt;=AV$3,$E144&lt;=AV$3+6),"▼",IF(AND($E144&gt;=AV$3,$E144&lt;=AV$3+6),$A144,"")))</f>
        <v/>
      </c>
      <c r="AW144" s="47" t="str">
        <f aca="false">IF($A144="","",IF(AND(INDEX(工程マスタ!$I$5:$I$154,$A144)="○",$E144&gt;=AW$3,$E144&lt;=AW$3+6),"▼",IF(AND($E144&gt;=AW$3,$E144&lt;=AW$3+6),$A144,"")))</f>
        <v/>
      </c>
      <c r="AX144" s="47" t="str">
        <f aca="false">IF($A144="","",IF(AND(INDEX(工程マスタ!$I$5:$I$154,$A144)="○",$E144&gt;=AX$3,$E144&lt;=AX$3+6),"▼",IF(AND($E144&gt;=AX$3,$E144&lt;=AX$3+6),$A144,"")))</f>
        <v/>
      </c>
      <c r="AY144" s="47" t="str">
        <f aca="false">IF($A144="","",IF(AND(INDEX(工程マスタ!$I$5:$I$154,$A144)="○",$E144&gt;=AY$3,$E144&lt;=AY$3+6),"▼",IF(AND($E144&gt;=AY$3,$E144&lt;=AY$3+6),$A144,"")))</f>
        <v/>
      </c>
      <c r="AZ144" s="47" t="str">
        <f aca="false">IF($A144="","",IF(AND(INDEX(工程マスタ!$I$5:$I$154,$A144)="○",$E144&gt;=AZ$3,$E144&lt;=AZ$3+6),"▼",IF(AND($E144&gt;=AZ$3,$E144&lt;=AZ$3+6),$A144,"")))</f>
        <v/>
      </c>
      <c r="BA144" s="47" t="str">
        <f aca="false">IF($A144="","",IF(AND(INDEX(工程マスタ!$I$5:$I$154,$A144)="○",$E144&gt;=BA$3,$E144&lt;=BA$3+6),"▼",IF(AND($E144&gt;=BA$3,$E144&lt;=BA$3+6),$A144,"")))</f>
        <v/>
      </c>
      <c r="BB144" s="47" t="str">
        <f aca="false">IF($A144="","",IF(AND(INDEX(工程マスタ!$I$5:$I$154,$A144)="○",$E144&gt;=BB$3,$E144&lt;=BB$3+6),"▼",IF(AND($E144&gt;=BB$3,$E144&lt;=BB$3+6),$A144,"")))</f>
        <v/>
      </c>
      <c r="BC144" s="47" t="str">
        <f aca="false">IF($A144="","",IF(AND(INDEX(工程マスタ!$I$5:$I$154,$A144)="○",$E144&gt;=BC$3,$E144&lt;=BC$3+6),"▼",IF(AND($E144&gt;=BC$3,$E144&lt;=BC$3+6),$A144,"")))</f>
        <v/>
      </c>
      <c r="BD144" s="47" t="str">
        <f aca="false">IF($A144="","",IF(AND(INDEX(工程マスタ!$I$5:$I$154,$A144)="○",$E144&gt;=BD$3,$E144&lt;=BD$3+6),"▼",IF(AND($E144&gt;=BD$3,$E144&lt;=BD$3+6),$A144,"")))</f>
        <v/>
      </c>
      <c r="BE144" s="47" t="str">
        <f aca="false">IF($A144="","",IF(AND(INDEX(工程マスタ!$I$5:$I$154,$A144)="○",$E144&gt;=BE$3,$E144&lt;=BE$3+6),"▼",IF(AND($E144&gt;=BE$3,$E144&lt;=BE$3+6),$A144,"")))</f>
        <v/>
      </c>
      <c r="BF144" s="47" t="str">
        <f aca="false">IF($A144="","",IF(AND(INDEX(工程マスタ!$I$5:$I$154,$A144)="○",$E144&gt;=BF$3,$E144&lt;=BF$3+6),"▼",IF(AND($E144&gt;=BF$3,$E144&lt;=BF$3+6),$A144,"")))</f>
        <v/>
      </c>
      <c r="BG144" s="47" t="str">
        <f aca="false">IF($A144="","",IF(AND(INDEX(工程マスタ!$I$5:$I$154,$A144)="○",$E144&gt;=BG$3,$E144&lt;=BG$3+6),"▼",IF(AND($E144&gt;=BG$3,$E144&lt;=BG$3+6),$A144,"")))</f>
        <v/>
      </c>
      <c r="BH144" s="47" t="str">
        <f aca="false">IF($A144="","",IF(AND(INDEX(工程マスタ!$I$5:$I$154,$A144)="○",$E144&gt;=BH$3,$E144&lt;=BH$3+6),"▼",IF(AND($E144&gt;=BH$3,$E144&lt;=BH$3+6),$A144,"")))</f>
        <v/>
      </c>
      <c r="BI144" s="47" t="str">
        <f aca="false">IF($A144="","",IF(AND(INDEX(工程マスタ!$I$5:$I$154,$A144)="○",$E144&gt;=BI$3,$E144&lt;=BI$3+6),"▼",IF(AND($E144&gt;=BI$3,$E144&lt;=BI$3+6),$A144,"")))</f>
        <v/>
      </c>
      <c r="BJ144" s="47" t="str">
        <f aca="false">IF($A144="","",IF(AND(INDEX(工程マスタ!$I$5:$I$154,$A144)="○",$E144&gt;=BJ$3,$E144&lt;=BJ$3+6),"▼",IF(AND($E144&gt;=BJ$3,$E144&lt;=BJ$3+6),$A144,"")))</f>
        <v/>
      </c>
    </row>
    <row r="145" customFormat="false" ht="15" hidden="false" customHeight="false" outlineLevel="0" collapsed="false">
      <c r="A145" s="28" t="str">
        <f aca="false">IF(工程マスタ!$C143="","",工程マスタ!$A143)</f>
        <v/>
      </c>
      <c r="B145" s="46" t="str">
        <f aca="false">IF($A145="","",工程マスタ!$C143)</f>
        <v/>
      </c>
      <c r="C145" s="28" t="str">
        <f aca="false">IF($A145="","",MAX(1,工程マスタ!$G143))</f>
        <v/>
      </c>
      <c r="D145" s="28" t="str">
        <f aca="false">IF($A145="","",_xlfn.TEXTJOIN(",",TRUE(),工程マスタ!$N143:$P143))</f>
        <v/>
      </c>
      <c r="E145" s="29" t="str">
        <f aca="false">IF($A145="","",IF(COUNT(工程マスタ!$N143:$P143)=0,設定!$B$8,MAX(IF(工程マスタ!$N143="",0,INDEX($F$7:$F$156,工程マスタ!$N143)),IF(工程マスタ!$O143="",0,INDEX($F$7:$F$156,工程マスタ!$O143)),IF(工程マスタ!$P143="",0,INDEX($F$7:$F$156,工程マスタ!$P143)))+1))</f>
        <v/>
      </c>
      <c r="F145" s="29" t="str">
        <f aca="false">IF($A145="","",$E145+$C145-1)</f>
        <v/>
      </c>
      <c r="G145" s="29" t="str">
        <f aca="false">IF($A145="","",$H145-$C145+1)</f>
        <v/>
      </c>
      <c r="H145" s="29" t="str">
        <f aca="false" t="array" ref="H145:H145">IF($A145="","",IF(SUMPRODUCT((工程マスタ!$N$144:$N$154=$A145)*1)+SUMPRODUCT((工程マスタ!$O$144:$O$154=$A145)*1)+SUMPRODUCT((工程マスタ!$P$144:$P$154=$A145)*1)=0,MAX($F$7:$F$156),MIN(IF((工程マスタ!$N$144:$N$154=$A145)+(工程マスタ!$O$144:$O$154=$A145)+(工程マスタ!$P$144:$P$154=$A145),$G146:$G$156))-1))</f>
        <v/>
      </c>
      <c r="I145" s="28" t="str">
        <f aca="false">IF($A145="","",$G145-$E145)</f>
        <v/>
      </c>
      <c r="J145" s="28" t="str">
        <f aca="false">IF($A145="","",IF($I145&lt;=0,"●",""))</f>
        <v/>
      </c>
      <c r="K145" s="47" t="str">
        <f aca="false">IF($A145="","",IF(AND(INDEX(工程マスタ!$I$5:$I$154,$A145)="○",$E145&gt;=K$3,$E145&lt;=K$3+6),"▼",IF(AND($E145&gt;=K$3,$E145&lt;=K$3+6),$A145,"")))</f>
        <v/>
      </c>
      <c r="L145" s="47" t="str">
        <f aca="false">IF($A145="","",IF(AND(INDEX(工程マスタ!$I$5:$I$154,$A145)="○",$E145&gt;=L$3,$E145&lt;=L$3+6),"▼",IF(AND($E145&gt;=L$3,$E145&lt;=L$3+6),$A145,"")))</f>
        <v/>
      </c>
      <c r="M145" s="47" t="str">
        <f aca="false">IF($A145="","",IF(AND(INDEX(工程マスタ!$I$5:$I$154,$A145)="○",$E145&gt;=M$3,$E145&lt;=M$3+6),"▼",IF(AND($E145&gt;=M$3,$E145&lt;=M$3+6),$A145,"")))</f>
        <v/>
      </c>
      <c r="N145" s="47" t="str">
        <f aca="false">IF($A145="","",IF(AND(INDEX(工程マスタ!$I$5:$I$154,$A145)="○",$E145&gt;=N$3,$E145&lt;=N$3+6),"▼",IF(AND($E145&gt;=N$3,$E145&lt;=N$3+6),$A145,"")))</f>
        <v/>
      </c>
      <c r="O145" s="47" t="str">
        <f aca="false">IF($A145="","",IF(AND(INDEX(工程マスタ!$I$5:$I$154,$A145)="○",$E145&gt;=O$3,$E145&lt;=O$3+6),"▼",IF(AND($E145&gt;=O$3,$E145&lt;=O$3+6),$A145,"")))</f>
        <v/>
      </c>
      <c r="P145" s="47" t="str">
        <f aca="false">IF($A145="","",IF(AND(INDEX(工程マスタ!$I$5:$I$154,$A145)="○",$E145&gt;=P$3,$E145&lt;=P$3+6),"▼",IF(AND($E145&gt;=P$3,$E145&lt;=P$3+6),$A145,"")))</f>
        <v/>
      </c>
      <c r="Q145" s="47" t="str">
        <f aca="false">IF($A145="","",IF(AND(INDEX(工程マスタ!$I$5:$I$154,$A145)="○",$E145&gt;=Q$3,$E145&lt;=Q$3+6),"▼",IF(AND($E145&gt;=Q$3,$E145&lt;=Q$3+6),$A145,"")))</f>
        <v/>
      </c>
      <c r="R145" s="47" t="str">
        <f aca="false">IF($A145="","",IF(AND(INDEX(工程マスタ!$I$5:$I$154,$A145)="○",$E145&gt;=R$3,$E145&lt;=R$3+6),"▼",IF(AND($E145&gt;=R$3,$E145&lt;=R$3+6),$A145,"")))</f>
        <v/>
      </c>
      <c r="S145" s="47" t="str">
        <f aca="false">IF($A145="","",IF(AND(INDEX(工程マスタ!$I$5:$I$154,$A145)="○",$E145&gt;=S$3,$E145&lt;=S$3+6),"▼",IF(AND($E145&gt;=S$3,$E145&lt;=S$3+6),$A145,"")))</f>
        <v/>
      </c>
      <c r="T145" s="47" t="str">
        <f aca="false">IF($A145="","",IF(AND(INDEX(工程マスタ!$I$5:$I$154,$A145)="○",$E145&gt;=T$3,$E145&lt;=T$3+6),"▼",IF(AND($E145&gt;=T$3,$E145&lt;=T$3+6),$A145,"")))</f>
        <v/>
      </c>
      <c r="U145" s="47" t="str">
        <f aca="false">IF($A145="","",IF(AND(INDEX(工程マスタ!$I$5:$I$154,$A145)="○",$E145&gt;=U$3,$E145&lt;=U$3+6),"▼",IF(AND($E145&gt;=U$3,$E145&lt;=U$3+6),$A145,"")))</f>
        <v/>
      </c>
      <c r="V145" s="47" t="str">
        <f aca="false">IF($A145="","",IF(AND(INDEX(工程マスタ!$I$5:$I$154,$A145)="○",$E145&gt;=V$3,$E145&lt;=V$3+6),"▼",IF(AND($E145&gt;=V$3,$E145&lt;=V$3+6),$A145,"")))</f>
        <v/>
      </c>
      <c r="W145" s="47" t="str">
        <f aca="false">IF($A145="","",IF(AND(INDEX(工程マスタ!$I$5:$I$154,$A145)="○",$E145&gt;=W$3,$E145&lt;=W$3+6),"▼",IF(AND($E145&gt;=W$3,$E145&lt;=W$3+6),$A145,"")))</f>
        <v/>
      </c>
      <c r="X145" s="47" t="str">
        <f aca="false">IF($A145="","",IF(AND(INDEX(工程マスタ!$I$5:$I$154,$A145)="○",$E145&gt;=X$3,$E145&lt;=X$3+6),"▼",IF(AND($E145&gt;=X$3,$E145&lt;=X$3+6),$A145,"")))</f>
        <v/>
      </c>
      <c r="Y145" s="47" t="str">
        <f aca="false">IF($A145="","",IF(AND(INDEX(工程マスタ!$I$5:$I$154,$A145)="○",$E145&gt;=Y$3,$E145&lt;=Y$3+6),"▼",IF(AND($E145&gt;=Y$3,$E145&lt;=Y$3+6),$A145,"")))</f>
        <v/>
      </c>
      <c r="Z145" s="47" t="str">
        <f aca="false">IF($A145="","",IF(AND(INDEX(工程マスタ!$I$5:$I$154,$A145)="○",$E145&gt;=Z$3,$E145&lt;=Z$3+6),"▼",IF(AND($E145&gt;=Z$3,$E145&lt;=Z$3+6),$A145,"")))</f>
        <v/>
      </c>
      <c r="AA145" s="47" t="str">
        <f aca="false">IF($A145="","",IF(AND(INDEX(工程マスタ!$I$5:$I$154,$A145)="○",$E145&gt;=AA$3,$E145&lt;=AA$3+6),"▼",IF(AND($E145&gt;=AA$3,$E145&lt;=AA$3+6),$A145,"")))</f>
        <v/>
      </c>
      <c r="AB145" s="47" t="str">
        <f aca="false">IF($A145="","",IF(AND(INDEX(工程マスタ!$I$5:$I$154,$A145)="○",$E145&gt;=AB$3,$E145&lt;=AB$3+6),"▼",IF(AND($E145&gt;=AB$3,$E145&lt;=AB$3+6),$A145,"")))</f>
        <v/>
      </c>
      <c r="AC145" s="47" t="str">
        <f aca="false">IF($A145="","",IF(AND(INDEX(工程マスタ!$I$5:$I$154,$A145)="○",$E145&gt;=AC$3,$E145&lt;=AC$3+6),"▼",IF(AND($E145&gt;=AC$3,$E145&lt;=AC$3+6),$A145,"")))</f>
        <v/>
      </c>
      <c r="AD145" s="47" t="str">
        <f aca="false">IF($A145="","",IF(AND(INDEX(工程マスタ!$I$5:$I$154,$A145)="○",$E145&gt;=AD$3,$E145&lt;=AD$3+6),"▼",IF(AND($E145&gt;=AD$3,$E145&lt;=AD$3+6),$A145,"")))</f>
        <v/>
      </c>
      <c r="AE145" s="47" t="str">
        <f aca="false">IF($A145="","",IF(AND(INDEX(工程マスタ!$I$5:$I$154,$A145)="○",$E145&gt;=AE$3,$E145&lt;=AE$3+6),"▼",IF(AND($E145&gt;=AE$3,$E145&lt;=AE$3+6),$A145,"")))</f>
        <v/>
      </c>
      <c r="AF145" s="47" t="str">
        <f aca="false">IF($A145="","",IF(AND(INDEX(工程マスタ!$I$5:$I$154,$A145)="○",$E145&gt;=AF$3,$E145&lt;=AF$3+6),"▼",IF(AND($E145&gt;=AF$3,$E145&lt;=AF$3+6),$A145,"")))</f>
        <v/>
      </c>
      <c r="AG145" s="47" t="str">
        <f aca="false">IF($A145="","",IF(AND(INDEX(工程マスタ!$I$5:$I$154,$A145)="○",$E145&gt;=AG$3,$E145&lt;=AG$3+6),"▼",IF(AND($E145&gt;=AG$3,$E145&lt;=AG$3+6),$A145,"")))</f>
        <v/>
      </c>
      <c r="AH145" s="47" t="str">
        <f aca="false">IF($A145="","",IF(AND(INDEX(工程マスタ!$I$5:$I$154,$A145)="○",$E145&gt;=AH$3,$E145&lt;=AH$3+6),"▼",IF(AND($E145&gt;=AH$3,$E145&lt;=AH$3+6),$A145,"")))</f>
        <v/>
      </c>
      <c r="AI145" s="47" t="str">
        <f aca="false">IF($A145="","",IF(AND(INDEX(工程マスタ!$I$5:$I$154,$A145)="○",$E145&gt;=AI$3,$E145&lt;=AI$3+6),"▼",IF(AND($E145&gt;=AI$3,$E145&lt;=AI$3+6),$A145,"")))</f>
        <v/>
      </c>
      <c r="AJ145" s="47" t="str">
        <f aca="false">IF($A145="","",IF(AND(INDEX(工程マスタ!$I$5:$I$154,$A145)="○",$E145&gt;=AJ$3,$E145&lt;=AJ$3+6),"▼",IF(AND($E145&gt;=AJ$3,$E145&lt;=AJ$3+6),$A145,"")))</f>
        <v/>
      </c>
      <c r="AK145" s="47" t="str">
        <f aca="false">IF($A145="","",IF(AND(INDEX(工程マスタ!$I$5:$I$154,$A145)="○",$E145&gt;=AK$3,$E145&lt;=AK$3+6),"▼",IF(AND($E145&gt;=AK$3,$E145&lt;=AK$3+6),$A145,"")))</f>
        <v/>
      </c>
      <c r="AL145" s="47" t="str">
        <f aca="false">IF($A145="","",IF(AND(INDEX(工程マスタ!$I$5:$I$154,$A145)="○",$E145&gt;=AL$3,$E145&lt;=AL$3+6),"▼",IF(AND($E145&gt;=AL$3,$E145&lt;=AL$3+6),$A145,"")))</f>
        <v/>
      </c>
      <c r="AM145" s="47" t="str">
        <f aca="false">IF($A145="","",IF(AND(INDEX(工程マスタ!$I$5:$I$154,$A145)="○",$E145&gt;=AM$3,$E145&lt;=AM$3+6),"▼",IF(AND($E145&gt;=AM$3,$E145&lt;=AM$3+6),$A145,"")))</f>
        <v/>
      </c>
      <c r="AN145" s="47" t="str">
        <f aca="false">IF($A145="","",IF(AND(INDEX(工程マスタ!$I$5:$I$154,$A145)="○",$E145&gt;=AN$3,$E145&lt;=AN$3+6),"▼",IF(AND($E145&gt;=AN$3,$E145&lt;=AN$3+6),$A145,"")))</f>
        <v/>
      </c>
      <c r="AO145" s="47" t="str">
        <f aca="false">IF($A145="","",IF(AND(INDEX(工程マスタ!$I$5:$I$154,$A145)="○",$E145&gt;=AO$3,$E145&lt;=AO$3+6),"▼",IF(AND($E145&gt;=AO$3,$E145&lt;=AO$3+6),$A145,"")))</f>
        <v/>
      </c>
      <c r="AP145" s="47" t="str">
        <f aca="false">IF($A145="","",IF(AND(INDEX(工程マスタ!$I$5:$I$154,$A145)="○",$E145&gt;=AP$3,$E145&lt;=AP$3+6),"▼",IF(AND($E145&gt;=AP$3,$E145&lt;=AP$3+6),$A145,"")))</f>
        <v/>
      </c>
      <c r="AQ145" s="47" t="str">
        <f aca="false">IF($A145="","",IF(AND(INDEX(工程マスタ!$I$5:$I$154,$A145)="○",$E145&gt;=AQ$3,$E145&lt;=AQ$3+6),"▼",IF(AND($E145&gt;=AQ$3,$E145&lt;=AQ$3+6),$A145,"")))</f>
        <v/>
      </c>
      <c r="AR145" s="47" t="str">
        <f aca="false">IF($A145="","",IF(AND(INDEX(工程マスタ!$I$5:$I$154,$A145)="○",$E145&gt;=AR$3,$E145&lt;=AR$3+6),"▼",IF(AND($E145&gt;=AR$3,$E145&lt;=AR$3+6),$A145,"")))</f>
        <v/>
      </c>
      <c r="AS145" s="47" t="str">
        <f aca="false">IF($A145="","",IF(AND(INDEX(工程マスタ!$I$5:$I$154,$A145)="○",$E145&gt;=AS$3,$E145&lt;=AS$3+6),"▼",IF(AND($E145&gt;=AS$3,$E145&lt;=AS$3+6),$A145,"")))</f>
        <v/>
      </c>
      <c r="AT145" s="47" t="str">
        <f aca="false">IF($A145="","",IF(AND(INDEX(工程マスタ!$I$5:$I$154,$A145)="○",$E145&gt;=AT$3,$E145&lt;=AT$3+6),"▼",IF(AND($E145&gt;=AT$3,$E145&lt;=AT$3+6),$A145,"")))</f>
        <v/>
      </c>
      <c r="AU145" s="47" t="str">
        <f aca="false">IF($A145="","",IF(AND(INDEX(工程マスタ!$I$5:$I$154,$A145)="○",$E145&gt;=AU$3,$E145&lt;=AU$3+6),"▼",IF(AND($E145&gt;=AU$3,$E145&lt;=AU$3+6),$A145,"")))</f>
        <v/>
      </c>
      <c r="AV145" s="47" t="str">
        <f aca="false">IF($A145="","",IF(AND(INDEX(工程マスタ!$I$5:$I$154,$A145)="○",$E145&gt;=AV$3,$E145&lt;=AV$3+6),"▼",IF(AND($E145&gt;=AV$3,$E145&lt;=AV$3+6),$A145,"")))</f>
        <v/>
      </c>
      <c r="AW145" s="47" t="str">
        <f aca="false">IF($A145="","",IF(AND(INDEX(工程マスタ!$I$5:$I$154,$A145)="○",$E145&gt;=AW$3,$E145&lt;=AW$3+6),"▼",IF(AND($E145&gt;=AW$3,$E145&lt;=AW$3+6),$A145,"")))</f>
        <v/>
      </c>
      <c r="AX145" s="47" t="str">
        <f aca="false">IF($A145="","",IF(AND(INDEX(工程マスタ!$I$5:$I$154,$A145)="○",$E145&gt;=AX$3,$E145&lt;=AX$3+6),"▼",IF(AND($E145&gt;=AX$3,$E145&lt;=AX$3+6),$A145,"")))</f>
        <v/>
      </c>
      <c r="AY145" s="47" t="str">
        <f aca="false">IF($A145="","",IF(AND(INDEX(工程マスタ!$I$5:$I$154,$A145)="○",$E145&gt;=AY$3,$E145&lt;=AY$3+6),"▼",IF(AND($E145&gt;=AY$3,$E145&lt;=AY$3+6),$A145,"")))</f>
        <v/>
      </c>
      <c r="AZ145" s="47" t="str">
        <f aca="false">IF($A145="","",IF(AND(INDEX(工程マスタ!$I$5:$I$154,$A145)="○",$E145&gt;=AZ$3,$E145&lt;=AZ$3+6),"▼",IF(AND($E145&gt;=AZ$3,$E145&lt;=AZ$3+6),$A145,"")))</f>
        <v/>
      </c>
      <c r="BA145" s="47" t="str">
        <f aca="false">IF($A145="","",IF(AND(INDEX(工程マスタ!$I$5:$I$154,$A145)="○",$E145&gt;=BA$3,$E145&lt;=BA$3+6),"▼",IF(AND($E145&gt;=BA$3,$E145&lt;=BA$3+6),$A145,"")))</f>
        <v/>
      </c>
      <c r="BB145" s="47" t="str">
        <f aca="false">IF($A145="","",IF(AND(INDEX(工程マスタ!$I$5:$I$154,$A145)="○",$E145&gt;=BB$3,$E145&lt;=BB$3+6),"▼",IF(AND($E145&gt;=BB$3,$E145&lt;=BB$3+6),$A145,"")))</f>
        <v/>
      </c>
      <c r="BC145" s="47" t="str">
        <f aca="false">IF($A145="","",IF(AND(INDEX(工程マスタ!$I$5:$I$154,$A145)="○",$E145&gt;=BC$3,$E145&lt;=BC$3+6),"▼",IF(AND($E145&gt;=BC$3,$E145&lt;=BC$3+6),$A145,"")))</f>
        <v/>
      </c>
      <c r="BD145" s="47" t="str">
        <f aca="false">IF($A145="","",IF(AND(INDEX(工程マスタ!$I$5:$I$154,$A145)="○",$E145&gt;=BD$3,$E145&lt;=BD$3+6),"▼",IF(AND($E145&gt;=BD$3,$E145&lt;=BD$3+6),$A145,"")))</f>
        <v/>
      </c>
      <c r="BE145" s="47" t="str">
        <f aca="false">IF($A145="","",IF(AND(INDEX(工程マスタ!$I$5:$I$154,$A145)="○",$E145&gt;=BE$3,$E145&lt;=BE$3+6),"▼",IF(AND($E145&gt;=BE$3,$E145&lt;=BE$3+6),$A145,"")))</f>
        <v/>
      </c>
      <c r="BF145" s="47" t="str">
        <f aca="false">IF($A145="","",IF(AND(INDEX(工程マスタ!$I$5:$I$154,$A145)="○",$E145&gt;=BF$3,$E145&lt;=BF$3+6),"▼",IF(AND($E145&gt;=BF$3,$E145&lt;=BF$3+6),$A145,"")))</f>
        <v/>
      </c>
      <c r="BG145" s="47" t="str">
        <f aca="false">IF($A145="","",IF(AND(INDEX(工程マスタ!$I$5:$I$154,$A145)="○",$E145&gt;=BG$3,$E145&lt;=BG$3+6),"▼",IF(AND($E145&gt;=BG$3,$E145&lt;=BG$3+6),$A145,"")))</f>
        <v/>
      </c>
      <c r="BH145" s="47" t="str">
        <f aca="false">IF($A145="","",IF(AND(INDEX(工程マスタ!$I$5:$I$154,$A145)="○",$E145&gt;=BH$3,$E145&lt;=BH$3+6),"▼",IF(AND($E145&gt;=BH$3,$E145&lt;=BH$3+6),$A145,"")))</f>
        <v/>
      </c>
      <c r="BI145" s="47" t="str">
        <f aca="false">IF($A145="","",IF(AND(INDEX(工程マスタ!$I$5:$I$154,$A145)="○",$E145&gt;=BI$3,$E145&lt;=BI$3+6),"▼",IF(AND($E145&gt;=BI$3,$E145&lt;=BI$3+6),$A145,"")))</f>
        <v/>
      </c>
      <c r="BJ145" s="47" t="str">
        <f aca="false">IF($A145="","",IF(AND(INDEX(工程マスタ!$I$5:$I$154,$A145)="○",$E145&gt;=BJ$3,$E145&lt;=BJ$3+6),"▼",IF(AND($E145&gt;=BJ$3,$E145&lt;=BJ$3+6),$A145,"")))</f>
        <v/>
      </c>
    </row>
    <row r="146" customFormat="false" ht="15" hidden="false" customHeight="false" outlineLevel="0" collapsed="false">
      <c r="A146" s="28" t="str">
        <f aca="false">IF(工程マスタ!$C144="","",工程マスタ!$A144)</f>
        <v/>
      </c>
      <c r="B146" s="46" t="str">
        <f aca="false">IF($A146="","",工程マスタ!$C144)</f>
        <v/>
      </c>
      <c r="C146" s="28" t="str">
        <f aca="false">IF($A146="","",MAX(1,工程マスタ!$G144))</f>
        <v/>
      </c>
      <c r="D146" s="28" t="str">
        <f aca="false">IF($A146="","",_xlfn.TEXTJOIN(",",TRUE(),工程マスタ!$N144:$P144))</f>
        <v/>
      </c>
      <c r="E146" s="29" t="str">
        <f aca="false">IF($A146="","",IF(COUNT(工程マスタ!$N144:$P144)=0,設定!$B$8,MAX(IF(工程マスタ!$N144="",0,INDEX($F$7:$F$156,工程マスタ!$N144)),IF(工程マスタ!$O144="",0,INDEX($F$7:$F$156,工程マスタ!$O144)),IF(工程マスタ!$P144="",0,INDEX($F$7:$F$156,工程マスタ!$P144)))+1))</f>
        <v/>
      </c>
      <c r="F146" s="29" t="str">
        <f aca="false">IF($A146="","",$E146+$C146-1)</f>
        <v/>
      </c>
      <c r="G146" s="29" t="str">
        <f aca="false">IF($A146="","",$H146-$C146+1)</f>
        <v/>
      </c>
      <c r="H146" s="29" t="str">
        <f aca="false" t="array" ref="H146:H146">IF($A146="","",IF(SUMPRODUCT((工程マスタ!$N$145:$N$154=$A146)*1)+SUMPRODUCT((工程マスタ!$O$145:$O$154=$A146)*1)+SUMPRODUCT((工程マスタ!$P$145:$P$154=$A146)*1)=0,MAX($F$7:$F$156),MIN(IF((工程マスタ!$N$145:$N$154=$A146)+(工程マスタ!$O$145:$O$154=$A146)+(工程マスタ!$P$145:$P$154=$A146),$G147:$G$156))-1))</f>
        <v/>
      </c>
      <c r="I146" s="28" t="str">
        <f aca="false">IF($A146="","",$G146-$E146)</f>
        <v/>
      </c>
      <c r="J146" s="28" t="str">
        <f aca="false">IF($A146="","",IF($I146&lt;=0,"●",""))</f>
        <v/>
      </c>
      <c r="K146" s="47" t="str">
        <f aca="false">IF($A146="","",IF(AND(INDEX(工程マスタ!$I$5:$I$154,$A146)="○",$E146&gt;=K$3,$E146&lt;=K$3+6),"▼",IF(AND($E146&gt;=K$3,$E146&lt;=K$3+6),$A146,"")))</f>
        <v/>
      </c>
      <c r="L146" s="47" t="str">
        <f aca="false">IF($A146="","",IF(AND(INDEX(工程マスタ!$I$5:$I$154,$A146)="○",$E146&gt;=L$3,$E146&lt;=L$3+6),"▼",IF(AND($E146&gt;=L$3,$E146&lt;=L$3+6),$A146,"")))</f>
        <v/>
      </c>
      <c r="M146" s="47" t="str">
        <f aca="false">IF($A146="","",IF(AND(INDEX(工程マスタ!$I$5:$I$154,$A146)="○",$E146&gt;=M$3,$E146&lt;=M$3+6),"▼",IF(AND($E146&gt;=M$3,$E146&lt;=M$3+6),$A146,"")))</f>
        <v/>
      </c>
      <c r="N146" s="47" t="str">
        <f aca="false">IF($A146="","",IF(AND(INDEX(工程マスタ!$I$5:$I$154,$A146)="○",$E146&gt;=N$3,$E146&lt;=N$3+6),"▼",IF(AND($E146&gt;=N$3,$E146&lt;=N$3+6),$A146,"")))</f>
        <v/>
      </c>
      <c r="O146" s="47" t="str">
        <f aca="false">IF($A146="","",IF(AND(INDEX(工程マスタ!$I$5:$I$154,$A146)="○",$E146&gt;=O$3,$E146&lt;=O$3+6),"▼",IF(AND($E146&gt;=O$3,$E146&lt;=O$3+6),$A146,"")))</f>
        <v/>
      </c>
      <c r="P146" s="47" t="str">
        <f aca="false">IF($A146="","",IF(AND(INDEX(工程マスタ!$I$5:$I$154,$A146)="○",$E146&gt;=P$3,$E146&lt;=P$3+6),"▼",IF(AND($E146&gt;=P$3,$E146&lt;=P$3+6),$A146,"")))</f>
        <v/>
      </c>
      <c r="Q146" s="47" t="str">
        <f aca="false">IF($A146="","",IF(AND(INDEX(工程マスタ!$I$5:$I$154,$A146)="○",$E146&gt;=Q$3,$E146&lt;=Q$3+6),"▼",IF(AND($E146&gt;=Q$3,$E146&lt;=Q$3+6),$A146,"")))</f>
        <v/>
      </c>
      <c r="R146" s="47" t="str">
        <f aca="false">IF($A146="","",IF(AND(INDEX(工程マスタ!$I$5:$I$154,$A146)="○",$E146&gt;=R$3,$E146&lt;=R$3+6),"▼",IF(AND($E146&gt;=R$3,$E146&lt;=R$3+6),$A146,"")))</f>
        <v/>
      </c>
      <c r="S146" s="47" t="str">
        <f aca="false">IF($A146="","",IF(AND(INDEX(工程マスタ!$I$5:$I$154,$A146)="○",$E146&gt;=S$3,$E146&lt;=S$3+6),"▼",IF(AND($E146&gt;=S$3,$E146&lt;=S$3+6),$A146,"")))</f>
        <v/>
      </c>
      <c r="T146" s="47" t="str">
        <f aca="false">IF($A146="","",IF(AND(INDEX(工程マスタ!$I$5:$I$154,$A146)="○",$E146&gt;=T$3,$E146&lt;=T$3+6),"▼",IF(AND($E146&gt;=T$3,$E146&lt;=T$3+6),$A146,"")))</f>
        <v/>
      </c>
      <c r="U146" s="47" t="str">
        <f aca="false">IF($A146="","",IF(AND(INDEX(工程マスタ!$I$5:$I$154,$A146)="○",$E146&gt;=U$3,$E146&lt;=U$3+6),"▼",IF(AND($E146&gt;=U$3,$E146&lt;=U$3+6),$A146,"")))</f>
        <v/>
      </c>
      <c r="V146" s="47" t="str">
        <f aca="false">IF($A146="","",IF(AND(INDEX(工程マスタ!$I$5:$I$154,$A146)="○",$E146&gt;=V$3,$E146&lt;=V$3+6),"▼",IF(AND($E146&gt;=V$3,$E146&lt;=V$3+6),$A146,"")))</f>
        <v/>
      </c>
      <c r="W146" s="47" t="str">
        <f aca="false">IF($A146="","",IF(AND(INDEX(工程マスタ!$I$5:$I$154,$A146)="○",$E146&gt;=W$3,$E146&lt;=W$3+6),"▼",IF(AND($E146&gt;=W$3,$E146&lt;=W$3+6),$A146,"")))</f>
        <v/>
      </c>
      <c r="X146" s="47" t="str">
        <f aca="false">IF($A146="","",IF(AND(INDEX(工程マスタ!$I$5:$I$154,$A146)="○",$E146&gt;=X$3,$E146&lt;=X$3+6),"▼",IF(AND($E146&gt;=X$3,$E146&lt;=X$3+6),$A146,"")))</f>
        <v/>
      </c>
      <c r="Y146" s="47" t="str">
        <f aca="false">IF($A146="","",IF(AND(INDEX(工程マスタ!$I$5:$I$154,$A146)="○",$E146&gt;=Y$3,$E146&lt;=Y$3+6),"▼",IF(AND($E146&gt;=Y$3,$E146&lt;=Y$3+6),$A146,"")))</f>
        <v/>
      </c>
      <c r="Z146" s="47" t="str">
        <f aca="false">IF($A146="","",IF(AND(INDEX(工程マスタ!$I$5:$I$154,$A146)="○",$E146&gt;=Z$3,$E146&lt;=Z$3+6),"▼",IF(AND($E146&gt;=Z$3,$E146&lt;=Z$3+6),$A146,"")))</f>
        <v/>
      </c>
      <c r="AA146" s="47" t="str">
        <f aca="false">IF($A146="","",IF(AND(INDEX(工程マスタ!$I$5:$I$154,$A146)="○",$E146&gt;=AA$3,$E146&lt;=AA$3+6),"▼",IF(AND($E146&gt;=AA$3,$E146&lt;=AA$3+6),$A146,"")))</f>
        <v/>
      </c>
      <c r="AB146" s="47" t="str">
        <f aca="false">IF($A146="","",IF(AND(INDEX(工程マスタ!$I$5:$I$154,$A146)="○",$E146&gt;=AB$3,$E146&lt;=AB$3+6),"▼",IF(AND($E146&gt;=AB$3,$E146&lt;=AB$3+6),$A146,"")))</f>
        <v/>
      </c>
      <c r="AC146" s="47" t="str">
        <f aca="false">IF($A146="","",IF(AND(INDEX(工程マスタ!$I$5:$I$154,$A146)="○",$E146&gt;=AC$3,$E146&lt;=AC$3+6),"▼",IF(AND($E146&gt;=AC$3,$E146&lt;=AC$3+6),$A146,"")))</f>
        <v/>
      </c>
      <c r="AD146" s="47" t="str">
        <f aca="false">IF($A146="","",IF(AND(INDEX(工程マスタ!$I$5:$I$154,$A146)="○",$E146&gt;=AD$3,$E146&lt;=AD$3+6),"▼",IF(AND($E146&gt;=AD$3,$E146&lt;=AD$3+6),$A146,"")))</f>
        <v/>
      </c>
      <c r="AE146" s="47" t="str">
        <f aca="false">IF($A146="","",IF(AND(INDEX(工程マスタ!$I$5:$I$154,$A146)="○",$E146&gt;=AE$3,$E146&lt;=AE$3+6),"▼",IF(AND($E146&gt;=AE$3,$E146&lt;=AE$3+6),$A146,"")))</f>
        <v/>
      </c>
      <c r="AF146" s="47" t="str">
        <f aca="false">IF($A146="","",IF(AND(INDEX(工程マスタ!$I$5:$I$154,$A146)="○",$E146&gt;=AF$3,$E146&lt;=AF$3+6),"▼",IF(AND($E146&gt;=AF$3,$E146&lt;=AF$3+6),$A146,"")))</f>
        <v/>
      </c>
      <c r="AG146" s="47" t="str">
        <f aca="false">IF($A146="","",IF(AND(INDEX(工程マスタ!$I$5:$I$154,$A146)="○",$E146&gt;=AG$3,$E146&lt;=AG$3+6),"▼",IF(AND($E146&gt;=AG$3,$E146&lt;=AG$3+6),$A146,"")))</f>
        <v/>
      </c>
      <c r="AH146" s="47" t="str">
        <f aca="false">IF($A146="","",IF(AND(INDEX(工程マスタ!$I$5:$I$154,$A146)="○",$E146&gt;=AH$3,$E146&lt;=AH$3+6),"▼",IF(AND($E146&gt;=AH$3,$E146&lt;=AH$3+6),$A146,"")))</f>
        <v/>
      </c>
      <c r="AI146" s="47" t="str">
        <f aca="false">IF($A146="","",IF(AND(INDEX(工程マスタ!$I$5:$I$154,$A146)="○",$E146&gt;=AI$3,$E146&lt;=AI$3+6),"▼",IF(AND($E146&gt;=AI$3,$E146&lt;=AI$3+6),$A146,"")))</f>
        <v/>
      </c>
      <c r="AJ146" s="47" t="str">
        <f aca="false">IF($A146="","",IF(AND(INDEX(工程マスタ!$I$5:$I$154,$A146)="○",$E146&gt;=AJ$3,$E146&lt;=AJ$3+6),"▼",IF(AND($E146&gt;=AJ$3,$E146&lt;=AJ$3+6),$A146,"")))</f>
        <v/>
      </c>
      <c r="AK146" s="47" t="str">
        <f aca="false">IF($A146="","",IF(AND(INDEX(工程マスタ!$I$5:$I$154,$A146)="○",$E146&gt;=AK$3,$E146&lt;=AK$3+6),"▼",IF(AND($E146&gt;=AK$3,$E146&lt;=AK$3+6),$A146,"")))</f>
        <v/>
      </c>
      <c r="AL146" s="47" t="str">
        <f aca="false">IF($A146="","",IF(AND(INDEX(工程マスタ!$I$5:$I$154,$A146)="○",$E146&gt;=AL$3,$E146&lt;=AL$3+6),"▼",IF(AND($E146&gt;=AL$3,$E146&lt;=AL$3+6),$A146,"")))</f>
        <v/>
      </c>
      <c r="AM146" s="47" t="str">
        <f aca="false">IF($A146="","",IF(AND(INDEX(工程マスタ!$I$5:$I$154,$A146)="○",$E146&gt;=AM$3,$E146&lt;=AM$3+6),"▼",IF(AND($E146&gt;=AM$3,$E146&lt;=AM$3+6),$A146,"")))</f>
        <v/>
      </c>
      <c r="AN146" s="47" t="str">
        <f aca="false">IF($A146="","",IF(AND(INDEX(工程マスタ!$I$5:$I$154,$A146)="○",$E146&gt;=AN$3,$E146&lt;=AN$3+6),"▼",IF(AND($E146&gt;=AN$3,$E146&lt;=AN$3+6),$A146,"")))</f>
        <v/>
      </c>
      <c r="AO146" s="47" t="str">
        <f aca="false">IF($A146="","",IF(AND(INDEX(工程マスタ!$I$5:$I$154,$A146)="○",$E146&gt;=AO$3,$E146&lt;=AO$3+6),"▼",IF(AND($E146&gt;=AO$3,$E146&lt;=AO$3+6),$A146,"")))</f>
        <v/>
      </c>
      <c r="AP146" s="47" t="str">
        <f aca="false">IF($A146="","",IF(AND(INDEX(工程マスタ!$I$5:$I$154,$A146)="○",$E146&gt;=AP$3,$E146&lt;=AP$3+6),"▼",IF(AND($E146&gt;=AP$3,$E146&lt;=AP$3+6),$A146,"")))</f>
        <v/>
      </c>
      <c r="AQ146" s="47" t="str">
        <f aca="false">IF($A146="","",IF(AND(INDEX(工程マスタ!$I$5:$I$154,$A146)="○",$E146&gt;=AQ$3,$E146&lt;=AQ$3+6),"▼",IF(AND($E146&gt;=AQ$3,$E146&lt;=AQ$3+6),$A146,"")))</f>
        <v/>
      </c>
      <c r="AR146" s="47" t="str">
        <f aca="false">IF($A146="","",IF(AND(INDEX(工程マスタ!$I$5:$I$154,$A146)="○",$E146&gt;=AR$3,$E146&lt;=AR$3+6),"▼",IF(AND($E146&gt;=AR$3,$E146&lt;=AR$3+6),$A146,"")))</f>
        <v/>
      </c>
      <c r="AS146" s="47" t="str">
        <f aca="false">IF($A146="","",IF(AND(INDEX(工程マスタ!$I$5:$I$154,$A146)="○",$E146&gt;=AS$3,$E146&lt;=AS$3+6),"▼",IF(AND($E146&gt;=AS$3,$E146&lt;=AS$3+6),$A146,"")))</f>
        <v/>
      </c>
      <c r="AT146" s="47" t="str">
        <f aca="false">IF($A146="","",IF(AND(INDEX(工程マスタ!$I$5:$I$154,$A146)="○",$E146&gt;=AT$3,$E146&lt;=AT$3+6),"▼",IF(AND($E146&gt;=AT$3,$E146&lt;=AT$3+6),$A146,"")))</f>
        <v/>
      </c>
      <c r="AU146" s="47" t="str">
        <f aca="false">IF($A146="","",IF(AND(INDEX(工程マスタ!$I$5:$I$154,$A146)="○",$E146&gt;=AU$3,$E146&lt;=AU$3+6),"▼",IF(AND($E146&gt;=AU$3,$E146&lt;=AU$3+6),$A146,"")))</f>
        <v/>
      </c>
      <c r="AV146" s="47" t="str">
        <f aca="false">IF($A146="","",IF(AND(INDEX(工程マスタ!$I$5:$I$154,$A146)="○",$E146&gt;=AV$3,$E146&lt;=AV$3+6),"▼",IF(AND($E146&gt;=AV$3,$E146&lt;=AV$3+6),$A146,"")))</f>
        <v/>
      </c>
      <c r="AW146" s="47" t="str">
        <f aca="false">IF($A146="","",IF(AND(INDEX(工程マスタ!$I$5:$I$154,$A146)="○",$E146&gt;=AW$3,$E146&lt;=AW$3+6),"▼",IF(AND($E146&gt;=AW$3,$E146&lt;=AW$3+6),$A146,"")))</f>
        <v/>
      </c>
      <c r="AX146" s="47" t="str">
        <f aca="false">IF($A146="","",IF(AND(INDEX(工程マスタ!$I$5:$I$154,$A146)="○",$E146&gt;=AX$3,$E146&lt;=AX$3+6),"▼",IF(AND($E146&gt;=AX$3,$E146&lt;=AX$3+6),$A146,"")))</f>
        <v/>
      </c>
      <c r="AY146" s="47" t="str">
        <f aca="false">IF($A146="","",IF(AND(INDEX(工程マスタ!$I$5:$I$154,$A146)="○",$E146&gt;=AY$3,$E146&lt;=AY$3+6),"▼",IF(AND($E146&gt;=AY$3,$E146&lt;=AY$3+6),$A146,"")))</f>
        <v/>
      </c>
      <c r="AZ146" s="47" t="str">
        <f aca="false">IF($A146="","",IF(AND(INDEX(工程マスタ!$I$5:$I$154,$A146)="○",$E146&gt;=AZ$3,$E146&lt;=AZ$3+6),"▼",IF(AND($E146&gt;=AZ$3,$E146&lt;=AZ$3+6),$A146,"")))</f>
        <v/>
      </c>
      <c r="BA146" s="47" t="str">
        <f aca="false">IF($A146="","",IF(AND(INDEX(工程マスタ!$I$5:$I$154,$A146)="○",$E146&gt;=BA$3,$E146&lt;=BA$3+6),"▼",IF(AND($E146&gt;=BA$3,$E146&lt;=BA$3+6),$A146,"")))</f>
        <v/>
      </c>
      <c r="BB146" s="47" t="str">
        <f aca="false">IF($A146="","",IF(AND(INDEX(工程マスタ!$I$5:$I$154,$A146)="○",$E146&gt;=BB$3,$E146&lt;=BB$3+6),"▼",IF(AND($E146&gt;=BB$3,$E146&lt;=BB$3+6),$A146,"")))</f>
        <v/>
      </c>
      <c r="BC146" s="47" t="str">
        <f aca="false">IF($A146="","",IF(AND(INDEX(工程マスタ!$I$5:$I$154,$A146)="○",$E146&gt;=BC$3,$E146&lt;=BC$3+6),"▼",IF(AND($E146&gt;=BC$3,$E146&lt;=BC$3+6),$A146,"")))</f>
        <v/>
      </c>
      <c r="BD146" s="47" t="str">
        <f aca="false">IF($A146="","",IF(AND(INDEX(工程マスタ!$I$5:$I$154,$A146)="○",$E146&gt;=BD$3,$E146&lt;=BD$3+6),"▼",IF(AND($E146&gt;=BD$3,$E146&lt;=BD$3+6),$A146,"")))</f>
        <v/>
      </c>
      <c r="BE146" s="47" t="str">
        <f aca="false">IF($A146="","",IF(AND(INDEX(工程マスタ!$I$5:$I$154,$A146)="○",$E146&gt;=BE$3,$E146&lt;=BE$3+6),"▼",IF(AND($E146&gt;=BE$3,$E146&lt;=BE$3+6),$A146,"")))</f>
        <v/>
      </c>
      <c r="BF146" s="47" t="str">
        <f aca="false">IF($A146="","",IF(AND(INDEX(工程マスタ!$I$5:$I$154,$A146)="○",$E146&gt;=BF$3,$E146&lt;=BF$3+6),"▼",IF(AND($E146&gt;=BF$3,$E146&lt;=BF$3+6),$A146,"")))</f>
        <v/>
      </c>
      <c r="BG146" s="47" t="str">
        <f aca="false">IF($A146="","",IF(AND(INDEX(工程マスタ!$I$5:$I$154,$A146)="○",$E146&gt;=BG$3,$E146&lt;=BG$3+6),"▼",IF(AND($E146&gt;=BG$3,$E146&lt;=BG$3+6),$A146,"")))</f>
        <v/>
      </c>
      <c r="BH146" s="47" t="str">
        <f aca="false">IF($A146="","",IF(AND(INDEX(工程マスタ!$I$5:$I$154,$A146)="○",$E146&gt;=BH$3,$E146&lt;=BH$3+6),"▼",IF(AND($E146&gt;=BH$3,$E146&lt;=BH$3+6),$A146,"")))</f>
        <v/>
      </c>
      <c r="BI146" s="47" t="str">
        <f aca="false">IF($A146="","",IF(AND(INDEX(工程マスタ!$I$5:$I$154,$A146)="○",$E146&gt;=BI$3,$E146&lt;=BI$3+6),"▼",IF(AND($E146&gt;=BI$3,$E146&lt;=BI$3+6),$A146,"")))</f>
        <v/>
      </c>
      <c r="BJ146" s="47" t="str">
        <f aca="false">IF($A146="","",IF(AND(INDEX(工程マスタ!$I$5:$I$154,$A146)="○",$E146&gt;=BJ$3,$E146&lt;=BJ$3+6),"▼",IF(AND($E146&gt;=BJ$3,$E146&lt;=BJ$3+6),$A146,"")))</f>
        <v/>
      </c>
    </row>
    <row r="147" customFormat="false" ht="15" hidden="false" customHeight="false" outlineLevel="0" collapsed="false">
      <c r="A147" s="28" t="str">
        <f aca="false">IF(工程マスタ!$C145="","",工程マスタ!$A145)</f>
        <v/>
      </c>
      <c r="B147" s="46" t="str">
        <f aca="false">IF($A147="","",工程マスタ!$C145)</f>
        <v/>
      </c>
      <c r="C147" s="28" t="str">
        <f aca="false">IF($A147="","",MAX(1,工程マスタ!$G145))</f>
        <v/>
      </c>
      <c r="D147" s="28" t="str">
        <f aca="false">IF($A147="","",_xlfn.TEXTJOIN(",",TRUE(),工程マスタ!$N145:$P145))</f>
        <v/>
      </c>
      <c r="E147" s="29" t="str">
        <f aca="false">IF($A147="","",IF(COUNT(工程マスタ!$N145:$P145)=0,設定!$B$8,MAX(IF(工程マスタ!$N145="",0,INDEX($F$7:$F$156,工程マスタ!$N145)),IF(工程マスタ!$O145="",0,INDEX($F$7:$F$156,工程マスタ!$O145)),IF(工程マスタ!$P145="",0,INDEX($F$7:$F$156,工程マスタ!$P145)))+1))</f>
        <v/>
      </c>
      <c r="F147" s="29" t="str">
        <f aca="false">IF($A147="","",$E147+$C147-1)</f>
        <v/>
      </c>
      <c r="G147" s="29" t="str">
        <f aca="false">IF($A147="","",$H147-$C147+1)</f>
        <v/>
      </c>
      <c r="H147" s="29" t="str">
        <f aca="false" t="array" ref="H147:H147">IF($A147="","",IF(SUMPRODUCT((工程マスタ!$N$146:$N$154=$A147)*1)+SUMPRODUCT((工程マスタ!$O$146:$O$154=$A147)*1)+SUMPRODUCT((工程マスタ!$P$146:$P$154=$A147)*1)=0,MAX($F$7:$F$156),MIN(IF((工程マスタ!$N$146:$N$154=$A147)+(工程マスタ!$O$146:$O$154=$A147)+(工程マスタ!$P$146:$P$154=$A147),$G148:$G$156))-1))</f>
        <v/>
      </c>
      <c r="I147" s="28" t="str">
        <f aca="false">IF($A147="","",$G147-$E147)</f>
        <v/>
      </c>
      <c r="J147" s="28" t="str">
        <f aca="false">IF($A147="","",IF($I147&lt;=0,"●",""))</f>
        <v/>
      </c>
      <c r="K147" s="47" t="str">
        <f aca="false">IF($A147="","",IF(AND(INDEX(工程マスタ!$I$5:$I$154,$A147)="○",$E147&gt;=K$3,$E147&lt;=K$3+6),"▼",IF(AND($E147&gt;=K$3,$E147&lt;=K$3+6),$A147,"")))</f>
        <v/>
      </c>
      <c r="L147" s="47" t="str">
        <f aca="false">IF($A147="","",IF(AND(INDEX(工程マスタ!$I$5:$I$154,$A147)="○",$E147&gt;=L$3,$E147&lt;=L$3+6),"▼",IF(AND($E147&gt;=L$3,$E147&lt;=L$3+6),$A147,"")))</f>
        <v/>
      </c>
      <c r="M147" s="47" t="str">
        <f aca="false">IF($A147="","",IF(AND(INDEX(工程マスタ!$I$5:$I$154,$A147)="○",$E147&gt;=M$3,$E147&lt;=M$3+6),"▼",IF(AND($E147&gt;=M$3,$E147&lt;=M$3+6),$A147,"")))</f>
        <v/>
      </c>
      <c r="N147" s="47" t="str">
        <f aca="false">IF($A147="","",IF(AND(INDEX(工程マスタ!$I$5:$I$154,$A147)="○",$E147&gt;=N$3,$E147&lt;=N$3+6),"▼",IF(AND($E147&gt;=N$3,$E147&lt;=N$3+6),$A147,"")))</f>
        <v/>
      </c>
      <c r="O147" s="47" t="str">
        <f aca="false">IF($A147="","",IF(AND(INDEX(工程マスタ!$I$5:$I$154,$A147)="○",$E147&gt;=O$3,$E147&lt;=O$3+6),"▼",IF(AND($E147&gt;=O$3,$E147&lt;=O$3+6),$A147,"")))</f>
        <v/>
      </c>
      <c r="P147" s="47" t="str">
        <f aca="false">IF($A147="","",IF(AND(INDEX(工程マスタ!$I$5:$I$154,$A147)="○",$E147&gt;=P$3,$E147&lt;=P$3+6),"▼",IF(AND($E147&gt;=P$3,$E147&lt;=P$3+6),$A147,"")))</f>
        <v/>
      </c>
      <c r="Q147" s="47" t="str">
        <f aca="false">IF($A147="","",IF(AND(INDEX(工程マスタ!$I$5:$I$154,$A147)="○",$E147&gt;=Q$3,$E147&lt;=Q$3+6),"▼",IF(AND($E147&gt;=Q$3,$E147&lt;=Q$3+6),$A147,"")))</f>
        <v/>
      </c>
      <c r="R147" s="47" t="str">
        <f aca="false">IF($A147="","",IF(AND(INDEX(工程マスタ!$I$5:$I$154,$A147)="○",$E147&gt;=R$3,$E147&lt;=R$3+6),"▼",IF(AND($E147&gt;=R$3,$E147&lt;=R$3+6),$A147,"")))</f>
        <v/>
      </c>
      <c r="S147" s="47" t="str">
        <f aca="false">IF($A147="","",IF(AND(INDEX(工程マスタ!$I$5:$I$154,$A147)="○",$E147&gt;=S$3,$E147&lt;=S$3+6),"▼",IF(AND($E147&gt;=S$3,$E147&lt;=S$3+6),$A147,"")))</f>
        <v/>
      </c>
      <c r="T147" s="47" t="str">
        <f aca="false">IF($A147="","",IF(AND(INDEX(工程マスタ!$I$5:$I$154,$A147)="○",$E147&gt;=T$3,$E147&lt;=T$3+6),"▼",IF(AND($E147&gt;=T$3,$E147&lt;=T$3+6),$A147,"")))</f>
        <v/>
      </c>
      <c r="U147" s="47" t="str">
        <f aca="false">IF($A147="","",IF(AND(INDEX(工程マスタ!$I$5:$I$154,$A147)="○",$E147&gt;=U$3,$E147&lt;=U$3+6),"▼",IF(AND($E147&gt;=U$3,$E147&lt;=U$3+6),$A147,"")))</f>
        <v/>
      </c>
      <c r="V147" s="47" t="str">
        <f aca="false">IF($A147="","",IF(AND(INDEX(工程マスタ!$I$5:$I$154,$A147)="○",$E147&gt;=V$3,$E147&lt;=V$3+6),"▼",IF(AND($E147&gt;=V$3,$E147&lt;=V$3+6),$A147,"")))</f>
        <v/>
      </c>
      <c r="W147" s="47" t="str">
        <f aca="false">IF($A147="","",IF(AND(INDEX(工程マスタ!$I$5:$I$154,$A147)="○",$E147&gt;=W$3,$E147&lt;=W$3+6),"▼",IF(AND($E147&gt;=W$3,$E147&lt;=W$3+6),$A147,"")))</f>
        <v/>
      </c>
      <c r="X147" s="47" t="str">
        <f aca="false">IF($A147="","",IF(AND(INDEX(工程マスタ!$I$5:$I$154,$A147)="○",$E147&gt;=X$3,$E147&lt;=X$3+6),"▼",IF(AND($E147&gt;=X$3,$E147&lt;=X$3+6),$A147,"")))</f>
        <v/>
      </c>
      <c r="Y147" s="47" t="str">
        <f aca="false">IF($A147="","",IF(AND(INDEX(工程マスタ!$I$5:$I$154,$A147)="○",$E147&gt;=Y$3,$E147&lt;=Y$3+6),"▼",IF(AND($E147&gt;=Y$3,$E147&lt;=Y$3+6),$A147,"")))</f>
        <v/>
      </c>
      <c r="Z147" s="47" t="str">
        <f aca="false">IF($A147="","",IF(AND(INDEX(工程マスタ!$I$5:$I$154,$A147)="○",$E147&gt;=Z$3,$E147&lt;=Z$3+6),"▼",IF(AND($E147&gt;=Z$3,$E147&lt;=Z$3+6),$A147,"")))</f>
        <v/>
      </c>
      <c r="AA147" s="47" t="str">
        <f aca="false">IF($A147="","",IF(AND(INDEX(工程マスタ!$I$5:$I$154,$A147)="○",$E147&gt;=AA$3,$E147&lt;=AA$3+6),"▼",IF(AND($E147&gt;=AA$3,$E147&lt;=AA$3+6),$A147,"")))</f>
        <v/>
      </c>
      <c r="AB147" s="47" t="str">
        <f aca="false">IF($A147="","",IF(AND(INDEX(工程マスタ!$I$5:$I$154,$A147)="○",$E147&gt;=AB$3,$E147&lt;=AB$3+6),"▼",IF(AND($E147&gt;=AB$3,$E147&lt;=AB$3+6),$A147,"")))</f>
        <v/>
      </c>
      <c r="AC147" s="47" t="str">
        <f aca="false">IF($A147="","",IF(AND(INDEX(工程マスタ!$I$5:$I$154,$A147)="○",$E147&gt;=AC$3,$E147&lt;=AC$3+6),"▼",IF(AND($E147&gt;=AC$3,$E147&lt;=AC$3+6),$A147,"")))</f>
        <v/>
      </c>
      <c r="AD147" s="47" t="str">
        <f aca="false">IF($A147="","",IF(AND(INDEX(工程マスタ!$I$5:$I$154,$A147)="○",$E147&gt;=AD$3,$E147&lt;=AD$3+6),"▼",IF(AND($E147&gt;=AD$3,$E147&lt;=AD$3+6),$A147,"")))</f>
        <v/>
      </c>
      <c r="AE147" s="47" t="str">
        <f aca="false">IF($A147="","",IF(AND(INDEX(工程マスタ!$I$5:$I$154,$A147)="○",$E147&gt;=AE$3,$E147&lt;=AE$3+6),"▼",IF(AND($E147&gt;=AE$3,$E147&lt;=AE$3+6),$A147,"")))</f>
        <v/>
      </c>
      <c r="AF147" s="47" t="str">
        <f aca="false">IF($A147="","",IF(AND(INDEX(工程マスタ!$I$5:$I$154,$A147)="○",$E147&gt;=AF$3,$E147&lt;=AF$3+6),"▼",IF(AND($E147&gt;=AF$3,$E147&lt;=AF$3+6),$A147,"")))</f>
        <v/>
      </c>
      <c r="AG147" s="47" t="str">
        <f aca="false">IF($A147="","",IF(AND(INDEX(工程マスタ!$I$5:$I$154,$A147)="○",$E147&gt;=AG$3,$E147&lt;=AG$3+6),"▼",IF(AND($E147&gt;=AG$3,$E147&lt;=AG$3+6),$A147,"")))</f>
        <v/>
      </c>
      <c r="AH147" s="47" t="str">
        <f aca="false">IF($A147="","",IF(AND(INDEX(工程マスタ!$I$5:$I$154,$A147)="○",$E147&gt;=AH$3,$E147&lt;=AH$3+6),"▼",IF(AND($E147&gt;=AH$3,$E147&lt;=AH$3+6),$A147,"")))</f>
        <v/>
      </c>
      <c r="AI147" s="47" t="str">
        <f aca="false">IF($A147="","",IF(AND(INDEX(工程マスタ!$I$5:$I$154,$A147)="○",$E147&gt;=AI$3,$E147&lt;=AI$3+6),"▼",IF(AND($E147&gt;=AI$3,$E147&lt;=AI$3+6),$A147,"")))</f>
        <v/>
      </c>
      <c r="AJ147" s="47" t="str">
        <f aca="false">IF($A147="","",IF(AND(INDEX(工程マスタ!$I$5:$I$154,$A147)="○",$E147&gt;=AJ$3,$E147&lt;=AJ$3+6),"▼",IF(AND($E147&gt;=AJ$3,$E147&lt;=AJ$3+6),$A147,"")))</f>
        <v/>
      </c>
      <c r="AK147" s="47" t="str">
        <f aca="false">IF($A147="","",IF(AND(INDEX(工程マスタ!$I$5:$I$154,$A147)="○",$E147&gt;=AK$3,$E147&lt;=AK$3+6),"▼",IF(AND($E147&gt;=AK$3,$E147&lt;=AK$3+6),$A147,"")))</f>
        <v/>
      </c>
      <c r="AL147" s="47" t="str">
        <f aca="false">IF($A147="","",IF(AND(INDEX(工程マスタ!$I$5:$I$154,$A147)="○",$E147&gt;=AL$3,$E147&lt;=AL$3+6),"▼",IF(AND($E147&gt;=AL$3,$E147&lt;=AL$3+6),$A147,"")))</f>
        <v/>
      </c>
      <c r="AM147" s="47" t="str">
        <f aca="false">IF($A147="","",IF(AND(INDEX(工程マスタ!$I$5:$I$154,$A147)="○",$E147&gt;=AM$3,$E147&lt;=AM$3+6),"▼",IF(AND($E147&gt;=AM$3,$E147&lt;=AM$3+6),$A147,"")))</f>
        <v/>
      </c>
      <c r="AN147" s="47" t="str">
        <f aca="false">IF($A147="","",IF(AND(INDEX(工程マスタ!$I$5:$I$154,$A147)="○",$E147&gt;=AN$3,$E147&lt;=AN$3+6),"▼",IF(AND($E147&gt;=AN$3,$E147&lt;=AN$3+6),$A147,"")))</f>
        <v/>
      </c>
      <c r="AO147" s="47" t="str">
        <f aca="false">IF($A147="","",IF(AND(INDEX(工程マスタ!$I$5:$I$154,$A147)="○",$E147&gt;=AO$3,$E147&lt;=AO$3+6),"▼",IF(AND($E147&gt;=AO$3,$E147&lt;=AO$3+6),$A147,"")))</f>
        <v/>
      </c>
      <c r="AP147" s="47" t="str">
        <f aca="false">IF($A147="","",IF(AND(INDEX(工程マスタ!$I$5:$I$154,$A147)="○",$E147&gt;=AP$3,$E147&lt;=AP$3+6),"▼",IF(AND($E147&gt;=AP$3,$E147&lt;=AP$3+6),$A147,"")))</f>
        <v/>
      </c>
      <c r="AQ147" s="47" t="str">
        <f aca="false">IF($A147="","",IF(AND(INDEX(工程マスタ!$I$5:$I$154,$A147)="○",$E147&gt;=AQ$3,$E147&lt;=AQ$3+6),"▼",IF(AND($E147&gt;=AQ$3,$E147&lt;=AQ$3+6),$A147,"")))</f>
        <v/>
      </c>
      <c r="AR147" s="47" t="str">
        <f aca="false">IF($A147="","",IF(AND(INDEX(工程マスタ!$I$5:$I$154,$A147)="○",$E147&gt;=AR$3,$E147&lt;=AR$3+6),"▼",IF(AND($E147&gt;=AR$3,$E147&lt;=AR$3+6),$A147,"")))</f>
        <v/>
      </c>
      <c r="AS147" s="47" t="str">
        <f aca="false">IF($A147="","",IF(AND(INDEX(工程マスタ!$I$5:$I$154,$A147)="○",$E147&gt;=AS$3,$E147&lt;=AS$3+6),"▼",IF(AND($E147&gt;=AS$3,$E147&lt;=AS$3+6),$A147,"")))</f>
        <v/>
      </c>
      <c r="AT147" s="47" t="str">
        <f aca="false">IF($A147="","",IF(AND(INDEX(工程マスタ!$I$5:$I$154,$A147)="○",$E147&gt;=AT$3,$E147&lt;=AT$3+6),"▼",IF(AND($E147&gt;=AT$3,$E147&lt;=AT$3+6),$A147,"")))</f>
        <v/>
      </c>
      <c r="AU147" s="47" t="str">
        <f aca="false">IF($A147="","",IF(AND(INDEX(工程マスタ!$I$5:$I$154,$A147)="○",$E147&gt;=AU$3,$E147&lt;=AU$3+6),"▼",IF(AND($E147&gt;=AU$3,$E147&lt;=AU$3+6),$A147,"")))</f>
        <v/>
      </c>
      <c r="AV147" s="47" t="str">
        <f aca="false">IF($A147="","",IF(AND(INDEX(工程マスタ!$I$5:$I$154,$A147)="○",$E147&gt;=AV$3,$E147&lt;=AV$3+6),"▼",IF(AND($E147&gt;=AV$3,$E147&lt;=AV$3+6),$A147,"")))</f>
        <v/>
      </c>
      <c r="AW147" s="47" t="str">
        <f aca="false">IF($A147="","",IF(AND(INDEX(工程マスタ!$I$5:$I$154,$A147)="○",$E147&gt;=AW$3,$E147&lt;=AW$3+6),"▼",IF(AND($E147&gt;=AW$3,$E147&lt;=AW$3+6),$A147,"")))</f>
        <v/>
      </c>
      <c r="AX147" s="47" t="str">
        <f aca="false">IF($A147="","",IF(AND(INDEX(工程マスタ!$I$5:$I$154,$A147)="○",$E147&gt;=AX$3,$E147&lt;=AX$3+6),"▼",IF(AND($E147&gt;=AX$3,$E147&lt;=AX$3+6),$A147,"")))</f>
        <v/>
      </c>
      <c r="AY147" s="47" t="str">
        <f aca="false">IF($A147="","",IF(AND(INDEX(工程マスタ!$I$5:$I$154,$A147)="○",$E147&gt;=AY$3,$E147&lt;=AY$3+6),"▼",IF(AND($E147&gt;=AY$3,$E147&lt;=AY$3+6),$A147,"")))</f>
        <v/>
      </c>
      <c r="AZ147" s="47" t="str">
        <f aca="false">IF($A147="","",IF(AND(INDEX(工程マスタ!$I$5:$I$154,$A147)="○",$E147&gt;=AZ$3,$E147&lt;=AZ$3+6),"▼",IF(AND($E147&gt;=AZ$3,$E147&lt;=AZ$3+6),$A147,"")))</f>
        <v/>
      </c>
      <c r="BA147" s="47" t="str">
        <f aca="false">IF($A147="","",IF(AND(INDEX(工程マスタ!$I$5:$I$154,$A147)="○",$E147&gt;=BA$3,$E147&lt;=BA$3+6),"▼",IF(AND($E147&gt;=BA$3,$E147&lt;=BA$3+6),$A147,"")))</f>
        <v/>
      </c>
      <c r="BB147" s="47" t="str">
        <f aca="false">IF($A147="","",IF(AND(INDEX(工程マスタ!$I$5:$I$154,$A147)="○",$E147&gt;=BB$3,$E147&lt;=BB$3+6),"▼",IF(AND($E147&gt;=BB$3,$E147&lt;=BB$3+6),$A147,"")))</f>
        <v/>
      </c>
      <c r="BC147" s="47" t="str">
        <f aca="false">IF($A147="","",IF(AND(INDEX(工程マスタ!$I$5:$I$154,$A147)="○",$E147&gt;=BC$3,$E147&lt;=BC$3+6),"▼",IF(AND($E147&gt;=BC$3,$E147&lt;=BC$3+6),$A147,"")))</f>
        <v/>
      </c>
      <c r="BD147" s="47" t="str">
        <f aca="false">IF($A147="","",IF(AND(INDEX(工程マスタ!$I$5:$I$154,$A147)="○",$E147&gt;=BD$3,$E147&lt;=BD$3+6),"▼",IF(AND($E147&gt;=BD$3,$E147&lt;=BD$3+6),$A147,"")))</f>
        <v/>
      </c>
      <c r="BE147" s="47" t="str">
        <f aca="false">IF($A147="","",IF(AND(INDEX(工程マスタ!$I$5:$I$154,$A147)="○",$E147&gt;=BE$3,$E147&lt;=BE$3+6),"▼",IF(AND($E147&gt;=BE$3,$E147&lt;=BE$3+6),$A147,"")))</f>
        <v/>
      </c>
      <c r="BF147" s="47" t="str">
        <f aca="false">IF($A147="","",IF(AND(INDEX(工程マスタ!$I$5:$I$154,$A147)="○",$E147&gt;=BF$3,$E147&lt;=BF$3+6),"▼",IF(AND($E147&gt;=BF$3,$E147&lt;=BF$3+6),$A147,"")))</f>
        <v/>
      </c>
      <c r="BG147" s="47" t="str">
        <f aca="false">IF($A147="","",IF(AND(INDEX(工程マスタ!$I$5:$I$154,$A147)="○",$E147&gt;=BG$3,$E147&lt;=BG$3+6),"▼",IF(AND($E147&gt;=BG$3,$E147&lt;=BG$3+6),$A147,"")))</f>
        <v/>
      </c>
      <c r="BH147" s="47" t="str">
        <f aca="false">IF($A147="","",IF(AND(INDEX(工程マスタ!$I$5:$I$154,$A147)="○",$E147&gt;=BH$3,$E147&lt;=BH$3+6),"▼",IF(AND($E147&gt;=BH$3,$E147&lt;=BH$3+6),$A147,"")))</f>
        <v/>
      </c>
      <c r="BI147" s="47" t="str">
        <f aca="false">IF($A147="","",IF(AND(INDEX(工程マスタ!$I$5:$I$154,$A147)="○",$E147&gt;=BI$3,$E147&lt;=BI$3+6),"▼",IF(AND($E147&gt;=BI$3,$E147&lt;=BI$3+6),$A147,"")))</f>
        <v/>
      </c>
      <c r="BJ147" s="47" t="str">
        <f aca="false">IF($A147="","",IF(AND(INDEX(工程マスタ!$I$5:$I$154,$A147)="○",$E147&gt;=BJ$3,$E147&lt;=BJ$3+6),"▼",IF(AND($E147&gt;=BJ$3,$E147&lt;=BJ$3+6),$A147,"")))</f>
        <v/>
      </c>
    </row>
    <row r="148" customFormat="false" ht="15" hidden="false" customHeight="false" outlineLevel="0" collapsed="false">
      <c r="A148" s="28" t="str">
        <f aca="false">IF(工程マスタ!$C146="","",工程マスタ!$A146)</f>
        <v/>
      </c>
      <c r="B148" s="46" t="str">
        <f aca="false">IF($A148="","",工程マスタ!$C146)</f>
        <v/>
      </c>
      <c r="C148" s="28" t="str">
        <f aca="false">IF($A148="","",MAX(1,工程マスタ!$G146))</f>
        <v/>
      </c>
      <c r="D148" s="28" t="str">
        <f aca="false">IF($A148="","",_xlfn.TEXTJOIN(",",TRUE(),工程マスタ!$N146:$P146))</f>
        <v/>
      </c>
      <c r="E148" s="29" t="str">
        <f aca="false">IF($A148="","",IF(COUNT(工程マスタ!$N146:$P146)=0,設定!$B$8,MAX(IF(工程マスタ!$N146="",0,INDEX($F$7:$F$156,工程マスタ!$N146)),IF(工程マスタ!$O146="",0,INDEX($F$7:$F$156,工程マスタ!$O146)),IF(工程マスタ!$P146="",0,INDEX($F$7:$F$156,工程マスタ!$P146)))+1))</f>
        <v/>
      </c>
      <c r="F148" s="29" t="str">
        <f aca="false">IF($A148="","",$E148+$C148-1)</f>
        <v/>
      </c>
      <c r="G148" s="29" t="str">
        <f aca="false">IF($A148="","",$H148-$C148+1)</f>
        <v/>
      </c>
      <c r="H148" s="29" t="str">
        <f aca="false" t="array" ref="H148:H148">IF($A148="","",IF(SUMPRODUCT((工程マスタ!$N$147:$N$154=$A148)*1)+SUMPRODUCT((工程マスタ!$O$147:$O$154=$A148)*1)+SUMPRODUCT((工程マスタ!$P$147:$P$154=$A148)*1)=0,MAX($F$7:$F$156),MIN(IF((工程マスタ!$N$147:$N$154=$A148)+(工程マスタ!$O$147:$O$154=$A148)+(工程マスタ!$P$147:$P$154=$A148),$G149:$G$156))-1))</f>
        <v/>
      </c>
      <c r="I148" s="28" t="str">
        <f aca="false">IF($A148="","",$G148-$E148)</f>
        <v/>
      </c>
      <c r="J148" s="28" t="str">
        <f aca="false">IF($A148="","",IF($I148&lt;=0,"●",""))</f>
        <v/>
      </c>
      <c r="K148" s="47" t="str">
        <f aca="false">IF($A148="","",IF(AND(INDEX(工程マスタ!$I$5:$I$154,$A148)="○",$E148&gt;=K$3,$E148&lt;=K$3+6),"▼",IF(AND($E148&gt;=K$3,$E148&lt;=K$3+6),$A148,"")))</f>
        <v/>
      </c>
      <c r="L148" s="47" t="str">
        <f aca="false">IF($A148="","",IF(AND(INDEX(工程マスタ!$I$5:$I$154,$A148)="○",$E148&gt;=L$3,$E148&lt;=L$3+6),"▼",IF(AND($E148&gt;=L$3,$E148&lt;=L$3+6),$A148,"")))</f>
        <v/>
      </c>
      <c r="M148" s="47" t="str">
        <f aca="false">IF($A148="","",IF(AND(INDEX(工程マスタ!$I$5:$I$154,$A148)="○",$E148&gt;=M$3,$E148&lt;=M$3+6),"▼",IF(AND($E148&gt;=M$3,$E148&lt;=M$3+6),$A148,"")))</f>
        <v/>
      </c>
      <c r="N148" s="47" t="str">
        <f aca="false">IF($A148="","",IF(AND(INDEX(工程マスタ!$I$5:$I$154,$A148)="○",$E148&gt;=N$3,$E148&lt;=N$3+6),"▼",IF(AND($E148&gt;=N$3,$E148&lt;=N$3+6),$A148,"")))</f>
        <v/>
      </c>
      <c r="O148" s="47" t="str">
        <f aca="false">IF($A148="","",IF(AND(INDEX(工程マスタ!$I$5:$I$154,$A148)="○",$E148&gt;=O$3,$E148&lt;=O$3+6),"▼",IF(AND($E148&gt;=O$3,$E148&lt;=O$3+6),$A148,"")))</f>
        <v/>
      </c>
      <c r="P148" s="47" t="str">
        <f aca="false">IF($A148="","",IF(AND(INDEX(工程マスタ!$I$5:$I$154,$A148)="○",$E148&gt;=P$3,$E148&lt;=P$3+6),"▼",IF(AND($E148&gt;=P$3,$E148&lt;=P$3+6),$A148,"")))</f>
        <v/>
      </c>
      <c r="Q148" s="47" t="str">
        <f aca="false">IF($A148="","",IF(AND(INDEX(工程マスタ!$I$5:$I$154,$A148)="○",$E148&gt;=Q$3,$E148&lt;=Q$3+6),"▼",IF(AND($E148&gt;=Q$3,$E148&lt;=Q$3+6),$A148,"")))</f>
        <v/>
      </c>
      <c r="R148" s="47" t="str">
        <f aca="false">IF($A148="","",IF(AND(INDEX(工程マスタ!$I$5:$I$154,$A148)="○",$E148&gt;=R$3,$E148&lt;=R$3+6),"▼",IF(AND($E148&gt;=R$3,$E148&lt;=R$3+6),$A148,"")))</f>
        <v/>
      </c>
      <c r="S148" s="47" t="str">
        <f aca="false">IF($A148="","",IF(AND(INDEX(工程マスタ!$I$5:$I$154,$A148)="○",$E148&gt;=S$3,$E148&lt;=S$3+6),"▼",IF(AND($E148&gt;=S$3,$E148&lt;=S$3+6),$A148,"")))</f>
        <v/>
      </c>
      <c r="T148" s="47" t="str">
        <f aca="false">IF($A148="","",IF(AND(INDEX(工程マスタ!$I$5:$I$154,$A148)="○",$E148&gt;=T$3,$E148&lt;=T$3+6),"▼",IF(AND($E148&gt;=T$3,$E148&lt;=T$3+6),$A148,"")))</f>
        <v/>
      </c>
      <c r="U148" s="47" t="str">
        <f aca="false">IF($A148="","",IF(AND(INDEX(工程マスタ!$I$5:$I$154,$A148)="○",$E148&gt;=U$3,$E148&lt;=U$3+6),"▼",IF(AND($E148&gt;=U$3,$E148&lt;=U$3+6),$A148,"")))</f>
        <v/>
      </c>
      <c r="V148" s="47" t="str">
        <f aca="false">IF($A148="","",IF(AND(INDEX(工程マスタ!$I$5:$I$154,$A148)="○",$E148&gt;=V$3,$E148&lt;=V$3+6),"▼",IF(AND($E148&gt;=V$3,$E148&lt;=V$3+6),$A148,"")))</f>
        <v/>
      </c>
      <c r="W148" s="47" t="str">
        <f aca="false">IF($A148="","",IF(AND(INDEX(工程マスタ!$I$5:$I$154,$A148)="○",$E148&gt;=W$3,$E148&lt;=W$3+6),"▼",IF(AND($E148&gt;=W$3,$E148&lt;=W$3+6),$A148,"")))</f>
        <v/>
      </c>
      <c r="X148" s="47" t="str">
        <f aca="false">IF($A148="","",IF(AND(INDEX(工程マスタ!$I$5:$I$154,$A148)="○",$E148&gt;=X$3,$E148&lt;=X$3+6),"▼",IF(AND($E148&gt;=X$3,$E148&lt;=X$3+6),$A148,"")))</f>
        <v/>
      </c>
      <c r="Y148" s="47" t="str">
        <f aca="false">IF($A148="","",IF(AND(INDEX(工程マスタ!$I$5:$I$154,$A148)="○",$E148&gt;=Y$3,$E148&lt;=Y$3+6),"▼",IF(AND($E148&gt;=Y$3,$E148&lt;=Y$3+6),$A148,"")))</f>
        <v/>
      </c>
      <c r="Z148" s="47" t="str">
        <f aca="false">IF($A148="","",IF(AND(INDEX(工程マスタ!$I$5:$I$154,$A148)="○",$E148&gt;=Z$3,$E148&lt;=Z$3+6),"▼",IF(AND($E148&gt;=Z$3,$E148&lt;=Z$3+6),$A148,"")))</f>
        <v/>
      </c>
      <c r="AA148" s="47" t="str">
        <f aca="false">IF($A148="","",IF(AND(INDEX(工程マスタ!$I$5:$I$154,$A148)="○",$E148&gt;=AA$3,$E148&lt;=AA$3+6),"▼",IF(AND($E148&gt;=AA$3,$E148&lt;=AA$3+6),$A148,"")))</f>
        <v/>
      </c>
      <c r="AB148" s="47" t="str">
        <f aca="false">IF($A148="","",IF(AND(INDEX(工程マスタ!$I$5:$I$154,$A148)="○",$E148&gt;=AB$3,$E148&lt;=AB$3+6),"▼",IF(AND($E148&gt;=AB$3,$E148&lt;=AB$3+6),$A148,"")))</f>
        <v/>
      </c>
      <c r="AC148" s="47" t="str">
        <f aca="false">IF($A148="","",IF(AND(INDEX(工程マスタ!$I$5:$I$154,$A148)="○",$E148&gt;=AC$3,$E148&lt;=AC$3+6),"▼",IF(AND($E148&gt;=AC$3,$E148&lt;=AC$3+6),$A148,"")))</f>
        <v/>
      </c>
      <c r="AD148" s="47" t="str">
        <f aca="false">IF($A148="","",IF(AND(INDEX(工程マスタ!$I$5:$I$154,$A148)="○",$E148&gt;=AD$3,$E148&lt;=AD$3+6),"▼",IF(AND($E148&gt;=AD$3,$E148&lt;=AD$3+6),$A148,"")))</f>
        <v/>
      </c>
      <c r="AE148" s="47" t="str">
        <f aca="false">IF($A148="","",IF(AND(INDEX(工程マスタ!$I$5:$I$154,$A148)="○",$E148&gt;=AE$3,$E148&lt;=AE$3+6),"▼",IF(AND($E148&gt;=AE$3,$E148&lt;=AE$3+6),$A148,"")))</f>
        <v/>
      </c>
      <c r="AF148" s="47" t="str">
        <f aca="false">IF($A148="","",IF(AND(INDEX(工程マスタ!$I$5:$I$154,$A148)="○",$E148&gt;=AF$3,$E148&lt;=AF$3+6),"▼",IF(AND($E148&gt;=AF$3,$E148&lt;=AF$3+6),$A148,"")))</f>
        <v/>
      </c>
      <c r="AG148" s="47" t="str">
        <f aca="false">IF($A148="","",IF(AND(INDEX(工程マスタ!$I$5:$I$154,$A148)="○",$E148&gt;=AG$3,$E148&lt;=AG$3+6),"▼",IF(AND($E148&gt;=AG$3,$E148&lt;=AG$3+6),$A148,"")))</f>
        <v/>
      </c>
      <c r="AH148" s="47" t="str">
        <f aca="false">IF($A148="","",IF(AND(INDEX(工程マスタ!$I$5:$I$154,$A148)="○",$E148&gt;=AH$3,$E148&lt;=AH$3+6),"▼",IF(AND($E148&gt;=AH$3,$E148&lt;=AH$3+6),$A148,"")))</f>
        <v/>
      </c>
      <c r="AI148" s="47" t="str">
        <f aca="false">IF($A148="","",IF(AND(INDEX(工程マスタ!$I$5:$I$154,$A148)="○",$E148&gt;=AI$3,$E148&lt;=AI$3+6),"▼",IF(AND($E148&gt;=AI$3,$E148&lt;=AI$3+6),$A148,"")))</f>
        <v/>
      </c>
      <c r="AJ148" s="47" t="str">
        <f aca="false">IF($A148="","",IF(AND(INDEX(工程マスタ!$I$5:$I$154,$A148)="○",$E148&gt;=AJ$3,$E148&lt;=AJ$3+6),"▼",IF(AND($E148&gt;=AJ$3,$E148&lt;=AJ$3+6),$A148,"")))</f>
        <v/>
      </c>
      <c r="AK148" s="47" t="str">
        <f aca="false">IF($A148="","",IF(AND(INDEX(工程マスタ!$I$5:$I$154,$A148)="○",$E148&gt;=AK$3,$E148&lt;=AK$3+6),"▼",IF(AND($E148&gt;=AK$3,$E148&lt;=AK$3+6),$A148,"")))</f>
        <v/>
      </c>
      <c r="AL148" s="47" t="str">
        <f aca="false">IF($A148="","",IF(AND(INDEX(工程マスタ!$I$5:$I$154,$A148)="○",$E148&gt;=AL$3,$E148&lt;=AL$3+6),"▼",IF(AND($E148&gt;=AL$3,$E148&lt;=AL$3+6),$A148,"")))</f>
        <v/>
      </c>
      <c r="AM148" s="47" t="str">
        <f aca="false">IF($A148="","",IF(AND(INDEX(工程マスタ!$I$5:$I$154,$A148)="○",$E148&gt;=AM$3,$E148&lt;=AM$3+6),"▼",IF(AND($E148&gt;=AM$3,$E148&lt;=AM$3+6),$A148,"")))</f>
        <v/>
      </c>
      <c r="AN148" s="47" t="str">
        <f aca="false">IF($A148="","",IF(AND(INDEX(工程マスタ!$I$5:$I$154,$A148)="○",$E148&gt;=AN$3,$E148&lt;=AN$3+6),"▼",IF(AND($E148&gt;=AN$3,$E148&lt;=AN$3+6),$A148,"")))</f>
        <v/>
      </c>
      <c r="AO148" s="47" t="str">
        <f aca="false">IF($A148="","",IF(AND(INDEX(工程マスタ!$I$5:$I$154,$A148)="○",$E148&gt;=AO$3,$E148&lt;=AO$3+6),"▼",IF(AND($E148&gt;=AO$3,$E148&lt;=AO$3+6),$A148,"")))</f>
        <v/>
      </c>
      <c r="AP148" s="47" t="str">
        <f aca="false">IF($A148="","",IF(AND(INDEX(工程マスタ!$I$5:$I$154,$A148)="○",$E148&gt;=AP$3,$E148&lt;=AP$3+6),"▼",IF(AND($E148&gt;=AP$3,$E148&lt;=AP$3+6),$A148,"")))</f>
        <v/>
      </c>
      <c r="AQ148" s="47" t="str">
        <f aca="false">IF($A148="","",IF(AND(INDEX(工程マスタ!$I$5:$I$154,$A148)="○",$E148&gt;=AQ$3,$E148&lt;=AQ$3+6),"▼",IF(AND($E148&gt;=AQ$3,$E148&lt;=AQ$3+6),$A148,"")))</f>
        <v/>
      </c>
      <c r="AR148" s="47" t="str">
        <f aca="false">IF($A148="","",IF(AND(INDEX(工程マスタ!$I$5:$I$154,$A148)="○",$E148&gt;=AR$3,$E148&lt;=AR$3+6),"▼",IF(AND($E148&gt;=AR$3,$E148&lt;=AR$3+6),$A148,"")))</f>
        <v/>
      </c>
      <c r="AS148" s="47" t="str">
        <f aca="false">IF($A148="","",IF(AND(INDEX(工程マスタ!$I$5:$I$154,$A148)="○",$E148&gt;=AS$3,$E148&lt;=AS$3+6),"▼",IF(AND($E148&gt;=AS$3,$E148&lt;=AS$3+6),$A148,"")))</f>
        <v/>
      </c>
      <c r="AT148" s="47" t="str">
        <f aca="false">IF($A148="","",IF(AND(INDEX(工程マスタ!$I$5:$I$154,$A148)="○",$E148&gt;=AT$3,$E148&lt;=AT$3+6),"▼",IF(AND($E148&gt;=AT$3,$E148&lt;=AT$3+6),$A148,"")))</f>
        <v/>
      </c>
      <c r="AU148" s="47" t="str">
        <f aca="false">IF($A148="","",IF(AND(INDEX(工程マスタ!$I$5:$I$154,$A148)="○",$E148&gt;=AU$3,$E148&lt;=AU$3+6),"▼",IF(AND($E148&gt;=AU$3,$E148&lt;=AU$3+6),$A148,"")))</f>
        <v/>
      </c>
      <c r="AV148" s="47" t="str">
        <f aca="false">IF($A148="","",IF(AND(INDEX(工程マスタ!$I$5:$I$154,$A148)="○",$E148&gt;=AV$3,$E148&lt;=AV$3+6),"▼",IF(AND($E148&gt;=AV$3,$E148&lt;=AV$3+6),$A148,"")))</f>
        <v/>
      </c>
      <c r="AW148" s="47" t="str">
        <f aca="false">IF($A148="","",IF(AND(INDEX(工程マスタ!$I$5:$I$154,$A148)="○",$E148&gt;=AW$3,$E148&lt;=AW$3+6),"▼",IF(AND($E148&gt;=AW$3,$E148&lt;=AW$3+6),$A148,"")))</f>
        <v/>
      </c>
      <c r="AX148" s="47" t="str">
        <f aca="false">IF($A148="","",IF(AND(INDEX(工程マスタ!$I$5:$I$154,$A148)="○",$E148&gt;=AX$3,$E148&lt;=AX$3+6),"▼",IF(AND($E148&gt;=AX$3,$E148&lt;=AX$3+6),$A148,"")))</f>
        <v/>
      </c>
      <c r="AY148" s="47" t="str">
        <f aca="false">IF($A148="","",IF(AND(INDEX(工程マスタ!$I$5:$I$154,$A148)="○",$E148&gt;=AY$3,$E148&lt;=AY$3+6),"▼",IF(AND($E148&gt;=AY$3,$E148&lt;=AY$3+6),$A148,"")))</f>
        <v/>
      </c>
      <c r="AZ148" s="47" t="str">
        <f aca="false">IF($A148="","",IF(AND(INDEX(工程マスタ!$I$5:$I$154,$A148)="○",$E148&gt;=AZ$3,$E148&lt;=AZ$3+6),"▼",IF(AND($E148&gt;=AZ$3,$E148&lt;=AZ$3+6),$A148,"")))</f>
        <v/>
      </c>
      <c r="BA148" s="47" t="str">
        <f aca="false">IF($A148="","",IF(AND(INDEX(工程マスタ!$I$5:$I$154,$A148)="○",$E148&gt;=BA$3,$E148&lt;=BA$3+6),"▼",IF(AND($E148&gt;=BA$3,$E148&lt;=BA$3+6),$A148,"")))</f>
        <v/>
      </c>
      <c r="BB148" s="47" t="str">
        <f aca="false">IF($A148="","",IF(AND(INDEX(工程マスタ!$I$5:$I$154,$A148)="○",$E148&gt;=BB$3,$E148&lt;=BB$3+6),"▼",IF(AND($E148&gt;=BB$3,$E148&lt;=BB$3+6),$A148,"")))</f>
        <v/>
      </c>
      <c r="BC148" s="47" t="str">
        <f aca="false">IF($A148="","",IF(AND(INDEX(工程マスタ!$I$5:$I$154,$A148)="○",$E148&gt;=BC$3,$E148&lt;=BC$3+6),"▼",IF(AND($E148&gt;=BC$3,$E148&lt;=BC$3+6),$A148,"")))</f>
        <v/>
      </c>
      <c r="BD148" s="47" t="str">
        <f aca="false">IF($A148="","",IF(AND(INDEX(工程マスタ!$I$5:$I$154,$A148)="○",$E148&gt;=BD$3,$E148&lt;=BD$3+6),"▼",IF(AND($E148&gt;=BD$3,$E148&lt;=BD$3+6),$A148,"")))</f>
        <v/>
      </c>
      <c r="BE148" s="47" t="str">
        <f aca="false">IF($A148="","",IF(AND(INDEX(工程マスタ!$I$5:$I$154,$A148)="○",$E148&gt;=BE$3,$E148&lt;=BE$3+6),"▼",IF(AND($E148&gt;=BE$3,$E148&lt;=BE$3+6),$A148,"")))</f>
        <v/>
      </c>
      <c r="BF148" s="47" t="str">
        <f aca="false">IF($A148="","",IF(AND(INDEX(工程マスタ!$I$5:$I$154,$A148)="○",$E148&gt;=BF$3,$E148&lt;=BF$3+6),"▼",IF(AND($E148&gt;=BF$3,$E148&lt;=BF$3+6),$A148,"")))</f>
        <v/>
      </c>
      <c r="BG148" s="47" t="str">
        <f aca="false">IF($A148="","",IF(AND(INDEX(工程マスタ!$I$5:$I$154,$A148)="○",$E148&gt;=BG$3,$E148&lt;=BG$3+6),"▼",IF(AND($E148&gt;=BG$3,$E148&lt;=BG$3+6),$A148,"")))</f>
        <v/>
      </c>
      <c r="BH148" s="47" t="str">
        <f aca="false">IF($A148="","",IF(AND(INDEX(工程マスタ!$I$5:$I$154,$A148)="○",$E148&gt;=BH$3,$E148&lt;=BH$3+6),"▼",IF(AND($E148&gt;=BH$3,$E148&lt;=BH$3+6),$A148,"")))</f>
        <v/>
      </c>
      <c r="BI148" s="47" t="str">
        <f aca="false">IF($A148="","",IF(AND(INDEX(工程マスタ!$I$5:$I$154,$A148)="○",$E148&gt;=BI$3,$E148&lt;=BI$3+6),"▼",IF(AND($E148&gt;=BI$3,$E148&lt;=BI$3+6),$A148,"")))</f>
        <v/>
      </c>
      <c r="BJ148" s="47" t="str">
        <f aca="false">IF($A148="","",IF(AND(INDEX(工程マスタ!$I$5:$I$154,$A148)="○",$E148&gt;=BJ$3,$E148&lt;=BJ$3+6),"▼",IF(AND($E148&gt;=BJ$3,$E148&lt;=BJ$3+6),$A148,"")))</f>
        <v/>
      </c>
    </row>
    <row r="149" customFormat="false" ht="15" hidden="false" customHeight="false" outlineLevel="0" collapsed="false">
      <c r="A149" s="28" t="str">
        <f aca="false">IF(工程マスタ!$C147="","",工程マスタ!$A147)</f>
        <v/>
      </c>
      <c r="B149" s="46" t="str">
        <f aca="false">IF($A149="","",工程マスタ!$C147)</f>
        <v/>
      </c>
      <c r="C149" s="28" t="str">
        <f aca="false">IF($A149="","",MAX(1,工程マスタ!$G147))</f>
        <v/>
      </c>
      <c r="D149" s="28" t="str">
        <f aca="false">IF($A149="","",_xlfn.TEXTJOIN(",",TRUE(),工程マスタ!$N147:$P147))</f>
        <v/>
      </c>
      <c r="E149" s="29" t="str">
        <f aca="false">IF($A149="","",IF(COUNT(工程マスタ!$N147:$P147)=0,設定!$B$8,MAX(IF(工程マスタ!$N147="",0,INDEX($F$7:$F$156,工程マスタ!$N147)),IF(工程マスタ!$O147="",0,INDEX($F$7:$F$156,工程マスタ!$O147)),IF(工程マスタ!$P147="",0,INDEX($F$7:$F$156,工程マスタ!$P147)))+1))</f>
        <v/>
      </c>
      <c r="F149" s="29" t="str">
        <f aca="false">IF($A149="","",$E149+$C149-1)</f>
        <v/>
      </c>
      <c r="G149" s="29" t="str">
        <f aca="false">IF($A149="","",$H149-$C149+1)</f>
        <v/>
      </c>
      <c r="H149" s="29" t="str">
        <f aca="false" t="array" ref="H149:H149">IF($A149="","",IF(SUMPRODUCT((工程マスタ!$N$148:$N$154=$A149)*1)+SUMPRODUCT((工程マスタ!$O$148:$O$154=$A149)*1)+SUMPRODUCT((工程マスタ!$P$148:$P$154=$A149)*1)=0,MAX($F$7:$F$156),MIN(IF((工程マスタ!$N$148:$N$154=$A149)+(工程マスタ!$O$148:$O$154=$A149)+(工程マスタ!$P$148:$P$154=$A149),$G150:$G$156))-1))</f>
        <v/>
      </c>
      <c r="I149" s="28" t="str">
        <f aca="false">IF($A149="","",$G149-$E149)</f>
        <v/>
      </c>
      <c r="J149" s="28" t="str">
        <f aca="false">IF($A149="","",IF($I149&lt;=0,"●",""))</f>
        <v/>
      </c>
      <c r="K149" s="47" t="str">
        <f aca="false">IF($A149="","",IF(AND(INDEX(工程マスタ!$I$5:$I$154,$A149)="○",$E149&gt;=K$3,$E149&lt;=K$3+6),"▼",IF(AND($E149&gt;=K$3,$E149&lt;=K$3+6),$A149,"")))</f>
        <v/>
      </c>
      <c r="L149" s="47" t="str">
        <f aca="false">IF($A149="","",IF(AND(INDEX(工程マスタ!$I$5:$I$154,$A149)="○",$E149&gt;=L$3,$E149&lt;=L$3+6),"▼",IF(AND($E149&gt;=L$3,$E149&lt;=L$3+6),$A149,"")))</f>
        <v/>
      </c>
      <c r="M149" s="47" t="str">
        <f aca="false">IF($A149="","",IF(AND(INDEX(工程マスタ!$I$5:$I$154,$A149)="○",$E149&gt;=M$3,$E149&lt;=M$3+6),"▼",IF(AND($E149&gt;=M$3,$E149&lt;=M$3+6),$A149,"")))</f>
        <v/>
      </c>
      <c r="N149" s="47" t="str">
        <f aca="false">IF($A149="","",IF(AND(INDEX(工程マスタ!$I$5:$I$154,$A149)="○",$E149&gt;=N$3,$E149&lt;=N$3+6),"▼",IF(AND($E149&gt;=N$3,$E149&lt;=N$3+6),$A149,"")))</f>
        <v/>
      </c>
      <c r="O149" s="47" t="str">
        <f aca="false">IF($A149="","",IF(AND(INDEX(工程マスタ!$I$5:$I$154,$A149)="○",$E149&gt;=O$3,$E149&lt;=O$3+6),"▼",IF(AND($E149&gt;=O$3,$E149&lt;=O$3+6),$A149,"")))</f>
        <v/>
      </c>
      <c r="P149" s="47" t="str">
        <f aca="false">IF($A149="","",IF(AND(INDEX(工程マスタ!$I$5:$I$154,$A149)="○",$E149&gt;=P$3,$E149&lt;=P$3+6),"▼",IF(AND($E149&gt;=P$3,$E149&lt;=P$3+6),$A149,"")))</f>
        <v/>
      </c>
      <c r="Q149" s="47" t="str">
        <f aca="false">IF($A149="","",IF(AND(INDEX(工程マスタ!$I$5:$I$154,$A149)="○",$E149&gt;=Q$3,$E149&lt;=Q$3+6),"▼",IF(AND($E149&gt;=Q$3,$E149&lt;=Q$3+6),$A149,"")))</f>
        <v/>
      </c>
      <c r="R149" s="47" t="str">
        <f aca="false">IF($A149="","",IF(AND(INDEX(工程マスタ!$I$5:$I$154,$A149)="○",$E149&gt;=R$3,$E149&lt;=R$3+6),"▼",IF(AND($E149&gt;=R$3,$E149&lt;=R$3+6),$A149,"")))</f>
        <v/>
      </c>
      <c r="S149" s="47" t="str">
        <f aca="false">IF($A149="","",IF(AND(INDEX(工程マスタ!$I$5:$I$154,$A149)="○",$E149&gt;=S$3,$E149&lt;=S$3+6),"▼",IF(AND($E149&gt;=S$3,$E149&lt;=S$3+6),$A149,"")))</f>
        <v/>
      </c>
      <c r="T149" s="47" t="str">
        <f aca="false">IF($A149="","",IF(AND(INDEX(工程マスタ!$I$5:$I$154,$A149)="○",$E149&gt;=T$3,$E149&lt;=T$3+6),"▼",IF(AND($E149&gt;=T$3,$E149&lt;=T$3+6),$A149,"")))</f>
        <v/>
      </c>
      <c r="U149" s="47" t="str">
        <f aca="false">IF($A149="","",IF(AND(INDEX(工程マスタ!$I$5:$I$154,$A149)="○",$E149&gt;=U$3,$E149&lt;=U$3+6),"▼",IF(AND($E149&gt;=U$3,$E149&lt;=U$3+6),$A149,"")))</f>
        <v/>
      </c>
      <c r="V149" s="47" t="str">
        <f aca="false">IF($A149="","",IF(AND(INDEX(工程マスタ!$I$5:$I$154,$A149)="○",$E149&gt;=V$3,$E149&lt;=V$3+6),"▼",IF(AND($E149&gt;=V$3,$E149&lt;=V$3+6),$A149,"")))</f>
        <v/>
      </c>
      <c r="W149" s="47" t="str">
        <f aca="false">IF($A149="","",IF(AND(INDEX(工程マスタ!$I$5:$I$154,$A149)="○",$E149&gt;=W$3,$E149&lt;=W$3+6),"▼",IF(AND($E149&gt;=W$3,$E149&lt;=W$3+6),$A149,"")))</f>
        <v/>
      </c>
      <c r="X149" s="47" t="str">
        <f aca="false">IF($A149="","",IF(AND(INDEX(工程マスタ!$I$5:$I$154,$A149)="○",$E149&gt;=X$3,$E149&lt;=X$3+6),"▼",IF(AND($E149&gt;=X$3,$E149&lt;=X$3+6),$A149,"")))</f>
        <v/>
      </c>
      <c r="Y149" s="47" t="str">
        <f aca="false">IF($A149="","",IF(AND(INDEX(工程マスタ!$I$5:$I$154,$A149)="○",$E149&gt;=Y$3,$E149&lt;=Y$3+6),"▼",IF(AND($E149&gt;=Y$3,$E149&lt;=Y$3+6),$A149,"")))</f>
        <v/>
      </c>
      <c r="Z149" s="47" t="str">
        <f aca="false">IF($A149="","",IF(AND(INDEX(工程マスタ!$I$5:$I$154,$A149)="○",$E149&gt;=Z$3,$E149&lt;=Z$3+6),"▼",IF(AND($E149&gt;=Z$3,$E149&lt;=Z$3+6),$A149,"")))</f>
        <v/>
      </c>
      <c r="AA149" s="47" t="str">
        <f aca="false">IF($A149="","",IF(AND(INDEX(工程マスタ!$I$5:$I$154,$A149)="○",$E149&gt;=AA$3,$E149&lt;=AA$3+6),"▼",IF(AND($E149&gt;=AA$3,$E149&lt;=AA$3+6),$A149,"")))</f>
        <v/>
      </c>
      <c r="AB149" s="47" t="str">
        <f aca="false">IF($A149="","",IF(AND(INDEX(工程マスタ!$I$5:$I$154,$A149)="○",$E149&gt;=AB$3,$E149&lt;=AB$3+6),"▼",IF(AND($E149&gt;=AB$3,$E149&lt;=AB$3+6),$A149,"")))</f>
        <v/>
      </c>
      <c r="AC149" s="47" t="str">
        <f aca="false">IF($A149="","",IF(AND(INDEX(工程マスタ!$I$5:$I$154,$A149)="○",$E149&gt;=AC$3,$E149&lt;=AC$3+6),"▼",IF(AND($E149&gt;=AC$3,$E149&lt;=AC$3+6),$A149,"")))</f>
        <v/>
      </c>
      <c r="AD149" s="47" t="str">
        <f aca="false">IF($A149="","",IF(AND(INDEX(工程マスタ!$I$5:$I$154,$A149)="○",$E149&gt;=AD$3,$E149&lt;=AD$3+6),"▼",IF(AND($E149&gt;=AD$3,$E149&lt;=AD$3+6),$A149,"")))</f>
        <v/>
      </c>
      <c r="AE149" s="47" t="str">
        <f aca="false">IF($A149="","",IF(AND(INDEX(工程マスタ!$I$5:$I$154,$A149)="○",$E149&gt;=AE$3,$E149&lt;=AE$3+6),"▼",IF(AND($E149&gt;=AE$3,$E149&lt;=AE$3+6),$A149,"")))</f>
        <v/>
      </c>
      <c r="AF149" s="47" t="str">
        <f aca="false">IF($A149="","",IF(AND(INDEX(工程マスタ!$I$5:$I$154,$A149)="○",$E149&gt;=AF$3,$E149&lt;=AF$3+6),"▼",IF(AND($E149&gt;=AF$3,$E149&lt;=AF$3+6),$A149,"")))</f>
        <v/>
      </c>
      <c r="AG149" s="47" t="str">
        <f aca="false">IF($A149="","",IF(AND(INDEX(工程マスタ!$I$5:$I$154,$A149)="○",$E149&gt;=AG$3,$E149&lt;=AG$3+6),"▼",IF(AND($E149&gt;=AG$3,$E149&lt;=AG$3+6),$A149,"")))</f>
        <v/>
      </c>
      <c r="AH149" s="47" t="str">
        <f aca="false">IF($A149="","",IF(AND(INDEX(工程マスタ!$I$5:$I$154,$A149)="○",$E149&gt;=AH$3,$E149&lt;=AH$3+6),"▼",IF(AND($E149&gt;=AH$3,$E149&lt;=AH$3+6),$A149,"")))</f>
        <v/>
      </c>
      <c r="AI149" s="47" t="str">
        <f aca="false">IF($A149="","",IF(AND(INDEX(工程マスタ!$I$5:$I$154,$A149)="○",$E149&gt;=AI$3,$E149&lt;=AI$3+6),"▼",IF(AND($E149&gt;=AI$3,$E149&lt;=AI$3+6),$A149,"")))</f>
        <v/>
      </c>
      <c r="AJ149" s="47" t="str">
        <f aca="false">IF($A149="","",IF(AND(INDEX(工程マスタ!$I$5:$I$154,$A149)="○",$E149&gt;=AJ$3,$E149&lt;=AJ$3+6),"▼",IF(AND($E149&gt;=AJ$3,$E149&lt;=AJ$3+6),$A149,"")))</f>
        <v/>
      </c>
      <c r="AK149" s="47" t="str">
        <f aca="false">IF($A149="","",IF(AND(INDEX(工程マスタ!$I$5:$I$154,$A149)="○",$E149&gt;=AK$3,$E149&lt;=AK$3+6),"▼",IF(AND($E149&gt;=AK$3,$E149&lt;=AK$3+6),$A149,"")))</f>
        <v/>
      </c>
      <c r="AL149" s="47" t="str">
        <f aca="false">IF($A149="","",IF(AND(INDEX(工程マスタ!$I$5:$I$154,$A149)="○",$E149&gt;=AL$3,$E149&lt;=AL$3+6),"▼",IF(AND($E149&gt;=AL$3,$E149&lt;=AL$3+6),$A149,"")))</f>
        <v/>
      </c>
      <c r="AM149" s="47" t="str">
        <f aca="false">IF($A149="","",IF(AND(INDEX(工程マスタ!$I$5:$I$154,$A149)="○",$E149&gt;=AM$3,$E149&lt;=AM$3+6),"▼",IF(AND($E149&gt;=AM$3,$E149&lt;=AM$3+6),$A149,"")))</f>
        <v/>
      </c>
      <c r="AN149" s="47" t="str">
        <f aca="false">IF($A149="","",IF(AND(INDEX(工程マスタ!$I$5:$I$154,$A149)="○",$E149&gt;=AN$3,$E149&lt;=AN$3+6),"▼",IF(AND($E149&gt;=AN$3,$E149&lt;=AN$3+6),$A149,"")))</f>
        <v/>
      </c>
      <c r="AO149" s="47" t="str">
        <f aca="false">IF($A149="","",IF(AND(INDEX(工程マスタ!$I$5:$I$154,$A149)="○",$E149&gt;=AO$3,$E149&lt;=AO$3+6),"▼",IF(AND($E149&gt;=AO$3,$E149&lt;=AO$3+6),$A149,"")))</f>
        <v/>
      </c>
      <c r="AP149" s="47" t="str">
        <f aca="false">IF($A149="","",IF(AND(INDEX(工程マスタ!$I$5:$I$154,$A149)="○",$E149&gt;=AP$3,$E149&lt;=AP$3+6),"▼",IF(AND($E149&gt;=AP$3,$E149&lt;=AP$3+6),$A149,"")))</f>
        <v/>
      </c>
      <c r="AQ149" s="47" t="str">
        <f aca="false">IF($A149="","",IF(AND(INDEX(工程マスタ!$I$5:$I$154,$A149)="○",$E149&gt;=AQ$3,$E149&lt;=AQ$3+6),"▼",IF(AND($E149&gt;=AQ$3,$E149&lt;=AQ$3+6),$A149,"")))</f>
        <v/>
      </c>
      <c r="AR149" s="47" t="str">
        <f aca="false">IF($A149="","",IF(AND(INDEX(工程マスタ!$I$5:$I$154,$A149)="○",$E149&gt;=AR$3,$E149&lt;=AR$3+6),"▼",IF(AND($E149&gt;=AR$3,$E149&lt;=AR$3+6),$A149,"")))</f>
        <v/>
      </c>
      <c r="AS149" s="47" t="str">
        <f aca="false">IF($A149="","",IF(AND(INDEX(工程マスタ!$I$5:$I$154,$A149)="○",$E149&gt;=AS$3,$E149&lt;=AS$3+6),"▼",IF(AND($E149&gt;=AS$3,$E149&lt;=AS$3+6),$A149,"")))</f>
        <v/>
      </c>
      <c r="AT149" s="47" t="str">
        <f aca="false">IF($A149="","",IF(AND(INDEX(工程マスタ!$I$5:$I$154,$A149)="○",$E149&gt;=AT$3,$E149&lt;=AT$3+6),"▼",IF(AND($E149&gt;=AT$3,$E149&lt;=AT$3+6),$A149,"")))</f>
        <v/>
      </c>
      <c r="AU149" s="47" t="str">
        <f aca="false">IF($A149="","",IF(AND(INDEX(工程マスタ!$I$5:$I$154,$A149)="○",$E149&gt;=AU$3,$E149&lt;=AU$3+6),"▼",IF(AND($E149&gt;=AU$3,$E149&lt;=AU$3+6),$A149,"")))</f>
        <v/>
      </c>
      <c r="AV149" s="47" t="str">
        <f aca="false">IF($A149="","",IF(AND(INDEX(工程マスタ!$I$5:$I$154,$A149)="○",$E149&gt;=AV$3,$E149&lt;=AV$3+6),"▼",IF(AND($E149&gt;=AV$3,$E149&lt;=AV$3+6),$A149,"")))</f>
        <v/>
      </c>
      <c r="AW149" s="47" t="str">
        <f aca="false">IF($A149="","",IF(AND(INDEX(工程マスタ!$I$5:$I$154,$A149)="○",$E149&gt;=AW$3,$E149&lt;=AW$3+6),"▼",IF(AND($E149&gt;=AW$3,$E149&lt;=AW$3+6),$A149,"")))</f>
        <v/>
      </c>
      <c r="AX149" s="47" t="str">
        <f aca="false">IF($A149="","",IF(AND(INDEX(工程マスタ!$I$5:$I$154,$A149)="○",$E149&gt;=AX$3,$E149&lt;=AX$3+6),"▼",IF(AND($E149&gt;=AX$3,$E149&lt;=AX$3+6),$A149,"")))</f>
        <v/>
      </c>
      <c r="AY149" s="47" t="str">
        <f aca="false">IF($A149="","",IF(AND(INDEX(工程マスタ!$I$5:$I$154,$A149)="○",$E149&gt;=AY$3,$E149&lt;=AY$3+6),"▼",IF(AND($E149&gt;=AY$3,$E149&lt;=AY$3+6),$A149,"")))</f>
        <v/>
      </c>
      <c r="AZ149" s="47" t="str">
        <f aca="false">IF($A149="","",IF(AND(INDEX(工程マスタ!$I$5:$I$154,$A149)="○",$E149&gt;=AZ$3,$E149&lt;=AZ$3+6),"▼",IF(AND($E149&gt;=AZ$3,$E149&lt;=AZ$3+6),$A149,"")))</f>
        <v/>
      </c>
      <c r="BA149" s="47" t="str">
        <f aca="false">IF($A149="","",IF(AND(INDEX(工程マスタ!$I$5:$I$154,$A149)="○",$E149&gt;=BA$3,$E149&lt;=BA$3+6),"▼",IF(AND($E149&gt;=BA$3,$E149&lt;=BA$3+6),$A149,"")))</f>
        <v/>
      </c>
      <c r="BB149" s="47" t="str">
        <f aca="false">IF($A149="","",IF(AND(INDEX(工程マスタ!$I$5:$I$154,$A149)="○",$E149&gt;=BB$3,$E149&lt;=BB$3+6),"▼",IF(AND($E149&gt;=BB$3,$E149&lt;=BB$3+6),$A149,"")))</f>
        <v/>
      </c>
      <c r="BC149" s="47" t="str">
        <f aca="false">IF($A149="","",IF(AND(INDEX(工程マスタ!$I$5:$I$154,$A149)="○",$E149&gt;=BC$3,$E149&lt;=BC$3+6),"▼",IF(AND($E149&gt;=BC$3,$E149&lt;=BC$3+6),$A149,"")))</f>
        <v/>
      </c>
      <c r="BD149" s="47" t="str">
        <f aca="false">IF($A149="","",IF(AND(INDEX(工程マスタ!$I$5:$I$154,$A149)="○",$E149&gt;=BD$3,$E149&lt;=BD$3+6),"▼",IF(AND($E149&gt;=BD$3,$E149&lt;=BD$3+6),$A149,"")))</f>
        <v/>
      </c>
      <c r="BE149" s="47" t="str">
        <f aca="false">IF($A149="","",IF(AND(INDEX(工程マスタ!$I$5:$I$154,$A149)="○",$E149&gt;=BE$3,$E149&lt;=BE$3+6),"▼",IF(AND($E149&gt;=BE$3,$E149&lt;=BE$3+6),$A149,"")))</f>
        <v/>
      </c>
      <c r="BF149" s="47" t="str">
        <f aca="false">IF($A149="","",IF(AND(INDEX(工程マスタ!$I$5:$I$154,$A149)="○",$E149&gt;=BF$3,$E149&lt;=BF$3+6),"▼",IF(AND($E149&gt;=BF$3,$E149&lt;=BF$3+6),$A149,"")))</f>
        <v/>
      </c>
      <c r="BG149" s="47" t="str">
        <f aca="false">IF($A149="","",IF(AND(INDEX(工程マスタ!$I$5:$I$154,$A149)="○",$E149&gt;=BG$3,$E149&lt;=BG$3+6),"▼",IF(AND($E149&gt;=BG$3,$E149&lt;=BG$3+6),$A149,"")))</f>
        <v/>
      </c>
      <c r="BH149" s="47" t="str">
        <f aca="false">IF($A149="","",IF(AND(INDEX(工程マスタ!$I$5:$I$154,$A149)="○",$E149&gt;=BH$3,$E149&lt;=BH$3+6),"▼",IF(AND($E149&gt;=BH$3,$E149&lt;=BH$3+6),$A149,"")))</f>
        <v/>
      </c>
      <c r="BI149" s="47" t="str">
        <f aca="false">IF($A149="","",IF(AND(INDEX(工程マスタ!$I$5:$I$154,$A149)="○",$E149&gt;=BI$3,$E149&lt;=BI$3+6),"▼",IF(AND($E149&gt;=BI$3,$E149&lt;=BI$3+6),$A149,"")))</f>
        <v/>
      </c>
      <c r="BJ149" s="47" t="str">
        <f aca="false">IF($A149="","",IF(AND(INDEX(工程マスタ!$I$5:$I$154,$A149)="○",$E149&gt;=BJ$3,$E149&lt;=BJ$3+6),"▼",IF(AND($E149&gt;=BJ$3,$E149&lt;=BJ$3+6),$A149,"")))</f>
        <v/>
      </c>
    </row>
    <row r="150" customFormat="false" ht="15" hidden="false" customHeight="false" outlineLevel="0" collapsed="false">
      <c r="A150" s="28" t="str">
        <f aca="false">IF(工程マスタ!$C148="","",工程マスタ!$A148)</f>
        <v/>
      </c>
      <c r="B150" s="46" t="str">
        <f aca="false">IF($A150="","",工程マスタ!$C148)</f>
        <v/>
      </c>
      <c r="C150" s="28" t="str">
        <f aca="false">IF($A150="","",MAX(1,工程マスタ!$G148))</f>
        <v/>
      </c>
      <c r="D150" s="28" t="str">
        <f aca="false">IF($A150="","",_xlfn.TEXTJOIN(",",TRUE(),工程マスタ!$N148:$P148))</f>
        <v/>
      </c>
      <c r="E150" s="29" t="str">
        <f aca="false">IF($A150="","",IF(COUNT(工程マスタ!$N148:$P148)=0,設定!$B$8,MAX(IF(工程マスタ!$N148="",0,INDEX($F$7:$F$156,工程マスタ!$N148)),IF(工程マスタ!$O148="",0,INDEX($F$7:$F$156,工程マスタ!$O148)),IF(工程マスタ!$P148="",0,INDEX($F$7:$F$156,工程マスタ!$P148)))+1))</f>
        <v/>
      </c>
      <c r="F150" s="29" t="str">
        <f aca="false">IF($A150="","",$E150+$C150-1)</f>
        <v/>
      </c>
      <c r="G150" s="29" t="str">
        <f aca="false">IF($A150="","",$H150-$C150+1)</f>
        <v/>
      </c>
      <c r="H150" s="29" t="str">
        <f aca="false" t="array" ref="H150:H150">IF($A150="","",IF(SUMPRODUCT((工程マスタ!$N$149:$N$154=$A150)*1)+SUMPRODUCT((工程マスタ!$O$149:$O$154=$A150)*1)+SUMPRODUCT((工程マスタ!$P$149:$P$154=$A150)*1)=0,MAX($F$7:$F$156),MIN(IF((工程マスタ!$N$149:$N$154=$A150)+(工程マスタ!$O$149:$O$154=$A150)+(工程マスタ!$P$149:$P$154=$A150),$G151:$G$156))-1))</f>
        <v/>
      </c>
      <c r="I150" s="28" t="str">
        <f aca="false">IF($A150="","",$G150-$E150)</f>
        <v/>
      </c>
      <c r="J150" s="28" t="str">
        <f aca="false">IF($A150="","",IF($I150&lt;=0,"●",""))</f>
        <v/>
      </c>
      <c r="K150" s="47" t="str">
        <f aca="false">IF($A150="","",IF(AND(INDEX(工程マスタ!$I$5:$I$154,$A150)="○",$E150&gt;=K$3,$E150&lt;=K$3+6),"▼",IF(AND($E150&gt;=K$3,$E150&lt;=K$3+6),$A150,"")))</f>
        <v/>
      </c>
      <c r="L150" s="47" t="str">
        <f aca="false">IF($A150="","",IF(AND(INDEX(工程マスタ!$I$5:$I$154,$A150)="○",$E150&gt;=L$3,$E150&lt;=L$3+6),"▼",IF(AND($E150&gt;=L$3,$E150&lt;=L$3+6),$A150,"")))</f>
        <v/>
      </c>
      <c r="M150" s="47" t="str">
        <f aca="false">IF($A150="","",IF(AND(INDEX(工程マスタ!$I$5:$I$154,$A150)="○",$E150&gt;=M$3,$E150&lt;=M$3+6),"▼",IF(AND($E150&gt;=M$3,$E150&lt;=M$3+6),$A150,"")))</f>
        <v/>
      </c>
      <c r="N150" s="47" t="str">
        <f aca="false">IF($A150="","",IF(AND(INDEX(工程マスタ!$I$5:$I$154,$A150)="○",$E150&gt;=N$3,$E150&lt;=N$3+6),"▼",IF(AND($E150&gt;=N$3,$E150&lt;=N$3+6),$A150,"")))</f>
        <v/>
      </c>
      <c r="O150" s="47" t="str">
        <f aca="false">IF($A150="","",IF(AND(INDEX(工程マスタ!$I$5:$I$154,$A150)="○",$E150&gt;=O$3,$E150&lt;=O$3+6),"▼",IF(AND($E150&gt;=O$3,$E150&lt;=O$3+6),$A150,"")))</f>
        <v/>
      </c>
      <c r="P150" s="47" t="str">
        <f aca="false">IF($A150="","",IF(AND(INDEX(工程マスタ!$I$5:$I$154,$A150)="○",$E150&gt;=P$3,$E150&lt;=P$3+6),"▼",IF(AND($E150&gt;=P$3,$E150&lt;=P$3+6),$A150,"")))</f>
        <v/>
      </c>
      <c r="Q150" s="47" t="str">
        <f aca="false">IF($A150="","",IF(AND(INDEX(工程マスタ!$I$5:$I$154,$A150)="○",$E150&gt;=Q$3,$E150&lt;=Q$3+6),"▼",IF(AND($E150&gt;=Q$3,$E150&lt;=Q$3+6),$A150,"")))</f>
        <v/>
      </c>
      <c r="R150" s="47" t="str">
        <f aca="false">IF($A150="","",IF(AND(INDEX(工程マスタ!$I$5:$I$154,$A150)="○",$E150&gt;=R$3,$E150&lt;=R$3+6),"▼",IF(AND($E150&gt;=R$3,$E150&lt;=R$3+6),$A150,"")))</f>
        <v/>
      </c>
      <c r="S150" s="47" t="str">
        <f aca="false">IF($A150="","",IF(AND(INDEX(工程マスタ!$I$5:$I$154,$A150)="○",$E150&gt;=S$3,$E150&lt;=S$3+6),"▼",IF(AND($E150&gt;=S$3,$E150&lt;=S$3+6),$A150,"")))</f>
        <v/>
      </c>
      <c r="T150" s="47" t="str">
        <f aca="false">IF($A150="","",IF(AND(INDEX(工程マスタ!$I$5:$I$154,$A150)="○",$E150&gt;=T$3,$E150&lt;=T$3+6),"▼",IF(AND($E150&gt;=T$3,$E150&lt;=T$3+6),$A150,"")))</f>
        <v/>
      </c>
      <c r="U150" s="47" t="str">
        <f aca="false">IF($A150="","",IF(AND(INDEX(工程マスタ!$I$5:$I$154,$A150)="○",$E150&gt;=U$3,$E150&lt;=U$3+6),"▼",IF(AND($E150&gt;=U$3,$E150&lt;=U$3+6),$A150,"")))</f>
        <v/>
      </c>
      <c r="V150" s="47" t="str">
        <f aca="false">IF($A150="","",IF(AND(INDEX(工程マスタ!$I$5:$I$154,$A150)="○",$E150&gt;=V$3,$E150&lt;=V$3+6),"▼",IF(AND($E150&gt;=V$3,$E150&lt;=V$3+6),$A150,"")))</f>
        <v/>
      </c>
      <c r="W150" s="47" t="str">
        <f aca="false">IF($A150="","",IF(AND(INDEX(工程マスタ!$I$5:$I$154,$A150)="○",$E150&gt;=W$3,$E150&lt;=W$3+6),"▼",IF(AND($E150&gt;=W$3,$E150&lt;=W$3+6),$A150,"")))</f>
        <v/>
      </c>
      <c r="X150" s="47" t="str">
        <f aca="false">IF($A150="","",IF(AND(INDEX(工程マスタ!$I$5:$I$154,$A150)="○",$E150&gt;=X$3,$E150&lt;=X$3+6),"▼",IF(AND($E150&gt;=X$3,$E150&lt;=X$3+6),$A150,"")))</f>
        <v/>
      </c>
      <c r="Y150" s="47" t="str">
        <f aca="false">IF($A150="","",IF(AND(INDEX(工程マスタ!$I$5:$I$154,$A150)="○",$E150&gt;=Y$3,$E150&lt;=Y$3+6),"▼",IF(AND($E150&gt;=Y$3,$E150&lt;=Y$3+6),$A150,"")))</f>
        <v/>
      </c>
      <c r="Z150" s="47" t="str">
        <f aca="false">IF($A150="","",IF(AND(INDEX(工程マスタ!$I$5:$I$154,$A150)="○",$E150&gt;=Z$3,$E150&lt;=Z$3+6),"▼",IF(AND($E150&gt;=Z$3,$E150&lt;=Z$3+6),$A150,"")))</f>
        <v/>
      </c>
      <c r="AA150" s="47" t="str">
        <f aca="false">IF($A150="","",IF(AND(INDEX(工程マスタ!$I$5:$I$154,$A150)="○",$E150&gt;=AA$3,$E150&lt;=AA$3+6),"▼",IF(AND($E150&gt;=AA$3,$E150&lt;=AA$3+6),$A150,"")))</f>
        <v/>
      </c>
      <c r="AB150" s="47" t="str">
        <f aca="false">IF($A150="","",IF(AND(INDEX(工程マスタ!$I$5:$I$154,$A150)="○",$E150&gt;=AB$3,$E150&lt;=AB$3+6),"▼",IF(AND($E150&gt;=AB$3,$E150&lt;=AB$3+6),$A150,"")))</f>
        <v/>
      </c>
      <c r="AC150" s="47" t="str">
        <f aca="false">IF($A150="","",IF(AND(INDEX(工程マスタ!$I$5:$I$154,$A150)="○",$E150&gt;=AC$3,$E150&lt;=AC$3+6),"▼",IF(AND($E150&gt;=AC$3,$E150&lt;=AC$3+6),$A150,"")))</f>
        <v/>
      </c>
      <c r="AD150" s="47" t="str">
        <f aca="false">IF($A150="","",IF(AND(INDEX(工程マスタ!$I$5:$I$154,$A150)="○",$E150&gt;=AD$3,$E150&lt;=AD$3+6),"▼",IF(AND($E150&gt;=AD$3,$E150&lt;=AD$3+6),$A150,"")))</f>
        <v/>
      </c>
      <c r="AE150" s="47" t="str">
        <f aca="false">IF($A150="","",IF(AND(INDEX(工程マスタ!$I$5:$I$154,$A150)="○",$E150&gt;=AE$3,$E150&lt;=AE$3+6),"▼",IF(AND($E150&gt;=AE$3,$E150&lt;=AE$3+6),$A150,"")))</f>
        <v/>
      </c>
      <c r="AF150" s="47" t="str">
        <f aca="false">IF($A150="","",IF(AND(INDEX(工程マスタ!$I$5:$I$154,$A150)="○",$E150&gt;=AF$3,$E150&lt;=AF$3+6),"▼",IF(AND($E150&gt;=AF$3,$E150&lt;=AF$3+6),$A150,"")))</f>
        <v/>
      </c>
      <c r="AG150" s="47" t="str">
        <f aca="false">IF($A150="","",IF(AND(INDEX(工程マスタ!$I$5:$I$154,$A150)="○",$E150&gt;=AG$3,$E150&lt;=AG$3+6),"▼",IF(AND($E150&gt;=AG$3,$E150&lt;=AG$3+6),$A150,"")))</f>
        <v/>
      </c>
      <c r="AH150" s="47" t="str">
        <f aca="false">IF($A150="","",IF(AND(INDEX(工程マスタ!$I$5:$I$154,$A150)="○",$E150&gt;=AH$3,$E150&lt;=AH$3+6),"▼",IF(AND($E150&gt;=AH$3,$E150&lt;=AH$3+6),$A150,"")))</f>
        <v/>
      </c>
      <c r="AI150" s="47" t="str">
        <f aca="false">IF($A150="","",IF(AND(INDEX(工程マスタ!$I$5:$I$154,$A150)="○",$E150&gt;=AI$3,$E150&lt;=AI$3+6),"▼",IF(AND($E150&gt;=AI$3,$E150&lt;=AI$3+6),$A150,"")))</f>
        <v/>
      </c>
      <c r="AJ150" s="47" t="str">
        <f aca="false">IF($A150="","",IF(AND(INDEX(工程マスタ!$I$5:$I$154,$A150)="○",$E150&gt;=AJ$3,$E150&lt;=AJ$3+6),"▼",IF(AND($E150&gt;=AJ$3,$E150&lt;=AJ$3+6),$A150,"")))</f>
        <v/>
      </c>
      <c r="AK150" s="47" t="str">
        <f aca="false">IF($A150="","",IF(AND(INDEX(工程マスタ!$I$5:$I$154,$A150)="○",$E150&gt;=AK$3,$E150&lt;=AK$3+6),"▼",IF(AND($E150&gt;=AK$3,$E150&lt;=AK$3+6),$A150,"")))</f>
        <v/>
      </c>
      <c r="AL150" s="47" t="str">
        <f aca="false">IF($A150="","",IF(AND(INDEX(工程マスタ!$I$5:$I$154,$A150)="○",$E150&gt;=AL$3,$E150&lt;=AL$3+6),"▼",IF(AND($E150&gt;=AL$3,$E150&lt;=AL$3+6),$A150,"")))</f>
        <v/>
      </c>
      <c r="AM150" s="47" t="str">
        <f aca="false">IF($A150="","",IF(AND(INDEX(工程マスタ!$I$5:$I$154,$A150)="○",$E150&gt;=AM$3,$E150&lt;=AM$3+6),"▼",IF(AND($E150&gt;=AM$3,$E150&lt;=AM$3+6),$A150,"")))</f>
        <v/>
      </c>
      <c r="AN150" s="47" t="str">
        <f aca="false">IF($A150="","",IF(AND(INDEX(工程マスタ!$I$5:$I$154,$A150)="○",$E150&gt;=AN$3,$E150&lt;=AN$3+6),"▼",IF(AND($E150&gt;=AN$3,$E150&lt;=AN$3+6),$A150,"")))</f>
        <v/>
      </c>
      <c r="AO150" s="47" t="str">
        <f aca="false">IF($A150="","",IF(AND(INDEX(工程マスタ!$I$5:$I$154,$A150)="○",$E150&gt;=AO$3,$E150&lt;=AO$3+6),"▼",IF(AND($E150&gt;=AO$3,$E150&lt;=AO$3+6),$A150,"")))</f>
        <v/>
      </c>
      <c r="AP150" s="47" t="str">
        <f aca="false">IF($A150="","",IF(AND(INDEX(工程マスタ!$I$5:$I$154,$A150)="○",$E150&gt;=AP$3,$E150&lt;=AP$3+6),"▼",IF(AND($E150&gt;=AP$3,$E150&lt;=AP$3+6),$A150,"")))</f>
        <v/>
      </c>
      <c r="AQ150" s="47" t="str">
        <f aca="false">IF($A150="","",IF(AND(INDEX(工程マスタ!$I$5:$I$154,$A150)="○",$E150&gt;=AQ$3,$E150&lt;=AQ$3+6),"▼",IF(AND($E150&gt;=AQ$3,$E150&lt;=AQ$3+6),$A150,"")))</f>
        <v/>
      </c>
      <c r="AR150" s="47" t="str">
        <f aca="false">IF($A150="","",IF(AND(INDEX(工程マスタ!$I$5:$I$154,$A150)="○",$E150&gt;=AR$3,$E150&lt;=AR$3+6),"▼",IF(AND($E150&gt;=AR$3,$E150&lt;=AR$3+6),$A150,"")))</f>
        <v/>
      </c>
      <c r="AS150" s="47" t="str">
        <f aca="false">IF($A150="","",IF(AND(INDEX(工程マスタ!$I$5:$I$154,$A150)="○",$E150&gt;=AS$3,$E150&lt;=AS$3+6),"▼",IF(AND($E150&gt;=AS$3,$E150&lt;=AS$3+6),$A150,"")))</f>
        <v/>
      </c>
      <c r="AT150" s="47" t="str">
        <f aca="false">IF($A150="","",IF(AND(INDEX(工程マスタ!$I$5:$I$154,$A150)="○",$E150&gt;=AT$3,$E150&lt;=AT$3+6),"▼",IF(AND($E150&gt;=AT$3,$E150&lt;=AT$3+6),$A150,"")))</f>
        <v/>
      </c>
      <c r="AU150" s="47" t="str">
        <f aca="false">IF($A150="","",IF(AND(INDEX(工程マスタ!$I$5:$I$154,$A150)="○",$E150&gt;=AU$3,$E150&lt;=AU$3+6),"▼",IF(AND($E150&gt;=AU$3,$E150&lt;=AU$3+6),$A150,"")))</f>
        <v/>
      </c>
      <c r="AV150" s="47" t="str">
        <f aca="false">IF($A150="","",IF(AND(INDEX(工程マスタ!$I$5:$I$154,$A150)="○",$E150&gt;=AV$3,$E150&lt;=AV$3+6),"▼",IF(AND($E150&gt;=AV$3,$E150&lt;=AV$3+6),$A150,"")))</f>
        <v/>
      </c>
      <c r="AW150" s="47" t="str">
        <f aca="false">IF($A150="","",IF(AND(INDEX(工程マスタ!$I$5:$I$154,$A150)="○",$E150&gt;=AW$3,$E150&lt;=AW$3+6),"▼",IF(AND($E150&gt;=AW$3,$E150&lt;=AW$3+6),$A150,"")))</f>
        <v/>
      </c>
      <c r="AX150" s="47" t="str">
        <f aca="false">IF($A150="","",IF(AND(INDEX(工程マスタ!$I$5:$I$154,$A150)="○",$E150&gt;=AX$3,$E150&lt;=AX$3+6),"▼",IF(AND($E150&gt;=AX$3,$E150&lt;=AX$3+6),$A150,"")))</f>
        <v/>
      </c>
      <c r="AY150" s="47" t="str">
        <f aca="false">IF($A150="","",IF(AND(INDEX(工程マスタ!$I$5:$I$154,$A150)="○",$E150&gt;=AY$3,$E150&lt;=AY$3+6),"▼",IF(AND($E150&gt;=AY$3,$E150&lt;=AY$3+6),$A150,"")))</f>
        <v/>
      </c>
      <c r="AZ150" s="47" t="str">
        <f aca="false">IF($A150="","",IF(AND(INDEX(工程マスタ!$I$5:$I$154,$A150)="○",$E150&gt;=AZ$3,$E150&lt;=AZ$3+6),"▼",IF(AND($E150&gt;=AZ$3,$E150&lt;=AZ$3+6),$A150,"")))</f>
        <v/>
      </c>
      <c r="BA150" s="47" t="str">
        <f aca="false">IF($A150="","",IF(AND(INDEX(工程マスタ!$I$5:$I$154,$A150)="○",$E150&gt;=BA$3,$E150&lt;=BA$3+6),"▼",IF(AND($E150&gt;=BA$3,$E150&lt;=BA$3+6),$A150,"")))</f>
        <v/>
      </c>
      <c r="BB150" s="47" t="str">
        <f aca="false">IF($A150="","",IF(AND(INDEX(工程マスタ!$I$5:$I$154,$A150)="○",$E150&gt;=BB$3,$E150&lt;=BB$3+6),"▼",IF(AND($E150&gt;=BB$3,$E150&lt;=BB$3+6),$A150,"")))</f>
        <v/>
      </c>
      <c r="BC150" s="47" t="str">
        <f aca="false">IF($A150="","",IF(AND(INDEX(工程マスタ!$I$5:$I$154,$A150)="○",$E150&gt;=BC$3,$E150&lt;=BC$3+6),"▼",IF(AND($E150&gt;=BC$3,$E150&lt;=BC$3+6),$A150,"")))</f>
        <v/>
      </c>
      <c r="BD150" s="47" t="str">
        <f aca="false">IF($A150="","",IF(AND(INDEX(工程マスタ!$I$5:$I$154,$A150)="○",$E150&gt;=BD$3,$E150&lt;=BD$3+6),"▼",IF(AND($E150&gt;=BD$3,$E150&lt;=BD$3+6),$A150,"")))</f>
        <v/>
      </c>
      <c r="BE150" s="47" t="str">
        <f aca="false">IF($A150="","",IF(AND(INDEX(工程マスタ!$I$5:$I$154,$A150)="○",$E150&gt;=BE$3,$E150&lt;=BE$3+6),"▼",IF(AND($E150&gt;=BE$3,$E150&lt;=BE$3+6),$A150,"")))</f>
        <v/>
      </c>
      <c r="BF150" s="47" t="str">
        <f aca="false">IF($A150="","",IF(AND(INDEX(工程マスタ!$I$5:$I$154,$A150)="○",$E150&gt;=BF$3,$E150&lt;=BF$3+6),"▼",IF(AND($E150&gt;=BF$3,$E150&lt;=BF$3+6),$A150,"")))</f>
        <v/>
      </c>
      <c r="BG150" s="47" t="str">
        <f aca="false">IF($A150="","",IF(AND(INDEX(工程マスタ!$I$5:$I$154,$A150)="○",$E150&gt;=BG$3,$E150&lt;=BG$3+6),"▼",IF(AND($E150&gt;=BG$3,$E150&lt;=BG$3+6),$A150,"")))</f>
        <v/>
      </c>
      <c r="BH150" s="47" t="str">
        <f aca="false">IF($A150="","",IF(AND(INDEX(工程マスタ!$I$5:$I$154,$A150)="○",$E150&gt;=BH$3,$E150&lt;=BH$3+6),"▼",IF(AND($E150&gt;=BH$3,$E150&lt;=BH$3+6),$A150,"")))</f>
        <v/>
      </c>
      <c r="BI150" s="47" t="str">
        <f aca="false">IF($A150="","",IF(AND(INDEX(工程マスタ!$I$5:$I$154,$A150)="○",$E150&gt;=BI$3,$E150&lt;=BI$3+6),"▼",IF(AND($E150&gt;=BI$3,$E150&lt;=BI$3+6),$A150,"")))</f>
        <v/>
      </c>
      <c r="BJ150" s="47" t="str">
        <f aca="false">IF($A150="","",IF(AND(INDEX(工程マスタ!$I$5:$I$154,$A150)="○",$E150&gt;=BJ$3,$E150&lt;=BJ$3+6),"▼",IF(AND($E150&gt;=BJ$3,$E150&lt;=BJ$3+6),$A150,"")))</f>
        <v/>
      </c>
    </row>
    <row r="151" customFormat="false" ht="15" hidden="false" customHeight="false" outlineLevel="0" collapsed="false">
      <c r="A151" s="28" t="str">
        <f aca="false">IF(工程マスタ!$C149="","",工程マスタ!$A149)</f>
        <v/>
      </c>
      <c r="B151" s="46" t="str">
        <f aca="false">IF($A151="","",工程マスタ!$C149)</f>
        <v/>
      </c>
      <c r="C151" s="28" t="str">
        <f aca="false">IF($A151="","",MAX(1,工程マスタ!$G149))</f>
        <v/>
      </c>
      <c r="D151" s="28" t="str">
        <f aca="false">IF($A151="","",_xlfn.TEXTJOIN(",",TRUE(),工程マスタ!$N149:$P149))</f>
        <v/>
      </c>
      <c r="E151" s="29" t="str">
        <f aca="false">IF($A151="","",IF(COUNT(工程マスタ!$N149:$P149)=0,設定!$B$8,MAX(IF(工程マスタ!$N149="",0,INDEX($F$7:$F$156,工程マスタ!$N149)),IF(工程マスタ!$O149="",0,INDEX($F$7:$F$156,工程マスタ!$O149)),IF(工程マスタ!$P149="",0,INDEX($F$7:$F$156,工程マスタ!$P149)))+1))</f>
        <v/>
      </c>
      <c r="F151" s="29" t="str">
        <f aca="false">IF($A151="","",$E151+$C151-1)</f>
        <v/>
      </c>
      <c r="G151" s="29" t="str">
        <f aca="false">IF($A151="","",$H151-$C151+1)</f>
        <v/>
      </c>
      <c r="H151" s="29" t="str">
        <f aca="false" t="array" ref="H151:H151">IF($A151="","",IF(SUMPRODUCT((工程マスタ!$N$150:$N$154=$A151)*1)+SUMPRODUCT((工程マスタ!$O$150:$O$154=$A151)*1)+SUMPRODUCT((工程マスタ!$P$150:$P$154=$A151)*1)=0,MAX($F$7:$F$156),MIN(IF((工程マスタ!$N$150:$N$154=$A151)+(工程マスタ!$O$150:$O$154=$A151)+(工程マスタ!$P$150:$P$154=$A151),$G152:$G$156))-1))</f>
        <v/>
      </c>
      <c r="I151" s="28" t="str">
        <f aca="false">IF($A151="","",$G151-$E151)</f>
        <v/>
      </c>
      <c r="J151" s="28" t="str">
        <f aca="false">IF($A151="","",IF($I151&lt;=0,"●",""))</f>
        <v/>
      </c>
      <c r="K151" s="47" t="str">
        <f aca="false">IF($A151="","",IF(AND(INDEX(工程マスタ!$I$5:$I$154,$A151)="○",$E151&gt;=K$3,$E151&lt;=K$3+6),"▼",IF(AND($E151&gt;=K$3,$E151&lt;=K$3+6),$A151,"")))</f>
        <v/>
      </c>
      <c r="L151" s="47" t="str">
        <f aca="false">IF($A151="","",IF(AND(INDEX(工程マスタ!$I$5:$I$154,$A151)="○",$E151&gt;=L$3,$E151&lt;=L$3+6),"▼",IF(AND($E151&gt;=L$3,$E151&lt;=L$3+6),$A151,"")))</f>
        <v/>
      </c>
      <c r="M151" s="47" t="str">
        <f aca="false">IF($A151="","",IF(AND(INDEX(工程マスタ!$I$5:$I$154,$A151)="○",$E151&gt;=M$3,$E151&lt;=M$3+6),"▼",IF(AND($E151&gt;=M$3,$E151&lt;=M$3+6),$A151,"")))</f>
        <v/>
      </c>
      <c r="N151" s="47" t="str">
        <f aca="false">IF($A151="","",IF(AND(INDEX(工程マスタ!$I$5:$I$154,$A151)="○",$E151&gt;=N$3,$E151&lt;=N$3+6),"▼",IF(AND($E151&gt;=N$3,$E151&lt;=N$3+6),$A151,"")))</f>
        <v/>
      </c>
      <c r="O151" s="47" t="str">
        <f aca="false">IF($A151="","",IF(AND(INDEX(工程マスタ!$I$5:$I$154,$A151)="○",$E151&gt;=O$3,$E151&lt;=O$3+6),"▼",IF(AND($E151&gt;=O$3,$E151&lt;=O$3+6),$A151,"")))</f>
        <v/>
      </c>
      <c r="P151" s="47" t="str">
        <f aca="false">IF($A151="","",IF(AND(INDEX(工程マスタ!$I$5:$I$154,$A151)="○",$E151&gt;=P$3,$E151&lt;=P$3+6),"▼",IF(AND($E151&gt;=P$3,$E151&lt;=P$3+6),$A151,"")))</f>
        <v/>
      </c>
      <c r="Q151" s="47" t="str">
        <f aca="false">IF($A151="","",IF(AND(INDEX(工程マスタ!$I$5:$I$154,$A151)="○",$E151&gt;=Q$3,$E151&lt;=Q$3+6),"▼",IF(AND($E151&gt;=Q$3,$E151&lt;=Q$3+6),$A151,"")))</f>
        <v/>
      </c>
      <c r="R151" s="47" t="str">
        <f aca="false">IF($A151="","",IF(AND(INDEX(工程マスタ!$I$5:$I$154,$A151)="○",$E151&gt;=R$3,$E151&lt;=R$3+6),"▼",IF(AND($E151&gt;=R$3,$E151&lt;=R$3+6),$A151,"")))</f>
        <v/>
      </c>
      <c r="S151" s="47" t="str">
        <f aca="false">IF($A151="","",IF(AND(INDEX(工程マスタ!$I$5:$I$154,$A151)="○",$E151&gt;=S$3,$E151&lt;=S$3+6),"▼",IF(AND($E151&gt;=S$3,$E151&lt;=S$3+6),$A151,"")))</f>
        <v/>
      </c>
      <c r="T151" s="47" t="str">
        <f aca="false">IF($A151="","",IF(AND(INDEX(工程マスタ!$I$5:$I$154,$A151)="○",$E151&gt;=T$3,$E151&lt;=T$3+6),"▼",IF(AND($E151&gt;=T$3,$E151&lt;=T$3+6),$A151,"")))</f>
        <v/>
      </c>
      <c r="U151" s="47" t="str">
        <f aca="false">IF($A151="","",IF(AND(INDEX(工程マスタ!$I$5:$I$154,$A151)="○",$E151&gt;=U$3,$E151&lt;=U$3+6),"▼",IF(AND($E151&gt;=U$3,$E151&lt;=U$3+6),$A151,"")))</f>
        <v/>
      </c>
      <c r="V151" s="47" t="str">
        <f aca="false">IF($A151="","",IF(AND(INDEX(工程マスタ!$I$5:$I$154,$A151)="○",$E151&gt;=V$3,$E151&lt;=V$3+6),"▼",IF(AND($E151&gt;=V$3,$E151&lt;=V$3+6),$A151,"")))</f>
        <v/>
      </c>
      <c r="W151" s="47" t="str">
        <f aca="false">IF($A151="","",IF(AND(INDEX(工程マスタ!$I$5:$I$154,$A151)="○",$E151&gt;=W$3,$E151&lt;=W$3+6),"▼",IF(AND($E151&gt;=W$3,$E151&lt;=W$3+6),$A151,"")))</f>
        <v/>
      </c>
      <c r="X151" s="47" t="str">
        <f aca="false">IF($A151="","",IF(AND(INDEX(工程マスタ!$I$5:$I$154,$A151)="○",$E151&gt;=X$3,$E151&lt;=X$3+6),"▼",IF(AND($E151&gt;=X$3,$E151&lt;=X$3+6),$A151,"")))</f>
        <v/>
      </c>
      <c r="Y151" s="47" t="str">
        <f aca="false">IF($A151="","",IF(AND(INDEX(工程マスタ!$I$5:$I$154,$A151)="○",$E151&gt;=Y$3,$E151&lt;=Y$3+6),"▼",IF(AND($E151&gt;=Y$3,$E151&lt;=Y$3+6),$A151,"")))</f>
        <v/>
      </c>
      <c r="Z151" s="47" t="str">
        <f aca="false">IF($A151="","",IF(AND(INDEX(工程マスタ!$I$5:$I$154,$A151)="○",$E151&gt;=Z$3,$E151&lt;=Z$3+6),"▼",IF(AND($E151&gt;=Z$3,$E151&lt;=Z$3+6),$A151,"")))</f>
        <v/>
      </c>
      <c r="AA151" s="47" t="str">
        <f aca="false">IF($A151="","",IF(AND(INDEX(工程マスタ!$I$5:$I$154,$A151)="○",$E151&gt;=AA$3,$E151&lt;=AA$3+6),"▼",IF(AND($E151&gt;=AA$3,$E151&lt;=AA$3+6),$A151,"")))</f>
        <v/>
      </c>
      <c r="AB151" s="47" t="str">
        <f aca="false">IF($A151="","",IF(AND(INDEX(工程マスタ!$I$5:$I$154,$A151)="○",$E151&gt;=AB$3,$E151&lt;=AB$3+6),"▼",IF(AND($E151&gt;=AB$3,$E151&lt;=AB$3+6),$A151,"")))</f>
        <v/>
      </c>
      <c r="AC151" s="47" t="str">
        <f aca="false">IF($A151="","",IF(AND(INDEX(工程マスタ!$I$5:$I$154,$A151)="○",$E151&gt;=AC$3,$E151&lt;=AC$3+6),"▼",IF(AND($E151&gt;=AC$3,$E151&lt;=AC$3+6),$A151,"")))</f>
        <v/>
      </c>
      <c r="AD151" s="47" t="str">
        <f aca="false">IF($A151="","",IF(AND(INDEX(工程マスタ!$I$5:$I$154,$A151)="○",$E151&gt;=AD$3,$E151&lt;=AD$3+6),"▼",IF(AND($E151&gt;=AD$3,$E151&lt;=AD$3+6),$A151,"")))</f>
        <v/>
      </c>
      <c r="AE151" s="47" t="str">
        <f aca="false">IF($A151="","",IF(AND(INDEX(工程マスタ!$I$5:$I$154,$A151)="○",$E151&gt;=AE$3,$E151&lt;=AE$3+6),"▼",IF(AND($E151&gt;=AE$3,$E151&lt;=AE$3+6),$A151,"")))</f>
        <v/>
      </c>
      <c r="AF151" s="47" t="str">
        <f aca="false">IF($A151="","",IF(AND(INDEX(工程マスタ!$I$5:$I$154,$A151)="○",$E151&gt;=AF$3,$E151&lt;=AF$3+6),"▼",IF(AND($E151&gt;=AF$3,$E151&lt;=AF$3+6),$A151,"")))</f>
        <v/>
      </c>
      <c r="AG151" s="47" t="str">
        <f aca="false">IF($A151="","",IF(AND(INDEX(工程マスタ!$I$5:$I$154,$A151)="○",$E151&gt;=AG$3,$E151&lt;=AG$3+6),"▼",IF(AND($E151&gt;=AG$3,$E151&lt;=AG$3+6),$A151,"")))</f>
        <v/>
      </c>
      <c r="AH151" s="47" t="str">
        <f aca="false">IF($A151="","",IF(AND(INDEX(工程マスタ!$I$5:$I$154,$A151)="○",$E151&gt;=AH$3,$E151&lt;=AH$3+6),"▼",IF(AND($E151&gt;=AH$3,$E151&lt;=AH$3+6),$A151,"")))</f>
        <v/>
      </c>
      <c r="AI151" s="47" t="str">
        <f aca="false">IF($A151="","",IF(AND(INDEX(工程マスタ!$I$5:$I$154,$A151)="○",$E151&gt;=AI$3,$E151&lt;=AI$3+6),"▼",IF(AND($E151&gt;=AI$3,$E151&lt;=AI$3+6),$A151,"")))</f>
        <v/>
      </c>
      <c r="AJ151" s="47" t="str">
        <f aca="false">IF($A151="","",IF(AND(INDEX(工程マスタ!$I$5:$I$154,$A151)="○",$E151&gt;=AJ$3,$E151&lt;=AJ$3+6),"▼",IF(AND($E151&gt;=AJ$3,$E151&lt;=AJ$3+6),$A151,"")))</f>
        <v/>
      </c>
      <c r="AK151" s="47" t="str">
        <f aca="false">IF($A151="","",IF(AND(INDEX(工程マスタ!$I$5:$I$154,$A151)="○",$E151&gt;=AK$3,$E151&lt;=AK$3+6),"▼",IF(AND($E151&gt;=AK$3,$E151&lt;=AK$3+6),$A151,"")))</f>
        <v/>
      </c>
      <c r="AL151" s="47" t="str">
        <f aca="false">IF($A151="","",IF(AND(INDEX(工程マスタ!$I$5:$I$154,$A151)="○",$E151&gt;=AL$3,$E151&lt;=AL$3+6),"▼",IF(AND($E151&gt;=AL$3,$E151&lt;=AL$3+6),$A151,"")))</f>
        <v/>
      </c>
      <c r="AM151" s="47" t="str">
        <f aca="false">IF($A151="","",IF(AND(INDEX(工程マスタ!$I$5:$I$154,$A151)="○",$E151&gt;=AM$3,$E151&lt;=AM$3+6),"▼",IF(AND($E151&gt;=AM$3,$E151&lt;=AM$3+6),$A151,"")))</f>
        <v/>
      </c>
      <c r="AN151" s="47" t="str">
        <f aca="false">IF($A151="","",IF(AND(INDEX(工程マスタ!$I$5:$I$154,$A151)="○",$E151&gt;=AN$3,$E151&lt;=AN$3+6),"▼",IF(AND($E151&gt;=AN$3,$E151&lt;=AN$3+6),$A151,"")))</f>
        <v/>
      </c>
      <c r="AO151" s="47" t="str">
        <f aca="false">IF($A151="","",IF(AND(INDEX(工程マスタ!$I$5:$I$154,$A151)="○",$E151&gt;=AO$3,$E151&lt;=AO$3+6),"▼",IF(AND($E151&gt;=AO$3,$E151&lt;=AO$3+6),$A151,"")))</f>
        <v/>
      </c>
      <c r="AP151" s="47" t="str">
        <f aca="false">IF($A151="","",IF(AND(INDEX(工程マスタ!$I$5:$I$154,$A151)="○",$E151&gt;=AP$3,$E151&lt;=AP$3+6),"▼",IF(AND($E151&gt;=AP$3,$E151&lt;=AP$3+6),$A151,"")))</f>
        <v/>
      </c>
      <c r="AQ151" s="47" t="str">
        <f aca="false">IF($A151="","",IF(AND(INDEX(工程マスタ!$I$5:$I$154,$A151)="○",$E151&gt;=AQ$3,$E151&lt;=AQ$3+6),"▼",IF(AND($E151&gt;=AQ$3,$E151&lt;=AQ$3+6),$A151,"")))</f>
        <v/>
      </c>
      <c r="AR151" s="47" t="str">
        <f aca="false">IF($A151="","",IF(AND(INDEX(工程マスタ!$I$5:$I$154,$A151)="○",$E151&gt;=AR$3,$E151&lt;=AR$3+6),"▼",IF(AND($E151&gt;=AR$3,$E151&lt;=AR$3+6),$A151,"")))</f>
        <v/>
      </c>
      <c r="AS151" s="47" t="str">
        <f aca="false">IF($A151="","",IF(AND(INDEX(工程マスタ!$I$5:$I$154,$A151)="○",$E151&gt;=AS$3,$E151&lt;=AS$3+6),"▼",IF(AND($E151&gt;=AS$3,$E151&lt;=AS$3+6),$A151,"")))</f>
        <v/>
      </c>
      <c r="AT151" s="47" t="str">
        <f aca="false">IF($A151="","",IF(AND(INDEX(工程マスタ!$I$5:$I$154,$A151)="○",$E151&gt;=AT$3,$E151&lt;=AT$3+6),"▼",IF(AND($E151&gt;=AT$3,$E151&lt;=AT$3+6),$A151,"")))</f>
        <v/>
      </c>
      <c r="AU151" s="47" t="str">
        <f aca="false">IF($A151="","",IF(AND(INDEX(工程マスタ!$I$5:$I$154,$A151)="○",$E151&gt;=AU$3,$E151&lt;=AU$3+6),"▼",IF(AND($E151&gt;=AU$3,$E151&lt;=AU$3+6),$A151,"")))</f>
        <v/>
      </c>
      <c r="AV151" s="47" t="str">
        <f aca="false">IF($A151="","",IF(AND(INDEX(工程マスタ!$I$5:$I$154,$A151)="○",$E151&gt;=AV$3,$E151&lt;=AV$3+6),"▼",IF(AND($E151&gt;=AV$3,$E151&lt;=AV$3+6),$A151,"")))</f>
        <v/>
      </c>
      <c r="AW151" s="47" t="str">
        <f aca="false">IF($A151="","",IF(AND(INDEX(工程マスタ!$I$5:$I$154,$A151)="○",$E151&gt;=AW$3,$E151&lt;=AW$3+6),"▼",IF(AND($E151&gt;=AW$3,$E151&lt;=AW$3+6),$A151,"")))</f>
        <v/>
      </c>
      <c r="AX151" s="47" t="str">
        <f aca="false">IF($A151="","",IF(AND(INDEX(工程マスタ!$I$5:$I$154,$A151)="○",$E151&gt;=AX$3,$E151&lt;=AX$3+6),"▼",IF(AND($E151&gt;=AX$3,$E151&lt;=AX$3+6),$A151,"")))</f>
        <v/>
      </c>
      <c r="AY151" s="47" t="str">
        <f aca="false">IF($A151="","",IF(AND(INDEX(工程マスタ!$I$5:$I$154,$A151)="○",$E151&gt;=AY$3,$E151&lt;=AY$3+6),"▼",IF(AND($E151&gt;=AY$3,$E151&lt;=AY$3+6),$A151,"")))</f>
        <v/>
      </c>
      <c r="AZ151" s="47" t="str">
        <f aca="false">IF($A151="","",IF(AND(INDEX(工程マスタ!$I$5:$I$154,$A151)="○",$E151&gt;=AZ$3,$E151&lt;=AZ$3+6),"▼",IF(AND($E151&gt;=AZ$3,$E151&lt;=AZ$3+6),$A151,"")))</f>
        <v/>
      </c>
      <c r="BA151" s="47" t="str">
        <f aca="false">IF($A151="","",IF(AND(INDEX(工程マスタ!$I$5:$I$154,$A151)="○",$E151&gt;=BA$3,$E151&lt;=BA$3+6),"▼",IF(AND($E151&gt;=BA$3,$E151&lt;=BA$3+6),$A151,"")))</f>
        <v/>
      </c>
      <c r="BB151" s="47" t="str">
        <f aca="false">IF($A151="","",IF(AND(INDEX(工程マスタ!$I$5:$I$154,$A151)="○",$E151&gt;=BB$3,$E151&lt;=BB$3+6),"▼",IF(AND($E151&gt;=BB$3,$E151&lt;=BB$3+6),$A151,"")))</f>
        <v/>
      </c>
      <c r="BC151" s="47" t="str">
        <f aca="false">IF($A151="","",IF(AND(INDEX(工程マスタ!$I$5:$I$154,$A151)="○",$E151&gt;=BC$3,$E151&lt;=BC$3+6),"▼",IF(AND($E151&gt;=BC$3,$E151&lt;=BC$3+6),$A151,"")))</f>
        <v/>
      </c>
      <c r="BD151" s="47" t="str">
        <f aca="false">IF($A151="","",IF(AND(INDEX(工程マスタ!$I$5:$I$154,$A151)="○",$E151&gt;=BD$3,$E151&lt;=BD$3+6),"▼",IF(AND($E151&gt;=BD$3,$E151&lt;=BD$3+6),$A151,"")))</f>
        <v/>
      </c>
      <c r="BE151" s="47" t="str">
        <f aca="false">IF($A151="","",IF(AND(INDEX(工程マスタ!$I$5:$I$154,$A151)="○",$E151&gt;=BE$3,$E151&lt;=BE$3+6),"▼",IF(AND($E151&gt;=BE$3,$E151&lt;=BE$3+6),$A151,"")))</f>
        <v/>
      </c>
      <c r="BF151" s="47" t="str">
        <f aca="false">IF($A151="","",IF(AND(INDEX(工程マスタ!$I$5:$I$154,$A151)="○",$E151&gt;=BF$3,$E151&lt;=BF$3+6),"▼",IF(AND($E151&gt;=BF$3,$E151&lt;=BF$3+6),$A151,"")))</f>
        <v/>
      </c>
      <c r="BG151" s="47" t="str">
        <f aca="false">IF($A151="","",IF(AND(INDEX(工程マスタ!$I$5:$I$154,$A151)="○",$E151&gt;=BG$3,$E151&lt;=BG$3+6),"▼",IF(AND($E151&gt;=BG$3,$E151&lt;=BG$3+6),$A151,"")))</f>
        <v/>
      </c>
      <c r="BH151" s="47" t="str">
        <f aca="false">IF($A151="","",IF(AND(INDEX(工程マスタ!$I$5:$I$154,$A151)="○",$E151&gt;=BH$3,$E151&lt;=BH$3+6),"▼",IF(AND($E151&gt;=BH$3,$E151&lt;=BH$3+6),$A151,"")))</f>
        <v/>
      </c>
      <c r="BI151" s="47" t="str">
        <f aca="false">IF($A151="","",IF(AND(INDEX(工程マスタ!$I$5:$I$154,$A151)="○",$E151&gt;=BI$3,$E151&lt;=BI$3+6),"▼",IF(AND($E151&gt;=BI$3,$E151&lt;=BI$3+6),$A151,"")))</f>
        <v/>
      </c>
      <c r="BJ151" s="47" t="str">
        <f aca="false">IF($A151="","",IF(AND(INDEX(工程マスタ!$I$5:$I$154,$A151)="○",$E151&gt;=BJ$3,$E151&lt;=BJ$3+6),"▼",IF(AND($E151&gt;=BJ$3,$E151&lt;=BJ$3+6),$A151,"")))</f>
        <v/>
      </c>
    </row>
    <row r="152" customFormat="false" ht="15" hidden="false" customHeight="false" outlineLevel="0" collapsed="false">
      <c r="A152" s="28" t="str">
        <f aca="false">IF(工程マスタ!$C150="","",工程マスタ!$A150)</f>
        <v/>
      </c>
      <c r="B152" s="46" t="str">
        <f aca="false">IF($A152="","",工程マスタ!$C150)</f>
        <v/>
      </c>
      <c r="C152" s="28" t="str">
        <f aca="false">IF($A152="","",MAX(1,工程マスタ!$G150))</f>
        <v/>
      </c>
      <c r="D152" s="28" t="str">
        <f aca="false">IF($A152="","",_xlfn.TEXTJOIN(",",TRUE(),工程マスタ!$N150:$P150))</f>
        <v/>
      </c>
      <c r="E152" s="29" t="str">
        <f aca="false">IF($A152="","",IF(COUNT(工程マスタ!$N150:$P150)=0,設定!$B$8,MAX(IF(工程マスタ!$N150="",0,INDEX($F$7:$F$156,工程マスタ!$N150)),IF(工程マスタ!$O150="",0,INDEX($F$7:$F$156,工程マスタ!$O150)),IF(工程マスタ!$P150="",0,INDEX($F$7:$F$156,工程マスタ!$P150)))+1))</f>
        <v/>
      </c>
      <c r="F152" s="29" t="str">
        <f aca="false">IF($A152="","",$E152+$C152-1)</f>
        <v/>
      </c>
      <c r="G152" s="29" t="str">
        <f aca="false">IF($A152="","",$H152-$C152+1)</f>
        <v/>
      </c>
      <c r="H152" s="29" t="str">
        <f aca="false" t="array" ref="H152:H152">IF($A152="","",IF(SUMPRODUCT((工程マスタ!$N$151:$N$154=$A152)*1)+SUMPRODUCT((工程マスタ!$O$151:$O$154=$A152)*1)+SUMPRODUCT((工程マスタ!$P$151:$P$154=$A152)*1)=0,MAX($F$7:$F$156),MIN(IF((工程マスタ!$N$151:$N$154=$A152)+(工程マスタ!$O$151:$O$154=$A152)+(工程マスタ!$P$151:$P$154=$A152),$G153:$G$156))-1))</f>
        <v/>
      </c>
      <c r="I152" s="28" t="str">
        <f aca="false">IF($A152="","",$G152-$E152)</f>
        <v/>
      </c>
      <c r="J152" s="28" t="str">
        <f aca="false">IF($A152="","",IF($I152&lt;=0,"●",""))</f>
        <v/>
      </c>
      <c r="K152" s="47" t="str">
        <f aca="false">IF($A152="","",IF(AND(INDEX(工程マスタ!$I$5:$I$154,$A152)="○",$E152&gt;=K$3,$E152&lt;=K$3+6),"▼",IF(AND($E152&gt;=K$3,$E152&lt;=K$3+6),$A152,"")))</f>
        <v/>
      </c>
      <c r="L152" s="47" t="str">
        <f aca="false">IF($A152="","",IF(AND(INDEX(工程マスタ!$I$5:$I$154,$A152)="○",$E152&gt;=L$3,$E152&lt;=L$3+6),"▼",IF(AND($E152&gt;=L$3,$E152&lt;=L$3+6),$A152,"")))</f>
        <v/>
      </c>
      <c r="M152" s="47" t="str">
        <f aca="false">IF($A152="","",IF(AND(INDEX(工程マスタ!$I$5:$I$154,$A152)="○",$E152&gt;=M$3,$E152&lt;=M$3+6),"▼",IF(AND($E152&gt;=M$3,$E152&lt;=M$3+6),$A152,"")))</f>
        <v/>
      </c>
      <c r="N152" s="47" t="str">
        <f aca="false">IF($A152="","",IF(AND(INDEX(工程マスタ!$I$5:$I$154,$A152)="○",$E152&gt;=N$3,$E152&lt;=N$3+6),"▼",IF(AND($E152&gt;=N$3,$E152&lt;=N$3+6),$A152,"")))</f>
        <v/>
      </c>
      <c r="O152" s="47" t="str">
        <f aca="false">IF($A152="","",IF(AND(INDEX(工程マスタ!$I$5:$I$154,$A152)="○",$E152&gt;=O$3,$E152&lt;=O$3+6),"▼",IF(AND($E152&gt;=O$3,$E152&lt;=O$3+6),$A152,"")))</f>
        <v/>
      </c>
      <c r="P152" s="47" t="str">
        <f aca="false">IF($A152="","",IF(AND(INDEX(工程マスタ!$I$5:$I$154,$A152)="○",$E152&gt;=P$3,$E152&lt;=P$3+6),"▼",IF(AND($E152&gt;=P$3,$E152&lt;=P$3+6),$A152,"")))</f>
        <v/>
      </c>
      <c r="Q152" s="47" t="str">
        <f aca="false">IF($A152="","",IF(AND(INDEX(工程マスタ!$I$5:$I$154,$A152)="○",$E152&gt;=Q$3,$E152&lt;=Q$3+6),"▼",IF(AND($E152&gt;=Q$3,$E152&lt;=Q$3+6),$A152,"")))</f>
        <v/>
      </c>
      <c r="R152" s="47" t="str">
        <f aca="false">IF($A152="","",IF(AND(INDEX(工程マスタ!$I$5:$I$154,$A152)="○",$E152&gt;=R$3,$E152&lt;=R$3+6),"▼",IF(AND($E152&gt;=R$3,$E152&lt;=R$3+6),$A152,"")))</f>
        <v/>
      </c>
      <c r="S152" s="47" t="str">
        <f aca="false">IF($A152="","",IF(AND(INDEX(工程マスタ!$I$5:$I$154,$A152)="○",$E152&gt;=S$3,$E152&lt;=S$3+6),"▼",IF(AND($E152&gt;=S$3,$E152&lt;=S$3+6),$A152,"")))</f>
        <v/>
      </c>
      <c r="T152" s="47" t="str">
        <f aca="false">IF($A152="","",IF(AND(INDEX(工程マスタ!$I$5:$I$154,$A152)="○",$E152&gt;=T$3,$E152&lt;=T$3+6),"▼",IF(AND($E152&gt;=T$3,$E152&lt;=T$3+6),$A152,"")))</f>
        <v/>
      </c>
      <c r="U152" s="47" t="str">
        <f aca="false">IF($A152="","",IF(AND(INDEX(工程マスタ!$I$5:$I$154,$A152)="○",$E152&gt;=U$3,$E152&lt;=U$3+6),"▼",IF(AND($E152&gt;=U$3,$E152&lt;=U$3+6),$A152,"")))</f>
        <v/>
      </c>
      <c r="V152" s="47" t="str">
        <f aca="false">IF($A152="","",IF(AND(INDEX(工程マスタ!$I$5:$I$154,$A152)="○",$E152&gt;=V$3,$E152&lt;=V$3+6),"▼",IF(AND($E152&gt;=V$3,$E152&lt;=V$3+6),$A152,"")))</f>
        <v/>
      </c>
      <c r="W152" s="47" t="str">
        <f aca="false">IF($A152="","",IF(AND(INDEX(工程マスタ!$I$5:$I$154,$A152)="○",$E152&gt;=W$3,$E152&lt;=W$3+6),"▼",IF(AND($E152&gt;=W$3,$E152&lt;=W$3+6),$A152,"")))</f>
        <v/>
      </c>
      <c r="X152" s="47" t="str">
        <f aca="false">IF($A152="","",IF(AND(INDEX(工程マスタ!$I$5:$I$154,$A152)="○",$E152&gt;=X$3,$E152&lt;=X$3+6),"▼",IF(AND($E152&gt;=X$3,$E152&lt;=X$3+6),$A152,"")))</f>
        <v/>
      </c>
      <c r="Y152" s="47" t="str">
        <f aca="false">IF($A152="","",IF(AND(INDEX(工程マスタ!$I$5:$I$154,$A152)="○",$E152&gt;=Y$3,$E152&lt;=Y$3+6),"▼",IF(AND($E152&gt;=Y$3,$E152&lt;=Y$3+6),$A152,"")))</f>
        <v/>
      </c>
      <c r="Z152" s="47" t="str">
        <f aca="false">IF($A152="","",IF(AND(INDEX(工程マスタ!$I$5:$I$154,$A152)="○",$E152&gt;=Z$3,$E152&lt;=Z$3+6),"▼",IF(AND($E152&gt;=Z$3,$E152&lt;=Z$3+6),$A152,"")))</f>
        <v/>
      </c>
      <c r="AA152" s="47" t="str">
        <f aca="false">IF($A152="","",IF(AND(INDEX(工程マスタ!$I$5:$I$154,$A152)="○",$E152&gt;=AA$3,$E152&lt;=AA$3+6),"▼",IF(AND($E152&gt;=AA$3,$E152&lt;=AA$3+6),$A152,"")))</f>
        <v/>
      </c>
      <c r="AB152" s="47" t="str">
        <f aca="false">IF($A152="","",IF(AND(INDEX(工程マスタ!$I$5:$I$154,$A152)="○",$E152&gt;=AB$3,$E152&lt;=AB$3+6),"▼",IF(AND($E152&gt;=AB$3,$E152&lt;=AB$3+6),$A152,"")))</f>
        <v/>
      </c>
      <c r="AC152" s="47" t="str">
        <f aca="false">IF($A152="","",IF(AND(INDEX(工程マスタ!$I$5:$I$154,$A152)="○",$E152&gt;=AC$3,$E152&lt;=AC$3+6),"▼",IF(AND($E152&gt;=AC$3,$E152&lt;=AC$3+6),$A152,"")))</f>
        <v/>
      </c>
      <c r="AD152" s="47" t="str">
        <f aca="false">IF($A152="","",IF(AND(INDEX(工程マスタ!$I$5:$I$154,$A152)="○",$E152&gt;=AD$3,$E152&lt;=AD$3+6),"▼",IF(AND($E152&gt;=AD$3,$E152&lt;=AD$3+6),$A152,"")))</f>
        <v/>
      </c>
      <c r="AE152" s="47" t="str">
        <f aca="false">IF($A152="","",IF(AND(INDEX(工程マスタ!$I$5:$I$154,$A152)="○",$E152&gt;=AE$3,$E152&lt;=AE$3+6),"▼",IF(AND($E152&gt;=AE$3,$E152&lt;=AE$3+6),$A152,"")))</f>
        <v/>
      </c>
      <c r="AF152" s="47" t="str">
        <f aca="false">IF($A152="","",IF(AND(INDEX(工程マスタ!$I$5:$I$154,$A152)="○",$E152&gt;=AF$3,$E152&lt;=AF$3+6),"▼",IF(AND($E152&gt;=AF$3,$E152&lt;=AF$3+6),$A152,"")))</f>
        <v/>
      </c>
      <c r="AG152" s="47" t="str">
        <f aca="false">IF($A152="","",IF(AND(INDEX(工程マスタ!$I$5:$I$154,$A152)="○",$E152&gt;=AG$3,$E152&lt;=AG$3+6),"▼",IF(AND($E152&gt;=AG$3,$E152&lt;=AG$3+6),$A152,"")))</f>
        <v/>
      </c>
      <c r="AH152" s="47" t="str">
        <f aca="false">IF($A152="","",IF(AND(INDEX(工程マスタ!$I$5:$I$154,$A152)="○",$E152&gt;=AH$3,$E152&lt;=AH$3+6),"▼",IF(AND($E152&gt;=AH$3,$E152&lt;=AH$3+6),$A152,"")))</f>
        <v/>
      </c>
      <c r="AI152" s="47" t="str">
        <f aca="false">IF($A152="","",IF(AND(INDEX(工程マスタ!$I$5:$I$154,$A152)="○",$E152&gt;=AI$3,$E152&lt;=AI$3+6),"▼",IF(AND($E152&gt;=AI$3,$E152&lt;=AI$3+6),$A152,"")))</f>
        <v/>
      </c>
      <c r="AJ152" s="47" t="str">
        <f aca="false">IF($A152="","",IF(AND(INDEX(工程マスタ!$I$5:$I$154,$A152)="○",$E152&gt;=AJ$3,$E152&lt;=AJ$3+6),"▼",IF(AND($E152&gt;=AJ$3,$E152&lt;=AJ$3+6),$A152,"")))</f>
        <v/>
      </c>
      <c r="AK152" s="47" t="str">
        <f aca="false">IF($A152="","",IF(AND(INDEX(工程マスタ!$I$5:$I$154,$A152)="○",$E152&gt;=AK$3,$E152&lt;=AK$3+6),"▼",IF(AND($E152&gt;=AK$3,$E152&lt;=AK$3+6),$A152,"")))</f>
        <v/>
      </c>
      <c r="AL152" s="47" t="str">
        <f aca="false">IF($A152="","",IF(AND(INDEX(工程マスタ!$I$5:$I$154,$A152)="○",$E152&gt;=AL$3,$E152&lt;=AL$3+6),"▼",IF(AND($E152&gt;=AL$3,$E152&lt;=AL$3+6),$A152,"")))</f>
        <v/>
      </c>
      <c r="AM152" s="47" t="str">
        <f aca="false">IF($A152="","",IF(AND(INDEX(工程マスタ!$I$5:$I$154,$A152)="○",$E152&gt;=AM$3,$E152&lt;=AM$3+6),"▼",IF(AND($E152&gt;=AM$3,$E152&lt;=AM$3+6),$A152,"")))</f>
        <v/>
      </c>
      <c r="AN152" s="47" t="str">
        <f aca="false">IF($A152="","",IF(AND(INDEX(工程マスタ!$I$5:$I$154,$A152)="○",$E152&gt;=AN$3,$E152&lt;=AN$3+6),"▼",IF(AND($E152&gt;=AN$3,$E152&lt;=AN$3+6),$A152,"")))</f>
        <v/>
      </c>
      <c r="AO152" s="47" t="str">
        <f aca="false">IF($A152="","",IF(AND(INDEX(工程マスタ!$I$5:$I$154,$A152)="○",$E152&gt;=AO$3,$E152&lt;=AO$3+6),"▼",IF(AND($E152&gt;=AO$3,$E152&lt;=AO$3+6),$A152,"")))</f>
        <v/>
      </c>
      <c r="AP152" s="47" t="str">
        <f aca="false">IF($A152="","",IF(AND(INDEX(工程マスタ!$I$5:$I$154,$A152)="○",$E152&gt;=AP$3,$E152&lt;=AP$3+6),"▼",IF(AND($E152&gt;=AP$3,$E152&lt;=AP$3+6),$A152,"")))</f>
        <v/>
      </c>
      <c r="AQ152" s="47" t="str">
        <f aca="false">IF($A152="","",IF(AND(INDEX(工程マスタ!$I$5:$I$154,$A152)="○",$E152&gt;=AQ$3,$E152&lt;=AQ$3+6),"▼",IF(AND($E152&gt;=AQ$3,$E152&lt;=AQ$3+6),$A152,"")))</f>
        <v/>
      </c>
      <c r="AR152" s="47" t="str">
        <f aca="false">IF($A152="","",IF(AND(INDEX(工程マスタ!$I$5:$I$154,$A152)="○",$E152&gt;=AR$3,$E152&lt;=AR$3+6),"▼",IF(AND($E152&gt;=AR$3,$E152&lt;=AR$3+6),$A152,"")))</f>
        <v/>
      </c>
      <c r="AS152" s="47" t="str">
        <f aca="false">IF($A152="","",IF(AND(INDEX(工程マスタ!$I$5:$I$154,$A152)="○",$E152&gt;=AS$3,$E152&lt;=AS$3+6),"▼",IF(AND($E152&gt;=AS$3,$E152&lt;=AS$3+6),$A152,"")))</f>
        <v/>
      </c>
      <c r="AT152" s="47" t="str">
        <f aca="false">IF($A152="","",IF(AND(INDEX(工程マスタ!$I$5:$I$154,$A152)="○",$E152&gt;=AT$3,$E152&lt;=AT$3+6),"▼",IF(AND($E152&gt;=AT$3,$E152&lt;=AT$3+6),$A152,"")))</f>
        <v/>
      </c>
      <c r="AU152" s="47" t="str">
        <f aca="false">IF($A152="","",IF(AND(INDEX(工程マスタ!$I$5:$I$154,$A152)="○",$E152&gt;=AU$3,$E152&lt;=AU$3+6),"▼",IF(AND($E152&gt;=AU$3,$E152&lt;=AU$3+6),$A152,"")))</f>
        <v/>
      </c>
      <c r="AV152" s="47" t="str">
        <f aca="false">IF($A152="","",IF(AND(INDEX(工程マスタ!$I$5:$I$154,$A152)="○",$E152&gt;=AV$3,$E152&lt;=AV$3+6),"▼",IF(AND($E152&gt;=AV$3,$E152&lt;=AV$3+6),$A152,"")))</f>
        <v/>
      </c>
      <c r="AW152" s="47" t="str">
        <f aca="false">IF($A152="","",IF(AND(INDEX(工程マスタ!$I$5:$I$154,$A152)="○",$E152&gt;=AW$3,$E152&lt;=AW$3+6),"▼",IF(AND($E152&gt;=AW$3,$E152&lt;=AW$3+6),$A152,"")))</f>
        <v/>
      </c>
      <c r="AX152" s="47" t="str">
        <f aca="false">IF($A152="","",IF(AND(INDEX(工程マスタ!$I$5:$I$154,$A152)="○",$E152&gt;=AX$3,$E152&lt;=AX$3+6),"▼",IF(AND($E152&gt;=AX$3,$E152&lt;=AX$3+6),$A152,"")))</f>
        <v/>
      </c>
      <c r="AY152" s="47" t="str">
        <f aca="false">IF($A152="","",IF(AND(INDEX(工程マスタ!$I$5:$I$154,$A152)="○",$E152&gt;=AY$3,$E152&lt;=AY$3+6),"▼",IF(AND($E152&gt;=AY$3,$E152&lt;=AY$3+6),$A152,"")))</f>
        <v/>
      </c>
      <c r="AZ152" s="47" t="str">
        <f aca="false">IF($A152="","",IF(AND(INDEX(工程マスタ!$I$5:$I$154,$A152)="○",$E152&gt;=AZ$3,$E152&lt;=AZ$3+6),"▼",IF(AND($E152&gt;=AZ$3,$E152&lt;=AZ$3+6),$A152,"")))</f>
        <v/>
      </c>
      <c r="BA152" s="47" t="str">
        <f aca="false">IF($A152="","",IF(AND(INDEX(工程マスタ!$I$5:$I$154,$A152)="○",$E152&gt;=BA$3,$E152&lt;=BA$3+6),"▼",IF(AND($E152&gt;=BA$3,$E152&lt;=BA$3+6),$A152,"")))</f>
        <v/>
      </c>
      <c r="BB152" s="47" t="str">
        <f aca="false">IF($A152="","",IF(AND(INDEX(工程マスタ!$I$5:$I$154,$A152)="○",$E152&gt;=BB$3,$E152&lt;=BB$3+6),"▼",IF(AND($E152&gt;=BB$3,$E152&lt;=BB$3+6),$A152,"")))</f>
        <v/>
      </c>
      <c r="BC152" s="47" t="str">
        <f aca="false">IF($A152="","",IF(AND(INDEX(工程マスタ!$I$5:$I$154,$A152)="○",$E152&gt;=BC$3,$E152&lt;=BC$3+6),"▼",IF(AND($E152&gt;=BC$3,$E152&lt;=BC$3+6),$A152,"")))</f>
        <v/>
      </c>
      <c r="BD152" s="47" t="str">
        <f aca="false">IF($A152="","",IF(AND(INDEX(工程マスタ!$I$5:$I$154,$A152)="○",$E152&gt;=BD$3,$E152&lt;=BD$3+6),"▼",IF(AND($E152&gt;=BD$3,$E152&lt;=BD$3+6),$A152,"")))</f>
        <v/>
      </c>
      <c r="BE152" s="47" t="str">
        <f aca="false">IF($A152="","",IF(AND(INDEX(工程マスタ!$I$5:$I$154,$A152)="○",$E152&gt;=BE$3,$E152&lt;=BE$3+6),"▼",IF(AND($E152&gt;=BE$3,$E152&lt;=BE$3+6),$A152,"")))</f>
        <v/>
      </c>
      <c r="BF152" s="47" t="str">
        <f aca="false">IF($A152="","",IF(AND(INDEX(工程マスタ!$I$5:$I$154,$A152)="○",$E152&gt;=BF$3,$E152&lt;=BF$3+6),"▼",IF(AND($E152&gt;=BF$3,$E152&lt;=BF$3+6),$A152,"")))</f>
        <v/>
      </c>
      <c r="BG152" s="47" t="str">
        <f aca="false">IF($A152="","",IF(AND(INDEX(工程マスタ!$I$5:$I$154,$A152)="○",$E152&gt;=BG$3,$E152&lt;=BG$3+6),"▼",IF(AND($E152&gt;=BG$3,$E152&lt;=BG$3+6),$A152,"")))</f>
        <v/>
      </c>
      <c r="BH152" s="47" t="str">
        <f aca="false">IF($A152="","",IF(AND(INDEX(工程マスタ!$I$5:$I$154,$A152)="○",$E152&gt;=BH$3,$E152&lt;=BH$3+6),"▼",IF(AND($E152&gt;=BH$3,$E152&lt;=BH$3+6),$A152,"")))</f>
        <v/>
      </c>
      <c r="BI152" s="47" t="str">
        <f aca="false">IF($A152="","",IF(AND(INDEX(工程マスタ!$I$5:$I$154,$A152)="○",$E152&gt;=BI$3,$E152&lt;=BI$3+6),"▼",IF(AND($E152&gt;=BI$3,$E152&lt;=BI$3+6),$A152,"")))</f>
        <v/>
      </c>
      <c r="BJ152" s="47" t="str">
        <f aca="false">IF($A152="","",IF(AND(INDEX(工程マスタ!$I$5:$I$154,$A152)="○",$E152&gt;=BJ$3,$E152&lt;=BJ$3+6),"▼",IF(AND($E152&gt;=BJ$3,$E152&lt;=BJ$3+6),$A152,"")))</f>
        <v/>
      </c>
    </row>
    <row r="153" customFormat="false" ht="15" hidden="false" customHeight="false" outlineLevel="0" collapsed="false">
      <c r="A153" s="28" t="str">
        <f aca="false">IF(工程マスタ!$C151="","",工程マスタ!$A151)</f>
        <v/>
      </c>
      <c r="B153" s="46" t="str">
        <f aca="false">IF($A153="","",工程マスタ!$C151)</f>
        <v/>
      </c>
      <c r="C153" s="28" t="str">
        <f aca="false">IF($A153="","",MAX(1,工程マスタ!$G151))</f>
        <v/>
      </c>
      <c r="D153" s="28" t="str">
        <f aca="false">IF($A153="","",_xlfn.TEXTJOIN(",",TRUE(),工程マスタ!$N151:$P151))</f>
        <v/>
      </c>
      <c r="E153" s="29" t="str">
        <f aca="false">IF($A153="","",IF(COUNT(工程マスタ!$N151:$P151)=0,設定!$B$8,MAX(IF(工程マスタ!$N151="",0,INDEX($F$7:$F$156,工程マスタ!$N151)),IF(工程マスタ!$O151="",0,INDEX($F$7:$F$156,工程マスタ!$O151)),IF(工程マスタ!$P151="",0,INDEX($F$7:$F$156,工程マスタ!$P151)))+1))</f>
        <v/>
      </c>
      <c r="F153" s="29" t="str">
        <f aca="false">IF($A153="","",$E153+$C153-1)</f>
        <v/>
      </c>
      <c r="G153" s="29" t="str">
        <f aca="false">IF($A153="","",$H153-$C153+1)</f>
        <v/>
      </c>
      <c r="H153" s="29" t="str">
        <f aca="false" t="array" ref="H153:H153">IF($A153="","",IF(SUMPRODUCT((工程マスタ!$N$152:$N$154=$A153)*1)+SUMPRODUCT((工程マスタ!$O$152:$O$154=$A153)*1)+SUMPRODUCT((工程マスタ!$P$152:$P$154=$A153)*1)=0,MAX($F$7:$F$156),MIN(IF((工程マスタ!$N$152:$N$154=$A153)+(工程マスタ!$O$152:$O$154=$A153)+(工程マスタ!$P$152:$P$154=$A153),$G154:$G$156))-1))</f>
        <v/>
      </c>
      <c r="I153" s="28" t="str">
        <f aca="false">IF($A153="","",$G153-$E153)</f>
        <v/>
      </c>
      <c r="J153" s="28" t="str">
        <f aca="false">IF($A153="","",IF($I153&lt;=0,"●",""))</f>
        <v/>
      </c>
      <c r="K153" s="47" t="str">
        <f aca="false">IF($A153="","",IF(AND(INDEX(工程マスタ!$I$5:$I$154,$A153)="○",$E153&gt;=K$3,$E153&lt;=K$3+6),"▼",IF(AND($E153&gt;=K$3,$E153&lt;=K$3+6),$A153,"")))</f>
        <v/>
      </c>
      <c r="L153" s="47" t="str">
        <f aca="false">IF($A153="","",IF(AND(INDEX(工程マスタ!$I$5:$I$154,$A153)="○",$E153&gt;=L$3,$E153&lt;=L$3+6),"▼",IF(AND($E153&gt;=L$3,$E153&lt;=L$3+6),$A153,"")))</f>
        <v/>
      </c>
      <c r="M153" s="47" t="str">
        <f aca="false">IF($A153="","",IF(AND(INDEX(工程マスタ!$I$5:$I$154,$A153)="○",$E153&gt;=M$3,$E153&lt;=M$3+6),"▼",IF(AND($E153&gt;=M$3,$E153&lt;=M$3+6),$A153,"")))</f>
        <v/>
      </c>
      <c r="N153" s="47" t="str">
        <f aca="false">IF($A153="","",IF(AND(INDEX(工程マスタ!$I$5:$I$154,$A153)="○",$E153&gt;=N$3,$E153&lt;=N$3+6),"▼",IF(AND($E153&gt;=N$3,$E153&lt;=N$3+6),$A153,"")))</f>
        <v/>
      </c>
      <c r="O153" s="47" t="str">
        <f aca="false">IF($A153="","",IF(AND(INDEX(工程マスタ!$I$5:$I$154,$A153)="○",$E153&gt;=O$3,$E153&lt;=O$3+6),"▼",IF(AND($E153&gt;=O$3,$E153&lt;=O$3+6),$A153,"")))</f>
        <v/>
      </c>
      <c r="P153" s="47" t="str">
        <f aca="false">IF($A153="","",IF(AND(INDEX(工程マスタ!$I$5:$I$154,$A153)="○",$E153&gt;=P$3,$E153&lt;=P$3+6),"▼",IF(AND($E153&gt;=P$3,$E153&lt;=P$3+6),$A153,"")))</f>
        <v/>
      </c>
      <c r="Q153" s="47" t="str">
        <f aca="false">IF($A153="","",IF(AND(INDEX(工程マスタ!$I$5:$I$154,$A153)="○",$E153&gt;=Q$3,$E153&lt;=Q$3+6),"▼",IF(AND($E153&gt;=Q$3,$E153&lt;=Q$3+6),$A153,"")))</f>
        <v/>
      </c>
      <c r="R153" s="47" t="str">
        <f aca="false">IF($A153="","",IF(AND(INDEX(工程マスタ!$I$5:$I$154,$A153)="○",$E153&gt;=R$3,$E153&lt;=R$3+6),"▼",IF(AND($E153&gt;=R$3,$E153&lt;=R$3+6),$A153,"")))</f>
        <v/>
      </c>
      <c r="S153" s="47" t="str">
        <f aca="false">IF($A153="","",IF(AND(INDEX(工程マスタ!$I$5:$I$154,$A153)="○",$E153&gt;=S$3,$E153&lt;=S$3+6),"▼",IF(AND($E153&gt;=S$3,$E153&lt;=S$3+6),$A153,"")))</f>
        <v/>
      </c>
      <c r="T153" s="47" t="str">
        <f aca="false">IF($A153="","",IF(AND(INDEX(工程マスタ!$I$5:$I$154,$A153)="○",$E153&gt;=T$3,$E153&lt;=T$3+6),"▼",IF(AND($E153&gt;=T$3,$E153&lt;=T$3+6),$A153,"")))</f>
        <v/>
      </c>
      <c r="U153" s="47" t="str">
        <f aca="false">IF($A153="","",IF(AND(INDEX(工程マスタ!$I$5:$I$154,$A153)="○",$E153&gt;=U$3,$E153&lt;=U$3+6),"▼",IF(AND($E153&gt;=U$3,$E153&lt;=U$3+6),$A153,"")))</f>
        <v/>
      </c>
      <c r="V153" s="47" t="str">
        <f aca="false">IF($A153="","",IF(AND(INDEX(工程マスタ!$I$5:$I$154,$A153)="○",$E153&gt;=V$3,$E153&lt;=V$3+6),"▼",IF(AND($E153&gt;=V$3,$E153&lt;=V$3+6),$A153,"")))</f>
        <v/>
      </c>
      <c r="W153" s="47" t="str">
        <f aca="false">IF($A153="","",IF(AND(INDEX(工程マスタ!$I$5:$I$154,$A153)="○",$E153&gt;=W$3,$E153&lt;=W$3+6),"▼",IF(AND($E153&gt;=W$3,$E153&lt;=W$3+6),$A153,"")))</f>
        <v/>
      </c>
      <c r="X153" s="47" t="str">
        <f aca="false">IF($A153="","",IF(AND(INDEX(工程マスタ!$I$5:$I$154,$A153)="○",$E153&gt;=X$3,$E153&lt;=X$3+6),"▼",IF(AND($E153&gt;=X$3,$E153&lt;=X$3+6),$A153,"")))</f>
        <v/>
      </c>
      <c r="Y153" s="47" t="str">
        <f aca="false">IF($A153="","",IF(AND(INDEX(工程マスタ!$I$5:$I$154,$A153)="○",$E153&gt;=Y$3,$E153&lt;=Y$3+6),"▼",IF(AND($E153&gt;=Y$3,$E153&lt;=Y$3+6),$A153,"")))</f>
        <v/>
      </c>
      <c r="Z153" s="47" t="str">
        <f aca="false">IF($A153="","",IF(AND(INDEX(工程マスタ!$I$5:$I$154,$A153)="○",$E153&gt;=Z$3,$E153&lt;=Z$3+6),"▼",IF(AND($E153&gt;=Z$3,$E153&lt;=Z$3+6),$A153,"")))</f>
        <v/>
      </c>
      <c r="AA153" s="47" t="str">
        <f aca="false">IF($A153="","",IF(AND(INDEX(工程マスタ!$I$5:$I$154,$A153)="○",$E153&gt;=AA$3,$E153&lt;=AA$3+6),"▼",IF(AND($E153&gt;=AA$3,$E153&lt;=AA$3+6),$A153,"")))</f>
        <v/>
      </c>
      <c r="AB153" s="47" t="str">
        <f aca="false">IF($A153="","",IF(AND(INDEX(工程マスタ!$I$5:$I$154,$A153)="○",$E153&gt;=AB$3,$E153&lt;=AB$3+6),"▼",IF(AND($E153&gt;=AB$3,$E153&lt;=AB$3+6),$A153,"")))</f>
        <v/>
      </c>
      <c r="AC153" s="47" t="str">
        <f aca="false">IF($A153="","",IF(AND(INDEX(工程マスタ!$I$5:$I$154,$A153)="○",$E153&gt;=AC$3,$E153&lt;=AC$3+6),"▼",IF(AND($E153&gt;=AC$3,$E153&lt;=AC$3+6),$A153,"")))</f>
        <v/>
      </c>
      <c r="AD153" s="47" t="str">
        <f aca="false">IF($A153="","",IF(AND(INDEX(工程マスタ!$I$5:$I$154,$A153)="○",$E153&gt;=AD$3,$E153&lt;=AD$3+6),"▼",IF(AND($E153&gt;=AD$3,$E153&lt;=AD$3+6),$A153,"")))</f>
        <v/>
      </c>
      <c r="AE153" s="47" t="str">
        <f aca="false">IF($A153="","",IF(AND(INDEX(工程マスタ!$I$5:$I$154,$A153)="○",$E153&gt;=AE$3,$E153&lt;=AE$3+6),"▼",IF(AND($E153&gt;=AE$3,$E153&lt;=AE$3+6),$A153,"")))</f>
        <v/>
      </c>
      <c r="AF153" s="47" t="str">
        <f aca="false">IF($A153="","",IF(AND(INDEX(工程マスタ!$I$5:$I$154,$A153)="○",$E153&gt;=AF$3,$E153&lt;=AF$3+6),"▼",IF(AND($E153&gt;=AF$3,$E153&lt;=AF$3+6),$A153,"")))</f>
        <v/>
      </c>
      <c r="AG153" s="47" t="str">
        <f aca="false">IF($A153="","",IF(AND(INDEX(工程マスタ!$I$5:$I$154,$A153)="○",$E153&gt;=AG$3,$E153&lt;=AG$3+6),"▼",IF(AND($E153&gt;=AG$3,$E153&lt;=AG$3+6),$A153,"")))</f>
        <v/>
      </c>
      <c r="AH153" s="47" t="str">
        <f aca="false">IF($A153="","",IF(AND(INDEX(工程マスタ!$I$5:$I$154,$A153)="○",$E153&gt;=AH$3,$E153&lt;=AH$3+6),"▼",IF(AND($E153&gt;=AH$3,$E153&lt;=AH$3+6),$A153,"")))</f>
        <v/>
      </c>
      <c r="AI153" s="47" t="str">
        <f aca="false">IF($A153="","",IF(AND(INDEX(工程マスタ!$I$5:$I$154,$A153)="○",$E153&gt;=AI$3,$E153&lt;=AI$3+6),"▼",IF(AND($E153&gt;=AI$3,$E153&lt;=AI$3+6),$A153,"")))</f>
        <v/>
      </c>
      <c r="AJ153" s="47" t="str">
        <f aca="false">IF($A153="","",IF(AND(INDEX(工程マスタ!$I$5:$I$154,$A153)="○",$E153&gt;=AJ$3,$E153&lt;=AJ$3+6),"▼",IF(AND($E153&gt;=AJ$3,$E153&lt;=AJ$3+6),$A153,"")))</f>
        <v/>
      </c>
      <c r="AK153" s="47" t="str">
        <f aca="false">IF($A153="","",IF(AND(INDEX(工程マスタ!$I$5:$I$154,$A153)="○",$E153&gt;=AK$3,$E153&lt;=AK$3+6),"▼",IF(AND($E153&gt;=AK$3,$E153&lt;=AK$3+6),$A153,"")))</f>
        <v/>
      </c>
      <c r="AL153" s="47" t="str">
        <f aca="false">IF($A153="","",IF(AND(INDEX(工程マスタ!$I$5:$I$154,$A153)="○",$E153&gt;=AL$3,$E153&lt;=AL$3+6),"▼",IF(AND($E153&gt;=AL$3,$E153&lt;=AL$3+6),$A153,"")))</f>
        <v/>
      </c>
      <c r="AM153" s="47" t="str">
        <f aca="false">IF($A153="","",IF(AND(INDEX(工程マスタ!$I$5:$I$154,$A153)="○",$E153&gt;=AM$3,$E153&lt;=AM$3+6),"▼",IF(AND($E153&gt;=AM$3,$E153&lt;=AM$3+6),$A153,"")))</f>
        <v/>
      </c>
      <c r="AN153" s="47" t="str">
        <f aca="false">IF($A153="","",IF(AND(INDEX(工程マスタ!$I$5:$I$154,$A153)="○",$E153&gt;=AN$3,$E153&lt;=AN$3+6),"▼",IF(AND($E153&gt;=AN$3,$E153&lt;=AN$3+6),$A153,"")))</f>
        <v/>
      </c>
      <c r="AO153" s="47" t="str">
        <f aca="false">IF($A153="","",IF(AND(INDEX(工程マスタ!$I$5:$I$154,$A153)="○",$E153&gt;=AO$3,$E153&lt;=AO$3+6),"▼",IF(AND($E153&gt;=AO$3,$E153&lt;=AO$3+6),$A153,"")))</f>
        <v/>
      </c>
      <c r="AP153" s="47" t="str">
        <f aca="false">IF($A153="","",IF(AND(INDEX(工程マスタ!$I$5:$I$154,$A153)="○",$E153&gt;=AP$3,$E153&lt;=AP$3+6),"▼",IF(AND($E153&gt;=AP$3,$E153&lt;=AP$3+6),$A153,"")))</f>
        <v/>
      </c>
      <c r="AQ153" s="47" t="str">
        <f aca="false">IF($A153="","",IF(AND(INDEX(工程マスタ!$I$5:$I$154,$A153)="○",$E153&gt;=AQ$3,$E153&lt;=AQ$3+6),"▼",IF(AND($E153&gt;=AQ$3,$E153&lt;=AQ$3+6),$A153,"")))</f>
        <v/>
      </c>
      <c r="AR153" s="47" t="str">
        <f aca="false">IF($A153="","",IF(AND(INDEX(工程マスタ!$I$5:$I$154,$A153)="○",$E153&gt;=AR$3,$E153&lt;=AR$3+6),"▼",IF(AND($E153&gt;=AR$3,$E153&lt;=AR$3+6),$A153,"")))</f>
        <v/>
      </c>
      <c r="AS153" s="47" t="str">
        <f aca="false">IF($A153="","",IF(AND(INDEX(工程マスタ!$I$5:$I$154,$A153)="○",$E153&gt;=AS$3,$E153&lt;=AS$3+6),"▼",IF(AND($E153&gt;=AS$3,$E153&lt;=AS$3+6),$A153,"")))</f>
        <v/>
      </c>
      <c r="AT153" s="47" t="str">
        <f aca="false">IF($A153="","",IF(AND(INDEX(工程マスタ!$I$5:$I$154,$A153)="○",$E153&gt;=AT$3,$E153&lt;=AT$3+6),"▼",IF(AND($E153&gt;=AT$3,$E153&lt;=AT$3+6),$A153,"")))</f>
        <v/>
      </c>
      <c r="AU153" s="47" t="str">
        <f aca="false">IF($A153="","",IF(AND(INDEX(工程マスタ!$I$5:$I$154,$A153)="○",$E153&gt;=AU$3,$E153&lt;=AU$3+6),"▼",IF(AND($E153&gt;=AU$3,$E153&lt;=AU$3+6),$A153,"")))</f>
        <v/>
      </c>
      <c r="AV153" s="47" t="str">
        <f aca="false">IF($A153="","",IF(AND(INDEX(工程マスタ!$I$5:$I$154,$A153)="○",$E153&gt;=AV$3,$E153&lt;=AV$3+6),"▼",IF(AND($E153&gt;=AV$3,$E153&lt;=AV$3+6),$A153,"")))</f>
        <v/>
      </c>
      <c r="AW153" s="47" t="str">
        <f aca="false">IF($A153="","",IF(AND(INDEX(工程マスタ!$I$5:$I$154,$A153)="○",$E153&gt;=AW$3,$E153&lt;=AW$3+6),"▼",IF(AND($E153&gt;=AW$3,$E153&lt;=AW$3+6),$A153,"")))</f>
        <v/>
      </c>
      <c r="AX153" s="47" t="str">
        <f aca="false">IF($A153="","",IF(AND(INDEX(工程マスタ!$I$5:$I$154,$A153)="○",$E153&gt;=AX$3,$E153&lt;=AX$3+6),"▼",IF(AND($E153&gt;=AX$3,$E153&lt;=AX$3+6),$A153,"")))</f>
        <v/>
      </c>
      <c r="AY153" s="47" t="str">
        <f aca="false">IF($A153="","",IF(AND(INDEX(工程マスタ!$I$5:$I$154,$A153)="○",$E153&gt;=AY$3,$E153&lt;=AY$3+6),"▼",IF(AND($E153&gt;=AY$3,$E153&lt;=AY$3+6),$A153,"")))</f>
        <v/>
      </c>
      <c r="AZ153" s="47" t="str">
        <f aca="false">IF($A153="","",IF(AND(INDEX(工程マスタ!$I$5:$I$154,$A153)="○",$E153&gt;=AZ$3,$E153&lt;=AZ$3+6),"▼",IF(AND($E153&gt;=AZ$3,$E153&lt;=AZ$3+6),$A153,"")))</f>
        <v/>
      </c>
      <c r="BA153" s="47" t="str">
        <f aca="false">IF($A153="","",IF(AND(INDEX(工程マスタ!$I$5:$I$154,$A153)="○",$E153&gt;=BA$3,$E153&lt;=BA$3+6),"▼",IF(AND($E153&gt;=BA$3,$E153&lt;=BA$3+6),$A153,"")))</f>
        <v/>
      </c>
      <c r="BB153" s="47" t="str">
        <f aca="false">IF($A153="","",IF(AND(INDEX(工程マスタ!$I$5:$I$154,$A153)="○",$E153&gt;=BB$3,$E153&lt;=BB$3+6),"▼",IF(AND($E153&gt;=BB$3,$E153&lt;=BB$3+6),$A153,"")))</f>
        <v/>
      </c>
      <c r="BC153" s="47" t="str">
        <f aca="false">IF($A153="","",IF(AND(INDEX(工程マスタ!$I$5:$I$154,$A153)="○",$E153&gt;=BC$3,$E153&lt;=BC$3+6),"▼",IF(AND($E153&gt;=BC$3,$E153&lt;=BC$3+6),$A153,"")))</f>
        <v/>
      </c>
      <c r="BD153" s="47" t="str">
        <f aca="false">IF($A153="","",IF(AND(INDEX(工程マスタ!$I$5:$I$154,$A153)="○",$E153&gt;=BD$3,$E153&lt;=BD$3+6),"▼",IF(AND($E153&gt;=BD$3,$E153&lt;=BD$3+6),$A153,"")))</f>
        <v/>
      </c>
      <c r="BE153" s="47" t="str">
        <f aca="false">IF($A153="","",IF(AND(INDEX(工程マスタ!$I$5:$I$154,$A153)="○",$E153&gt;=BE$3,$E153&lt;=BE$3+6),"▼",IF(AND($E153&gt;=BE$3,$E153&lt;=BE$3+6),$A153,"")))</f>
        <v/>
      </c>
      <c r="BF153" s="47" t="str">
        <f aca="false">IF($A153="","",IF(AND(INDEX(工程マスタ!$I$5:$I$154,$A153)="○",$E153&gt;=BF$3,$E153&lt;=BF$3+6),"▼",IF(AND($E153&gt;=BF$3,$E153&lt;=BF$3+6),$A153,"")))</f>
        <v/>
      </c>
      <c r="BG153" s="47" t="str">
        <f aca="false">IF($A153="","",IF(AND(INDEX(工程マスタ!$I$5:$I$154,$A153)="○",$E153&gt;=BG$3,$E153&lt;=BG$3+6),"▼",IF(AND($E153&gt;=BG$3,$E153&lt;=BG$3+6),$A153,"")))</f>
        <v/>
      </c>
      <c r="BH153" s="47" t="str">
        <f aca="false">IF($A153="","",IF(AND(INDEX(工程マスタ!$I$5:$I$154,$A153)="○",$E153&gt;=BH$3,$E153&lt;=BH$3+6),"▼",IF(AND($E153&gt;=BH$3,$E153&lt;=BH$3+6),$A153,"")))</f>
        <v/>
      </c>
      <c r="BI153" s="47" t="str">
        <f aca="false">IF($A153="","",IF(AND(INDEX(工程マスタ!$I$5:$I$154,$A153)="○",$E153&gt;=BI$3,$E153&lt;=BI$3+6),"▼",IF(AND($E153&gt;=BI$3,$E153&lt;=BI$3+6),$A153,"")))</f>
        <v/>
      </c>
      <c r="BJ153" s="47" t="str">
        <f aca="false">IF($A153="","",IF(AND(INDEX(工程マスタ!$I$5:$I$154,$A153)="○",$E153&gt;=BJ$3,$E153&lt;=BJ$3+6),"▼",IF(AND($E153&gt;=BJ$3,$E153&lt;=BJ$3+6),$A153,"")))</f>
        <v/>
      </c>
    </row>
    <row r="154" customFormat="false" ht="15" hidden="false" customHeight="false" outlineLevel="0" collapsed="false">
      <c r="A154" s="28" t="str">
        <f aca="false">IF(工程マスタ!$C152="","",工程マスタ!$A152)</f>
        <v/>
      </c>
      <c r="B154" s="46" t="str">
        <f aca="false">IF($A154="","",工程マスタ!$C152)</f>
        <v/>
      </c>
      <c r="C154" s="28" t="str">
        <f aca="false">IF($A154="","",MAX(1,工程マスタ!$G152))</f>
        <v/>
      </c>
      <c r="D154" s="28" t="str">
        <f aca="false">IF($A154="","",_xlfn.TEXTJOIN(",",TRUE(),工程マスタ!$N152:$P152))</f>
        <v/>
      </c>
      <c r="E154" s="29" t="str">
        <f aca="false">IF($A154="","",IF(COUNT(工程マスタ!$N152:$P152)=0,設定!$B$8,MAX(IF(工程マスタ!$N152="",0,INDEX($F$7:$F$156,工程マスタ!$N152)),IF(工程マスタ!$O152="",0,INDEX($F$7:$F$156,工程マスタ!$O152)),IF(工程マスタ!$P152="",0,INDEX($F$7:$F$156,工程マスタ!$P152)))+1))</f>
        <v/>
      </c>
      <c r="F154" s="29" t="str">
        <f aca="false">IF($A154="","",$E154+$C154-1)</f>
        <v/>
      </c>
      <c r="G154" s="29" t="str">
        <f aca="false">IF($A154="","",$H154-$C154+1)</f>
        <v/>
      </c>
      <c r="H154" s="29" t="str">
        <f aca="false" t="array" ref="H154:H154">IF($A154="","",IF(SUMPRODUCT((工程マスタ!$N$153:$N$154=$A154)*1)+SUMPRODUCT((工程マスタ!$O$153:$O$154=$A154)*1)+SUMPRODUCT((工程マスタ!$P$153:$P$154=$A154)*1)=0,MAX($F$7:$F$156),MIN(IF((工程マスタ!$N$153:$N$154=$A154)+(工程マスタ!$O$153:$O$154=$A154)+(工程マスタ!$P$153:$P$154=$A154),$G155:$G$156))-1))</f>
        <v/>
      </c>
      <c r="I154" s="28" t="str">
        <f aca="false">IF($A154="","",$G154-$E154)</f>
        <v/>
      </c>
      <c r="J154" s="28" t="str">
        <f aca="false">IF($A154="","",IF($I154&lt;=0,"●",""))</f>
        <v/>
      </c>
      <c r="K154" s="47" t="str">
        <f aca="false">IF($A154="","",IF(AND(INDEX(工程マスタ!$I$5:$I$154,$A154)="○",$E154&gt;=K$3,$E154&lt;=K$3+6),"▼",IF(AND($E154&gt;=K$3,$E154&lt;=K$3+6),$A154,"")))</f>
        <v/>
      </c>
      <c r="L154" s="47" t="str">
        <f aca="false">IF($A154="","",IF(AND(INDEX(工程マスタ!$I$5:$I$154,$A154)="○",$E154&gt;=L$3,$E154&lt;=L$3+6),"▼",IF(AND($E154&gt;=L$3,$E154&lt;=L$3+6),$A154,"")))</f>
        <v/>
      </c>
      <c r="M154" s="47" t="str">
        <f aca="false">IF($A154="","",IF(AND(INDEX(工程マスタ!$I$5:$I$154,$A154)="○",$E154&gt;=M$3,$E154&lt;=M$3+6),"▼",IF(AND($E154&gt;=M$3,$E154&lt;=M$3+6),$A154,"")))</f>
        <v/>
      </c>
      <c r="N154" s="47" t="str">
        <f aca="false">IF($A154="","",IF(AND(INDEX(工程マスタ!$I$5:$I$154,$A154)="○",$E154&gt;=N$3,$E154&lt;=N$3+6),"▼",IF(AND($E154&gt;=N$3,$E154&lt;=N$3+6),$A154,"")))</f>
        <v/>
      </c>
      <c r="O154" s="47" t="str">
        <f aca="false">IF($A154="","",IF(AND(INDEX(工程マスタ!$I$5:$I$154,$A154)="○",$E154&gt;=O$3,$E154&lt;=O$3+6),"▼",IF(AND($E154&gt;=O$3,$E154&lt;=O$3+6),$A154,"")))</f>
        <v/>
      </c>
      <c r="P154" s="47" t="str">
        <f aca="false">IF($A154="","",IF(AND(INDEX(工程マスタ!$I$5:$I$154,$A154)="○",$E154&gt;=P$3,$E154&lt;=P$3+6),"▼",IF(AND($E154&gt;=P$3,$E154&lt;=P$3+6),$A154,"")))</f>
        <v/>
      </c>
      <c r="Q154" s="47" t="str">
        <f aca="false">IF($A154="","",IF(AND(INDEX(工程マスタ!$I$5:$I$154,$A154)="○",$E154&gt;=Q$3,$E154&lt;=Q$3+6),"▼",IF(AND($E154&gt;=Q$3,$E154&lt;=Q$3+6),$A154,"")))</f>
        <v/>
      </c>
      <c r="R154" s="47" t="str">
        <f aca="false">IF($A154="","",IF(AND(INDEX(工程マスタ!$I$5:$I$154,$A154)="○",$E154&gt;=R$3,$E154&lt;=R$3+6),"▼",IF(AND($E154&gt;=R$3,$E154&lt;=R$3+6),$A154,"")))</f>
        <v/>
      </c>
      <c r="S154" s="47" t="str">
        <f aca="false">IF($A154="","",IF(AND(INDEX(工程マスタ!$I$5:$I$154,$A154)="○",$E154&gt;=S$3,$E154&lt;=S$3+6),"▼",IF(AND($E154&gt;=S$3,$E154&lt;=S$3+6),$A154,"")))</f>
        <v/>
      </c>
      <c r="T154" s="47" t="str">
        <f aca="false">IF($A154="","",IF(AND(INDEX(工程マスタ!$I$5:$I$154,$A154)="○",$E154&gt;=T$3,$E154&lt;=T$3+6),"▼",IF(AND($E154&gt;=T$3,$E154&lt;=T$3+6),$A154,"")))</f>
        <v/>
      </c>
      <c r="U154" s="47" t="str">
        <f aca="false">IF($A154="","",IF(AND(INDEX(工程マスタ!$I$5:$I$154,$A154)="○",$E154&gt;=U$3,$E154&lt;=U$3+6),"▼",IF(AND($E154&gt;=U$3,$E154&lt;=U$3+6),$A154,"")))</f>
        <v/>
      </c>
      <c r="V154" s="47" t="str">
        <f aca="false">IF($A154="","",IF(AND(INDEX(工程マスタ!$I$5:$I$154,$A154)="○",$E154&gt;=V$3,$E154&lt;=V$3+6),"▼",IF(AND($E154&gt;=V$3,$E154&lt;=V$3+6),$A154,"")))</f>
        <v/>
      </c>
      <c r="W154" s="47" t="str">
        <f aca="false">IF($A154="","",IF(AND(INDEX(工程マスタ!$I$5:$I$154,$A154)="○",$E154&gt;=W$3,$E154&lt;=W$3+6),"▼",IF(AND($E154&gt;=W$3,$E154&lt;=W$3+6),$A154,"")))</f>
        <v/>
      </c>
      <c r="X154" s="47" t="str">
        <f aca="false">IF($A154="","",IF(AND(INDEX(工程マスタ!$I$5:$I$154,$A154)="○",$E154&gt;=X$3,$E154&lt;=X$3+6),"▼",IF(AND($E154&gt;=X$3,$E154&lt;=X$3+6),$A154,"")))</f>
        <v/>
      </c>
      <c r="Y154" s="47" t="str">
        <f aca="false">IF($A154="","",IF(AND(INDEX(工程マスタ!$I$5:$I$154,$A154)="○",$E154&gt;=Y$3,$E154&lt;=Y$3+6),"▼",IF(AND($E154&gt;=Y$3,$E154&lt;=Y$3+6),$A154,"")))</f>
        <v/>
      </c>
      <c r="Z154" s="47" t="str">
        <f aca="false">IF($A154="","",IF(AND(INDEX(工程マスタ!$I$5:$I$154,$A154)="○",$E154&gt;=Z$3,$E154&lt;=Z$3+6),"▼",IF(AND($E154&gt;=Z$3,$E154&lt;=Z$3+6),$A154,"")))</f>
        <v/>
      </c>
      <c r="AA154" s="47" t="str">
        <f aca="false">IF($A154="","",IF(AND(INDEX(工程マスタ!$I$5:$I$154,$A154)="○",$E154&gt;=AA$3,$E154&lt;=AA$3+6),"▼",IF(AND($E154&gt;=AA$3,$E154&lt;=AA$3+6),$A154,"")))</f>
        <v/>
      </c>
      <c r="AB154" s="47" t="str">
        <f aca="false">IF($A154="","",IF(AND(INDEX(工程マスタ!$I$5:$I$154,$A154)="○",$E154&gt;=AB$3,$E154&lt;=AB$3+6),"▼",IF(AND($E154&gt;=AB$3,$E154&lt;=AB$3+6),$A154,"")))</f>
        <v/>
      </c>
      <c r="AC154" s="47" t="str">
        <f aca="false">IF($A154="","",IF(AND(INDEX(工程マスタ!$I$5:$I$154,$A154)="○",$E154&gt;=AC$3,$E154&lt;=AC$3+6),"▼",IF(AND($E154&gt;=AC$3,$E154&lt;=AC$3+6),$A154,"")))</f>
        <v/>
      </c>
      <c r="AD154" s="47" t="str">
        <f aca="false">IF($A154="","",IF(AND(INDEX(工程マスタ!$I$5:$I$154,$A154)="○",$E154&gt;=AD$3,$E154&lt;=AD$3+6),"▼",IF(AND($E154&gt;=AD$3,$E154&lt;=AD$3+6),$A154,"")))</f>
        <v/>
      </c>
      <c r="AE154" s="47" t="str">
        <f aca="false">IF($A154="","",IF(AND(INDEX(工程マスタ!$I$5:$I$154,$A154)="○",$E154&gt;=AE$3,$E154&lt;=AE$3+6),"▼",IF(AND($E154&gt;=AE$3,$E154&lt;=AE$3+6),$A154,"")))</f>
        <v/>
      </c>
      <c r="AF154" s="47" t="str">
        <f aca="false">IF($A154="","",IF(AND(INDEX(工程マスタ!$I$5:$I$154,$A154)="○",$E154&gt;=AF$3,$E154&lt;=AF$3+6),"▼",IF(AND($E154&gt;=AF$3,$E154&lt;=AF$3+6),$A154,"")))</f>
        <v/>
      </c>
      <c r="AG154" s="47" t="str">
        <f aca="false">IF($A154="","",IF(AND(INDEX(工程マスタ!$I$5:$I$154,$A154)="○",$E154&gt;=AG$3,$E154&lt;=AG$3+6),"▼",IF(AND($E154&gt;=AG$3,$E154&lt;=AG$3+6),$A154,"")))</f>
        <v/>
      </c>
      <c r="AH154" s="47" t="str">
        <f aca="false">IF($A154="","",IF(AND(INDEX(工程マスタ!$I$5:$I$154,$A154)="○",$E154&gt;=AH$3,$E154&lt;=AH$3+6),"▼",IF(AND($E154&gt;=AH$3,$E154&lt;=AH$3+6),$A154,"")))</f>
        <v/>
      </c>
      <c r="AI154" s="47" t="str">
        <f aca="false">IF($A154="","",IF(AND(INDEX(工程マスタ!$I$5:$I$154,$A154)="○",$E154&gt;=AI$3,$E154&lt;=AI$3+6),"▼",IF(AND($E154&gt;=AI$3,$E154&lt;=AI$3+6),$A154,"")))</f>
        <v/>
      </c>
      <c r="AJ154" s="47" t="str">
        <f aca="false">IF($A154="","",IF(AND(INDEX(工程マスタ!$I$5:$I$154,$A154)="○",$E154&gt;=AJ$3,$E154&lt;=AJ$3+6),"▼",IF(AND($E154&gt;=AJ$3,$E154&lt;=AJ$3+6),$A154,"")))</f>
        <v/>
      </c>
      <c r="AK154" s="47" t="str">
        <f aca="false">IF($A154="","",IF(AND(INDEX(工程マスタ!$I$5:$I$154,$A154)="○",$E154&gt;=AK$3,$E154&lt;=AK$3+6),"▼",IF(AND($E154&gt;=AK$3,$E154&lt;=AK$3+6),$A154,"")))</f>
        <v/>
      </c>
      <c r="AL154" s="47" t="str">
        <f aca="false">IF($A154="","",IF(AND(INDEX(工程マスタ!$I$5:$I$154,$A154)="○",$E154&gt;=AL$3,$E154&lt;=AL$3+6),"▼",IF(AND($E154&gt;=AL$3,$E154&lt;=AL$3+6),$A154,"")))</f>
        <v/>
      </c>
      <c r="AM154" s="47" t="str">
        <f aca="false">IF($A154="","",IF(AND(INDEX(工程マスタ!$I$5:$I$154,$A154)="○",$E154&gt;=AM$3,$E154&lt;=AM$3+6),"▼",IF(AND($E154&gt;=AM$3,$E154&lt;=AM$3+6),$A154,"")))</f>
        <v/>
      </c>
      <c r="AN154" s="47" t="str">
        <f aca="false">IF($A154="","",IF(AND(INDEX(工程マスタ!$I$5:$I$154,$A154)="○",$E154&gt;=AN$3,$E154&lt;=AN$3+6),"▼",IF(AND($E154&gt;=AN$3,$E154&lt;=AN$3+6),$A154,"")))</f>
        <v/>
      </c>
      <c r="AO154" s="47" t="str">
        <f aca="false">IF($A154="","",IF(AND(INDEX(工程マスタ!$I$5:$I$154,$A154)="○",$E154&gt;=AO$3,$E154&lt;=AO$3+6),"▼",IF(AND($E154&gt;=AO$3,$E154&lt;=AO$3+6),$A154,"")))</f>
        <v/>
      </c>
      <c r="AP154" s="47" t="str">
        <f aca="false">IF($A154="","",IF(AND(INDEX(工程マスタ!$I$5:$I$154,$A154)="○",$E154&gt;=AP$3,$E154&lt;=AP$3+6),"▼",IF(AND($E154&gt;=AP$3,$E154&lt;=AP$3+6),$A154,"")))</f>
        <v/>
      </c>
      <c r="AQ154" s="47" t="str">
        <f aca="false">IF($A154="","",IF(AND(INDEX(工程マスタ!$I$5:$I$154,$A154)="○",$E154&gt;=AQ$3,$E154&lt;=AQ$3+6),"▼",IF(AND($E154&gt;=AQ$3,$E154&lt;=AQ$3+6),$A154,"")))</f>
        <v/>
      </c>
      <c r="AR154" s="47" t="str">
        <f aca="false">IF($A154="","",IF(AND(INDEX(工程マスタ!$I$5:$I$154,$A154)="○",$E154&gt;=AR$3,$E154&lt;=AR$3+6),"▼",IF(AND($E154&gt;=AR$3,$E154&lt;=AR$3+6),$A154,"")))</f>
        <v/>
      </c>
      <c r="AS154" s="47" t="str">
        <f aca="false">IF($A154="","",IF(AND(INDEX(工程マスタ!$I$5:$I$154,$A154)="○",$E154&gt;=AS$3,$E154&lt;=AS$3+6),"▼",IF(AND($E154&gt;=AS$3,$E154&lt;=AS$3+6),$A154,"")))</f>
        <v/>
      </c>
      <c r="AT154" s="47" t="str">
        <f aca="false">IF($A154="","",IF(AND(INDEX(工程マスタ!$I$5:$I$154,$A154)="○",$E154&gt;=AT$3,$E154&lt;=AT$3+6),"▼",IF(AND($E154&gt;=AT$3,$E154&lt;=AT$3+6),$A154,"")))</f>
        <v/>
      </c>
      <c r="AU154" s="47" t="str">
        <f aca="false">IF($A154="","",IF(AND(INDEX(工程マスタ!$I$5:$I$154,$A154)="○",$E154&gt;=AU$3,$E154&lt;=AU$3+6),"▼",IF(AND($E154&gt;=AU$3,$E154&lt;=AU$3+6),$A154,"")))</f>
        <v/>
      </c>
      <c r="AV154" s="47" t="str">
        <f aca="false">IF($A154="","",IF(AND(INDEX(工程マスタ!$I$5:$I$154,$A154)="○",$E154&gt;=AV$3,$E154&lt;=AV$3+6),"▼",IF(AND($E154&gt;=AV$3,$E154&lt;=AV$3+6),$A154,"")))</f>
        <v/>
      </c>
      <c r="AW154" s="47" t="str">
        <f aca="false">IF($A154="","",IF(AND(INDEX(工程マスタ!$I$5:$I$154,$A154)="○",$E154&gt;=AW$3,$E154&lt;=AW$3+6),"▼",IF(AND($E154&gt;=AW$3,$E154&lt;=AW$3+6),$A154,"")))</f>
        <v/>
      </c>
      <c r="AX154" s="47" t="str">
        <f aca="false">IF($A154="","",IF(AND(INDEX(工程マスタ!$I$5:$I$154,$A154)="○",$E154&gt;=AX$3,$E154&lt;=AX$3+6),"▼",IF(AND($E154&gt;=AX$3,$E154&lt;=AX$3+6),$A154,"")))</f>
        <v/>
      </c>
      <c r="AY154" s="47" t="str">
        <f aca="false">IF($A154="","",IF(AND(INDEX(工程マスタ!$I$5:$I$154,$A154)="○",$E154&gt;=AY$3,$E154&lt;=AY$3+6),"▼",IF(AND($E154&gt;=AY$3,$E154&lt;=AY$3+6),$A154,"")))</f>
        <v/>
      </c>
      <c r="AZ154" s="47" t="str">
        <f aca="false">IF($A154="","",IF(AND(INDEX(工程マスタ!$I$5:$I$154,$A154)="○",$E154&gt;=AZ$3,$E154&lt;=AZ$3+6),"▼",IF(AND($E154&gt;=AZ$3,$E154&lt;=AZ$3+6),$A154,"")))</f>
        <v/>
      </c>
      <c r="BA154" s="47" t="str">
        <f aca="false">IF($A154="","",IF(AND(INDEX(工程マスタ!$I$5:$I$154,$A154)="○",$E154&gt;=BA$3,$E154&lt;=BA$3+6),"▼",IF(AND($E154&gt;=BA$3,$E154&lt;=BA$3+6),$A154,"")))</f>
        <v/>
      </c>
      <c r="BB154" s="47" t="str">
        <f aca="false">IF($A154="","",IF(AND(INDEX(工程マスタ!$I$5:$I$154,$A154)="○",$E154&gt;=BB$3,$E154&lt;=BB$3+6),"▼",IF(AND($E154&gt;=BB$3,$E154&lt;=BB$3+6),$A154,"")))</f>
        <v/>
      </c>
      <c r="BC154" s="47" t="str">
        <f aca="false">IF($A154="","",IF(AND(INDEX(工程マスタ!$I$5:$I$154,$A154)="○",$E154&gt;=BC$3,$E154&lt;=BC$3+6),"▼",IF(AND($E154&gt;=BC$3,$E154&lt;=BC$3+6),$A154,"")))</f>
        <v/>
      </c>
      <c r="BD154" s="47" t="str">
        <f aca="false">IF($A154="","",IF(AND(INDEX(工程マスタ!$I$5:$I$154,$A154)="○",$E154&gt;=BD$3,$E154&lt;=BD$3+6),"▼",IF(AND($E154&gt;=BD$3,$E154&lt;=BD$3+6),$A154,"")))</f>
        <v/>
      </c>
      <c r="BE154" s="47" t="str">
        <f aca="false">IF($A154="","",IF(AND(INDEX(工程マスタ!$I$5:$I$154,$A154)="○",$E154&gt;=BE$3,$E154&lt;=BE$3+6),"▼",IF(AND($E154&gt;=BE$3,$E154&lt;=BE$3+6),$A154,"")))</f>
        <v/>
      </c>
      <c r="BF154" s="47" t="str">
        <f aca="false">IF($A154="","",IF(AND(INDEX(工程マスタ!$I$5:$I$154,$A154)="○",$E154&gt;=BF$3,$E154&lt;=BF$3+6),"▼",IF(AND($E154&gt;=BF$3,$E154&lt;=BF$3+6),$A154,"")))</f>
        <v/>
      </c>
      <c r="BG154" s="47" t="str">
        <f aca="false">IF($A154="","",IF(AND(INDEX(工程マスタ!$I$5:$I$154,$A154)="○",$E154&gt;=BG$3,$E154&lt;=BG$3+6),"▼",IF(AND($E154&gt;=BG$3,$E154&lt;=BG$3+6),$A154,"")))</f>
        <v/>
      </c>
      <c r="BH154" s="47" t="str">
        <f aca="false">IF($A154="","",IF(AND(INDEX(工程マスタ!$I$5:$I$154,$A154)="○",$E154&gt;=BH$3,$E154&lt;=BH$3+6),"▼",IF(AND($E154&gt;=BH$3,$E154&lt;=BH$3+6),$A154,"")))</f>
        <v/>
      </c>
      <c r="BI154" s="47" t="str">
        <f aca="false">IF($A154="","",IF(AND(INDEX(工程マスタ!$I$5:$I$154,$A154)="○",$E154&gt;=BI$3,$E154&lt;=BI$3+6),"▼",IF(AND($E154&gt;=BI$3,$E154&lt;=BI$3+6),$A154,"")))</f>
        <v/>
      </c>
      <c r="BJ154" s="47" t="str">
        <f aca="false">IF($A154="","",IF(AND(INDEX(工程マスタ!$I$5:$I$154,$A154)="○",$E154&gt;=BJ$3,$E154&lt;=BJ$3+6),"▼",IF(AND($E154&gt;=BJ$3,$E154&lt;=BJ$3+6),$A154,"")))</f>
        <v/>
      </c>
    </row>
    <row r="155" customFormat="false" ht="15" hidden="false" customHeight="false" outlineLevel="0" collapsed="false">
      <c r="A155" s="28" t="str">
        <f aca="false">IF(工程マスタ!$C153="","",工程マスタ!$A153)</f>
        <v/>
      </c>
      <c r="B155" s="46" t="str">
        <f aca="false">IF($A155="","",工程マスタ!$C153)</f>
        <v/>
      </c>
      <c r="C155" s="28" t="str">
        <f aca="false">IF($A155="","",MAX(1,工程マスタ!$G153))</f>
        <v/>
      </c>
      <c r="D155" s="28" t="str">
        <f aca="false">IF($A155="","",_xlfn.TEXTJOIN(",",TRUE(),工程マスタ!$N153:$P153))</f>
        <v/>
      </c>
      <c r="E155" s="29" t="str">
        <f aca="false">IF($A155="","",IF(COUNT(工程マスタ!$N153:$P153)=0,設定!$B$8,MAX(IF(工程マスタ!$N153="",0,INDEX($F$7:$F$156,工程マスタ!$N153)),IF(工程マスタ!$O153="",0,INDEX($F$7:$F$156,工程マスタ!$O153)),IF(工程マスタ!$P153="",0,INDEX($F$7:$F$156,工程マスタ!$P153)))+1))</f>
        <v/>
      </c>
      <c r="F155" s="29" t="str">
        <f aca="false">IF($A155="","",$E155+$C155-1)</f>
        <v/>
      </c>
      <c r="G155" s="29" t="str">
        <f aca="false">IF($A155="","",$H155-$C155+1)</f>
        <v/>
      </c>
      <c r="H155" s="29" t="str">
        <f aca="false" t="array" ref="H155:H155">IF($A155="","",IF(SUMPRODUCT((工程マスタ!$N$154:$N$154=$A155)*1)+SUMPRODUCT((工程マスタ!$O$154:$O$154=$A155)*1)+SUMPRODUCT((工程マスタ!$P$154:$P$154=$A155)*1)=0,MAX($F$7:$F$156),MIN(IF((工程マスタ!$N$154:$N$154=$A155)+(工程マスタ!$O$154:$O$154=$A155)+(工程マスタ!$P$154:$P$154=$A155),$G156:$G$156))-1))</f>
        <v/>
      </c>
      <c r="I155" s="28" t="str">
        <f aca="false">IF($A155="","",$G155-$E155)</f>
        <v/>
      </c>
      <c r="J155" s="28" t="str">
        <f aca="false">IF($A155="","",IF($I155&lt;=0,"●",""))</f>
        <v/>
      </c>
      <c r="K155" s="47" t="str">
        <f aca="false">IF($A155="","",IF(AND(INDEX(工程マスタ!$I$5:$I$154,$A155)="○",$E155&gt;=K$3,$E155&lt;=K$3+6),"▼",IF(AND($E155&gt;=K$3,$E155&lt;=K$3+6),$A155,"")))</f>
        <v/>
      </c>
      <c r="L155" s="47" t="str">
        <f aca="false">IF($A155="","",IF(AND(INDEX(工程マスタ!$I$5:$I$154,$A155)="○",$E155&gt;=L$3,$E155&lt;=L$3+6),"▼",IF(AND($E155&gt;=L$3,$E155&lt;=L$3+6),$A155,"")))</f>
        <v/>
      </c>
      <c r="M155" s="47" t="str">
        <f aca="false">IF($A155="","",IF(AND(INDEX(工程マスタ!$I$5:$I$154,$A155)="○",$E155&gt;=M$3,$E155&lt;=M$3+6),"▼",IF(AND($E155&gt;=M$3,$E155&lt;=M$3+6),$A155,"")))</f>
        <v/>
      </c>
      <c r="N155" s="47" t="str">
        <f aca="false">IF($A155="","",IF(AND(INDEX(工程マスタ!$I$5:$I$154,$A155)="○",$E155&gt;=N$3,$E155&lt;=N$3+6),"▼",IF(AND($E155&gt;=N$3,$E155&lt;=N$3+6),$A155,"")))</f>
        <v/>
      </c>
      <c r="O155" s="47" t="str">
        <f aca="false">IF($A155="","",IF(AND(INDEX(工程マスタ!$I$5:$I$154,$A155)="○",$E155&gt;=O$3,$E155&lt;=O$3+6),"▼",IF(AND($E155&gt;=O$3,$E155&lt;=O$3+6),$A155,"")))</f>
        <v/>
      </c>
      <c r="P155" s="47" t="str">
        <f aca="false">IF($A155="","",IF(AND(INDEX(工程マスタ!$I$5:$I$154,$A155)="○",$E155&gt;=P$3,$E155&lt;=P$3+6),"▼",IF(AND($E155&gt;=P$3,$E155&lt;=P$3+6),$A155,"")))</f>
        <v/>
      </c>
      <c r="Q155" s="47" t="str">
        <f aca="false">IF($A155="","",IF(AND(INDEX(工程マスタ!$I$5:$I$154,$A155)="○",$E155&gt;=Q$3,$E155&lt;=Q$3+6),"▼",IF(AND($E155&gt;=Q$3,$E155&lt;=Q$3+6),$A155,"")))</f>
        <v/>
      </c>
      <c r="R155" s="47" t="str">
        <f aca="false">IF($A155="","",IF(AND(INDEX(工程マスタ!$I$5:$I$154,$A155)="○",$E155&gt;=R$3,$E155&lt;=R$3+6),"▼",IF(AND($E155&gt;=R$3,$E155&lt;=R$3+6),$A155,"")))</f>
        <v/>
      </c>
      <c r="S155" s="47" t="str">
        <f aca="false">IF($A155="","",IF(AND(INDEX(工程マスタ!$I$5:$I$154,$A155)="○",$E155&gt;=S$3,$E155&lt;=S$3+6),"▼",IF(AND($E155&gt;=S$3,$E155&lt;=S$3+6),$A155,"")))</f>
        <v/>
      </c>
      <c r="T155" s="47" t="str">
        <f aca="false">IF($A155="","",IF(AND(INDEX(工程マスタ!$I$5:$I$154,$A155)="○",$E155&gt;=T$3,$E155&lt;=T$3+6),"▼",IF(AND($E155&gt;=T$3,$E155&lt;=T$3+6),$A155,"")))</f>
        <v/>
      </c>
      <c r="U155" s="47" t="str">
        <f aca="false">IF($A155="","",IF(AND(INDEX(工程マスタ!$I$5:$I$154,$A155)="○",$E155&gt;=U$3,$E155&lt;=U$3+6),"▼",IF(AND($E155&gt;=U$3,$E155&lt;=U$3+6),$A155,"")))</f>
        <v/>
      </c>
      <c r="V155" s="47" t="str">
        <f aca="false">IF($A155="","",IF(AND(INDEX(工程マスタ!$I$5:$I$154,$A155)="○",$E155&gt;=V$3,$E155&lt;=V$3+6),"▼",IF(AND($E155&gt;=V$3,$E155&lt;=V$3+6),$A155,"")))</f>
        <v/>
      </c>
      <c r="W155" s="47" t="str">
        <f aca="false">IF($A155="","",IF(AND(INDEX(工程マスタ!$I$5:$I$154,$A155)="○",$E155&gt;=W$3,$E155&lt;=W$3+6),"▼",IF(AND($E155&gt;=W$3,$E155&lt;=W$3+6),$A155,"")))</f>
        <v/>
      </c>
      <c r="X155" s="47" t="str">
        <f aca="false">IF($A155="","",IF(AND(INDEX(工程マスタ!$I$5:$I$154,$A155)="○",$E155&gt;=X$3,$E155&lt;=X$3+6),"▼",IF(AND($E155&gt;=X$3,$E155&lt;=X$3+6),$A155,"")))</f>
        <v/>
      </c>
      <c r="Y155" s="47" t="str">
        <f aca="false">IF($A155="","",IF(AND(INDEX(工程マスタ!$I$5:$I$154,$A155)="○",$E155&gt;=Y$3,$E155&lt;=Y$3+6),"▼",IF(AND($E155&gt;=Y$3,$E155&lt;=Y$3+6),$A155,"")))</f>
        <v/>
      </c>
      <c r="Z155" s="47" t="str">
        <f aca="false">IF($A155="","",IF(AND(INDEX(工程マスタ!$I$5:$I$154,$A155)="○",$E155&gt;=Z$3,$E155&lt;=Z$3+6),"▼",IF(AND($E155&gt;=Z$3,$E155&lt;=Z$3+6),$A155,"")))</f>
        <v/>
      </c>
      <c r="AA155" s="47" t="str">
        <f aca="false">IF($A155="","",IF(AND(INDEX(工程マスタ!$I$5:$I$154,$A155)="○",$E155&gt;=AA$3,$E155&lt;=AA$3+6),"▼",IF(AND($E155&gt;=AA$3,$E155&lt;=AA$3+6),$A155,"")))</f>
        <v/>
      </c>
      <c r="AB155" s="47" t="str">
        <f aca="false">IF($A155="","",IF(AND(INDEX(工程マスタ!$I$5:$I$154,$A155)="○",$E155&gt;=AB$3,$E155&lt;=AB$3+6),"▼",IF(AND($E155&gt;=AB$3,$E155&lt;=AB$3+6),$A155,"")))</f>
        <v/>
      </c>
      <c r="AC155" s="47" t="str">
        <f aca="false">IF($A155="","",IF(AND(INDEX(工程マスタ!$I$5:$I$154,$A155)="○",$E155&gt;=AC$3,$E155&lt;=AC$3+6),"▼",IF(AND($E155&gt;=AC$3,$E155&lt;=AC$3+6),$A155,"")))</f>
        <v/>
      </c>
      <c r="AD155" s="47" t="str">
        <f aca="false">IF($A155="","",IF(AND(INDEX(工程マスタ!$I$5:$I$154,$A155)="○",$E155&gt;=AD$3,$E155&lt;=AD$3+6),"▼",IF(AND($E155&gt;=AD$3,$E155&lt;=AD$3+6),$A155,"")))</f>
        <v/>
      </c>
      <c r="AE155" s="47" t="str">
        <f aca="false">IF($A155="","",IF(AND(INDEX(工程マスタ!$I$5:$I$154,$A155)="○",$E155&gt;=AE$3,$E155&lt;=AE$3+6),"▼",IF(AND($E155&gt;=AE$3,$E155&lt;=AE$3+6),$A155,"")))</f>
        <v/>
      </c>
      <c r="AF155" s="47" t="str">
        <f aca="false">IF($A155="","",IF(AND(INDEX(工程マスタ!$I$5:$I$154,$A155)="○",$E155&gt;=AF$3,$E155&lt;=AF$3+6),"▼",IF(AND($E155&gt;=AF$3,$E155&lt;=AF$3+6),$A155,"")))</f>
        <v/>
      </c>
      <c r="AG155" s="47" t="str">
        <f aca="false">IF($A155="","",IF(AND(INDEX(工程マスタ!$I$5:$I$154,$A155)="○",$E155&gt;=AG$3,$E155&lt;=AG$3+6),"▼",IF(AND($E155&gt;=AG$3,$E155&lt;=AG$3+6),$A155,"")))</f>
        <v/>
      </c>
      <c r="AH155" s="47" t="str">
        <f aca="false">IF($A155="","",IF(AND(INDEX(工程マスタ!$I$5:$I$154,$A155)="○",$E155&gt;=AH$3,$E155&lt;=AH$3+6),"▼",IF(AND($E155&gt;=AH$3,$E155&lt;=AH$3+6),$A155,"")))</f>
        <v/>
      </c>
      <c r="AI155" s="47" t="str">
        <f aca="false">IF($A155="","",IF(AND(INDEX(工程マスタ!$I$5:$I$154,$A155)="○",$E155&gt;=AI$3,$E155&lt;=AI$3+6),"▼",IF(AND($E155&gt;=AI$3,$E155&lt;=AI$3+6),$A155,"")))</f>
        <v/>
      </c>
      <c r="AJ155" s="47" t="str">
        <f aca="false">IF($A155="","",IF(AND(INDEX(工程マスタ!$I$5:$I$154,$A155)="○",$E155&gt;=AJ$3,$E155&lt;=AJ$3+6),"▼",IF(AND($E155&gt;=AJ$3,$E155&lt;=AJ$3+6),$A155,"")))</f>
        <v/>
      </c>
      <c r="AK155" s="47" t="str">
        <f aca="false">IF($A155="","",IF(AND(INDEX(工程マスタ!$I$5:$I$154,$A155)="○",$E155&gt;=AK$3,$E155&lt;=AK$3+6),"▼",IF(AND($E155&gt;=AK$3,$E155&lt;=AK$3+6),$A155,"")))</f>
        <v/>
      </c>
      <c r="AL155" s="47" t="str">
        <f aca="false">IF($A155="","",IF(AND(INDEX(工程マスタ!$I$5:$I$154,$A155)="○",$E155&gt;=AL$3,$E155&lt;=AL$3+6),"▼",IF(AND($E155&gt;=AL$3,$E155&lt;=AL$3+6),$A155,"")))</f>
        <v/>
      </c>
      <c r="AM155" s="47" t="str">
        <f aca="false">IF($A155="","",IF(AND(INDEX(工程マスタ!$I$5:$I$154,$A155)="○",$E155&gt;=AM$3,$E155&lt;=AM$3+6),"▼",IF(AND($E155&gt;=AM$3,$E155&lt;=AM$3+6),$A155,"")))</f>
        <v/>
      </c>
      <c r="AN155" s="47" t="str">
        <f aca="false">IF($A155="","",IF(AND(INDEX(工程マスタ!$I$5:$I$154,$A155)="○",$E155&gt;=AN$3,$E155&lt;=AN$3+6),"▼",IF(AND($E155&gt;=AN$3,$E155&lt;=AN$3+6),$A155,"")))</f>
        <v/>
      </c>
      <c r="AO155" s="47" t="str">
        <f aca="false">IF($A155="","",IF(AND(INDEX(工程マスタ!$I$5:$I$154,$A155)="○",$E155&gt;=AO$3,$E155&lt;=AO$3+6),"▼",IF(AND($E155&gt;=AO$3,$E155&lt;=AO$3+6),$A155,"")))</f>
        <v/>
      </c>
      <c r="AP155" s="47" t="str">
        <f aca="false">IF($A155="","",IF(AND(INDEX(工程マスタ!$I$5:$I$154,$A155)="○",$E155&gt;=AP$3,$E155&lt;=AP$3+6),"▼",IF(AND($E155&gt;=AP$3,$E155&lt;=AP$3+6),$A155,"")))</f>
        <v/>
      </c>
      <c r="AQ155" s="47" t="str">
        <f aca="false">IF($A155="","",IF(AND(INDEX(工程マスタ!$I$5:$I$154,$A155)="○",$E155&gt;=AQ$3,$E155&lt;=AQ$3+6),"▼",IF(AND($E155&gt;=AQ$3,$E155&lt;=AQ$3+6),$A155,"")))</f>
        <v/>
      </c>
      <c r="AR155" s="47" t="str">
        <f aca="false">IF($A155="","",IF(AND(INDEX(工程マスタ!$I$5:$I$154,$A155)="○",$E155&gt;=AR$3,$E155&lt;=AR$3+6),"▼",IF(AND($E155&gt;=AR$3,$E155&lt;=AR$3+6),$A155,"")))</f>
        <v/>
      </c>
      <c r="AS155" s="47" t="str">
        <f aca="false">IF($A155="","",IF(AND(INDEX(工程マスタ!$I$5:$I$154,$A155)="○",$E155&gt;=AS$3,$E155&lt;=AS$3+6),"▼",IF(AND($E155&gt;=AS$3,$E155&lt;=AS$3+6),$A155,"")))</f>
        <v/>
      </c>
      <c r="AT155" s="47" t="str">
        <f aca="false">IF($A155="","",IF(AND(INDEX(工程マスタ!$I$5:$I$154,$A155)="○",$E155&gt;=AT$3,$E155&lt;=AT$3+6),"▼",IF(AND($E155&gt;=AT$3,$E155&lt;=AT$3+6),$A155,"")))</f>
        <v/>
      </c>
      <c r="AU155" s="47" t="str">
        <f aca="false">IF($A155="","",IF(AND(INDEX(工程マスタ!$I$5:$I$154,$A155)="○",$E155&gt;=AU$3,$E155&lt;=AU$3+6),"▼",IF(AND($E155&gt;=AU$3,$E155&lt;=AU$3+6),$A155,"")))</f>
        <v/>
      </c>
      <c r="AV155" s="47" t="str">
        <f aca="false">IF($A155="","",IF(AND(INDEX(工程マスタ!$I$5:$I$154,$A155)="○",$E155&gt;=AV$3,$E155&lt;=AV$3+6),"▼",IF(AND($E155&gt;=AV$3,$E155&lt;=AV$3+6),$A155,"")))</f>
        <v/>
      </c>
      <c r="AW155" s="47" t="str">
        <f aca="false">IF($A155="","",IF(AND(INDEX(工程マスタ!$I$5:$I$154,$A155)="○",$E155&gt;=AW$3,$E155&lt;=AW$3+6),"▼",IF(AND($E155&gt;=AW$3,$E155&lt;=AW$3+6),$A155,"")))</f>
        <v/>
      </c>
      <c r="AX155" s="47" t="str">
        <f aca="false">IF($A155="","",IF(AND(INDEX(工程マスタ!$I$5:$I$154,$A155)="○",$E155&gt;=AX$3,$E155&lt;=AX$3+6),"▼",IF(AND($E155&gt;=AX$3,$E155&lt;=AX$3+6),$A155,"")))</f>
        <v/>
      </c>
      <c r="AY155" s="47" t="str">
        <f aca="false">IF($A155="","",IF(AND(INDEX(工程マスタ!$I$5:$I$154,$A155)="○",$E155&gt;=AY$3,$E155&lt;=AY$3+6),"▼",IF(AND($E155&gt;=AY$3,$E155&lt;=AY$3+6),$A155,"")))</f>
        <v/>
      </c>
      <c r="AZ155" s="47" t="str">
        <f aca="false">IF($A155="","",IF(AND(INDEX(工程マスタ!$I$5:$I$154,$A155)="○",$E155&gt;=AZ$3,$E155&lt;=AZ$3+6),"▼",IF(AND($E155&gt;=AZ$3,$E155&lt;=AZ$3+6),$A155,"")))</f>
        <v/>
      </c>
      <c r="BA155" s="47" t="str">
        <f aca="false">IF($A155="","",IF(AND(INDEX(工程マスタ!$I$5:$I$154,$A155)="○",$E155&gt;=BA$3,$E155&lt;=BA$3+6),"▼",IF(AND($E155&gt;=BA$3,$E155&lt;=BA$3+6),$A155,"")))</f>
        <v/>
      </c>
      <c r="BB155" s="47" t="str">
        <f aca="false">IF($A155="","",IF(AND(INDEX(工程マスタ!$I$5:$I$154,$A155)="○",$E155&gt;=BB$3,$E155&lt;=BB$3+6),"▼",IF(AND($E155&gt;=BB$3,$E155&lt;=BB$3+6),$A155,"")))</f>
        <v/>
      </c>
      <c r="BC155" s="47" t="str">
        <f aca="false">IF($A155="","",IF(AND(INDEX(工程マスタ!$I$5:$I$154,$A155)="○",$E155&gt;=BC$3,$E155&lt;=BC$3+6),"▼",IF(AND($E155&gt;=BC$3,$E155&lt;=BC$3+6),$A155,"")))</f>
        <v/>
      </c>
      <c r="BD155" s="47" t="str">
        <f aca="false">IF($A155="","",IF(AND(INDEX(工程マスタ!$I$5:$I$154,$A155)="○",$E155&gt;=BD$3,$E155&lt;=BD$3+6),"▼",IF(AND($E155&gt;=BD$3,$E155&lt;=BD$3+6),$A155,"")))</f>
        <v/>
      </c>
      <c r="BE155" s="47" t="str">
        <f aca="false">IF($A155="","",IF(AND(INDEX(工程マスタ!$I$5:$I$154,$A155)="○",$E155&gt;=BE$3,$E155&lt;=BE$3+6),"▼",IF(AND($E155&gt;=BE$3,$E155&lt;=BE$3+6),$A155,"")))</f>
        <v/>
      </c>
      <c r="BF155" s="47" t="str">
        <f aca="false">IF($A155="","",IF(AND(INDEX(工程マスタ!$I$5:$I$154,$A155)="○",$E155&gt;=BF$3,$E155&lt;=BF$3+6),"▼",IF(AND($E155&gt;=BF$3,$E155&lt;=BF$3+6),$A155,"")))</f>
        <v/>
      </c>
      <c r="BG155" s="47" t="str">
        <f aca="false">IF($A155="","",IF(AND(INDEX(工程マスタ!$I$5:$I$154,$A155)="○",$E155&gt;=BG$3,$E155&lt;=BG$3+6),"▼",IF(AND($E155&gt;=BG$3,$E155&lt;=BG$3+6),$A155,"")))</f>
        <v/>
      </c>
      <c r="BH155" s="47" t="str">
        <f aca="false">IF($A155="","",IF(AND(INDEX(工程マスタ!$I$5:$I$154,$A155)="○",$E155&gt;=BH$3,$E155&lt;=BH$3+6),"▼",IF(AND($E155&gt;=BH$3,$E155&lt;=BH$3+6),$A155,"")))</f>
        <v/>
      </c>
      <c r="BI155" s="47" t="str">
        <f aca="false">IF($A155="","",IF(AND(INDEX(工程マスタ!$I$5:$I$154,$A155)="○",$E155&gt;=BI$3,$E155&lt;=BI$3+6),"▼",IF(AND($E155&gt;=BI$3,$E155&lt;=BI$3+6),$A155,"")))</f>
        <v/>
      </c>
      <c r="BJ155" s="47" t="str">
        <f aca="false">IF($A155="","",IF(AND(INDEX(工程マスタ!$I$5:$I$154,$A155)="○",$E155&gt;=BJ$3,$E155&lt;=BJ$3+6),"▼",IF(AND($E155&gt;=BJ$3,$E155&lt;=BJ$3+6),$A155,"")))</f>
        <v/>
      </c>
    </row>
    <row r="156" customFormat="false" ht="15" hidden="false" customHeight="false" outlineLevel="0" collapsed="false">
      <c r="A156" s="28" t="str">
        <f aca="false">IF(工程マスタ!$C154="","",工程マスタ!$A154)</f>
        <v/>
      </c>
      <c r="B156" s="46" t="str">
        <f aca="false">IF($A156="","",工程マスタ!$C154)</f>
        <v/>
      </c>
      <c r="C156" s="28" t="str">
        <f aca="false">IF($A156="","",MAX(1,工程マスタ!$G154))</f>
        <v/>
      </c>
      <c r="D156" s="28" t="str">
        <f aca="false">IF($A156="","",_xlfn.TEXTJOIN(",",TRUE(),工程マスタ!$N154:$P154))</f>
        <v/>
      </c>
      <c r="E156" s="29" t="str">
        <f aca="false">IF($A156="","",IF(COUNT(工程マスタ!$N154:$P154)=0,設定!$B$8,MAX(IF(工程マスタ!$N154="",0,INDEX($F$7:$F$156,工程マスタ!$N154)),IF(工程マスタ!$O154="",0,INDEX($F$7:$F$156,工程マスタ!$O154)),IF(工程マスタ!$P154="",0,INDEX($F$7:$F$156,工程マスタ!$P154)))+1))</f>
        <v/>
      </c>
      <c r="F156" s="29" t="str">
        <f aca="false">IF($A156="","",$E156+$C156-1)</f>
        <v/>
      </c>
      <c r="G156" s="29" t="str">
        <f aca="false">IF($A156="","",$H156-$C156+1)</f>
        <v/>
      </c>
      <c r="H156" s="29" t="str">
        <f aca="false">IF($A156="","",MAX($F$7:$F$156))</f>
        <v/>
      </c>
      <c r="I156" s="28" t="str">
        <f aca="false">IF($A156="","",$G156-$E156)</f>
        <v/>
      </c>
      <c r="J156" s="28" t="str">
        <f aca="false">IF($A156="","",IF($I156&lt;=0,"●",""))</f>
        <v/>
      </c>
      <c r="K156" s="47" t="str">
        <f aca="false">IF($A156="","",IF(AND(INDEX(工程マスタ!$I$5:$I$154,$A156)="○",$E156&gt;=K$3,$E156&lt;=K$3+6),"▼",IF(AND($E156&gt;=K$3,$E156&lt;=K$3+6),$A156,"")))</f>
        <v/>
      </c>
      <c r="L156" s="47" t="str">
        <f aca="false">IF($A156="","",IF(AND(INDEX(工程マスタ!$I$5:$I$154,$A156)="○",$E156&gt;=L$3,$E156&lt;=L$3+6),"▼",IF(AND($E156&gt;=L$3,$E156&lt;=L$3+6),$A156,"")))</f>
        <v/>
      </c>
      <c r="M156" s="47" t="str">
        <f aca="false">IF($A156="","",IF(AND(INDEX(工程マスタ!$I$5:$I$154,$A156)="○",$E156&gt;=M$3,$E156&lt;=M$3+6),"▼",IF(AND($E156&gt;=M$3,$E156&lt;=M$3+6),$A156,"")))</f>
        <v/>
      </c>
      <c r="N156" s="47" t="str">
        <f aca="false">IF($A156="","",IF(AND(INDEX(工程マスタ!$I$5:$I$154,$A156)="○",$E156&gt;=N$3,$E156&lt;=N$3+6),"▼",IF(AND($E156&gt;=N$3,$E156&lt;=N$3+6),$A156,"")))</f>
        <v/>
      </c>
      <c r="O156" s="47" t="str">
        <f aca="false">IF($A156="","",IF(AND(INDEX(工程マスタ!$I$5:$I$154,$A156)="○",$E156&gt;=O$3,$E156&lt;=O$3+6),"▼",IF(AND($E156&gt;=O$3,$E156&lt;=O$3+6),$A156,"")))</f>
        <v/>
      </c>
      <c r="P156" s="47" t="str">
        <f aca="false">IF($A156="","",IF(AND(INDEX(工程マスタ!$I$5:$I$154,$A156)="○",$E156&gt;=P$3,$E156&lt;=P$3+6),"▼",IF(AND($E156&gt;=P$3,$E156&lt;=P$3+6),$A156,"")))</f>
        <v/>
      </c>
      <c r="Q156" s="47" t="str">
        <f aca="false">IF($A156="","",IF(AND(INDEX(工程マスタ!$I$5:$I$154,$A156)="○",$E156&gt;=Q$3,$E156&lt;=Q$3+6),"▼",IF(AND($E156&gt;=Q$3,$E156&lt;=Q$3+6),$A156,"")))</f>
        <v/>
      </c>
      <c r="R156" s="47" t="str">
        <f aca="false">IF($A156="","",IF(AND(INDEX(工程マスタ!$I$5:$I$154,$A156)="○",$E156&gt;=R$3,$E156&lt;=R$3+6),"▼",IF(AND($E156&gt;=R$3,$E156&lt;=R$3+6),$A156,"")))</f>
        <v/>
      </c>
      <c r="S156" s="47" t="str">
        <f aca="false">IF($A156="","",IF(AND(INDEX(工程マスタ!$I$5:$I$154,$A156)="○",$E156&gt;=S$3,$E156&lt;=S$3+6),"▼",IF(AND($E156&gt;=S$3,$E156&lt;=S$3+6),$A156,"")))</f>
        <v/>
      </c>
      <c r="T156" s="47" t="str">
        <f aca="false">IF($A156="","",IF(AND(INDEX(工程マスタ!$I$5:$I$154,$A156)="○",$E156&gt;=T$3,$E156&lt;=T$3+6),"▼",IF(AND($E156&gt;=T$3,$E156&lt;=T$3+6),$A156,"")))</f>
        <v/>
      </c>
      <c r="U156" s="47" t="str">
        <f aca="false">IF($A156="","",IF(AND(INDEX(工程マスタ!$I$5:$I$154,$A156)="○",$E156&gt;=U$3,$E156&lt;=U$3+6),"▼",IF(AND($E156&gt;=U$3,$E156&lt;=U$3+6),$A156,"")))</f>
        <v/>
      </c>
      <c r="V156" s="47" t="str">
        <f aca="false">IF($A156="","",IF(AND(INDEX(工程マスタ!$I$5:$I$154,$A156)="○",$E156&gt;=V$3,$E156&lt;=V$3+6),"▼",IF(AND($E156&gt;=V$3,$E156&lt;=V$3+6),$A156,"")))</f>
        <v/>
      </c>
      <c r="W156" s="47" t="str">
        <f aca="false">IF($A156="","",IF(AND(INDEX(工程マスタ!$I$5:$I$154,$A156)="○",$E156&gt;=W$3,$E156&lt;=W$3+6),"▼",IF(AND($E156&gt;=W$3,$E156&lt;=W$3+6),$A156,"")))</f>
        <v/>
      </c>
      <c r="X156" s="47" t="str">
        <f aca="false">IF($A156="","",IF(AND(INDEX(工程マスタ!$I$5:$I$154,$A156)="○",$E156&gt;=X$3,$E156&lt;=X$3+6),"▼",IF(AND($E156&gt;=X$3,$E156&lt;=X$3+6),$A156,"")))</f>
        <v/>
      </c>
      <c r="Y156" s="47" t="str">
        <f aca="false">IF($A156="","",IF(AND(INDEX(工程マスタ!$I$5:$I$154,$A156)="○",$E156&gt;=Y$3,$E156&lt;=Y$3+6),"▼",IF(AND($E156&gt;=Y$3,$E156&lt;=Y$3+6),$A156,"")))</f>
        <v/>
      </c>
      <c r="Z156" s="47" t="str">
        <f aca="false">IF($A156="","",IF(AND(INDEX(工程マスタ!$I$5:$I$154,$A156)="○",$E156&gt;=Z$3,$E156&lt;=Z$3+6),"▼",IF(AND($E156&gt;=Z$3,$E156&lt;=Z$3+6),$A156,"")))</f>
        <v/>
      </c>
      <c r="AA156" s="47" t="str">
        <f aca="false">IF($A156="","",IF(AND(INDEX(工程マスタ!$I$5:$I$154,$A156)="○",$E156&gt;=AA$3,$E156&lt;=AA$3+6),"▼",IF(AND($E156&gt;=AA$3,$E156&lt;=AA$3+6),$A156,"")))</f>
        <v/>
      </c>
      <c r="AB156" s="47" t="str">
        <f aca="false">IF($A156="","",IF(AND(INDEX(工程マスタ!$I$5:$I$154,$A156)="○",$E156&gt;=AB$3,$E156&lt;=AB$3+6),"▼",IF(AND($E156&gt;=AB$3,$E156&lt;=AB$3+6),$A156,"")))</f>
        <v/>
      </c>
      <c r="AC156" s="47" t="str">
        <f aca="false">IF($A156="","",IF(AND(INDEX(工程マスタ!$I$5:$I$154,$A156)="○",$E156&gt;=AC$3,$E156&lt;=AC$3+6),"▼",IF(AND($E156&gt;=AC$3,$E156&lt;=AC$3+6),$A156,"")))</f>
        <v/>
      </c>
      <c r="AD156" s="47" t="str">
        <f aca="false">IF($A156="","",IF(AND(INDEX(工程マスタ!$I$5:$I$154,$A156)="○",$E156&gt;=AD$3,$E156&lt;=AD$3+6),"▼",IF(AND($E156&gt;=AD$3,$E156&lt;=AD$3+6),$A156,"")))</f>
        <v/>
      </c>
      <c r="AE156" s="47" t="str">
        <f aca="false">IF($A156="","",IF(AND(INDEX(工程マスタ!$I$5:$I$154,$A156)="○",$E156&gt;=AE$3,$E156&lt;=AE$3+6),"▼",IF(AND($E156&gt;=AE$3,$E156&lt;=AE$3+6),$A156,"")))</f>
        <v/>
      </c>
      <c r="AF156" s="47" t="str">
        <f aca="false">IF($A156="","",IF(AND(INDEX(工程マスタ!$I$5:$I$154,$A156)="○",$E156&gt;=AF$3,$E156&lt;=AF$3+6),"▼",IF(AND($E156&gt;=AF$3,$E156&lt;=AF$3+6),$A156,"")))</f>
        <v/>
      </c>
      <c r="AG156" s="47" t="str">
        <f aca="false">IF($A156="","",IF(AND(INDEX(工程マスタ!$I$5:$I$154,$A156)="○",$E156&gt;=AG$3,$E156&lt;=AG$3+6),"▼",IF(AND($E156&gt;=AG$3,$E156&lt;=AG$3+6),$A156,"")))</f>
        <v/>
      </c>
      <c r="AH156" s="47" t="str">
        <f aca="false">IF($A156="","",IF(AND(INDEX(工程マスタ!$I$5:$I$154,$A156)="○",$E156&gt;=AH$3,$E156&lt;=AH$3+6),"▼",IF(AND($E156&gt;=AH$3,$E156&lt;=AH$3+6),$A156,"")))</f>
        <v/>
      </c>
      <c r="AI156" s="47" t="str">
        <f aca="false">IF($A156="","",IF(AND(INDEX(工程マスタ!$I$5:$I$154,$A156)="○",$E156&gt;=AI$3,$E156&lt;=AI$3+6),"▼",IF(AND($E156&gt;=AI$3,$E156&lt;=AI$3+6),$A156,"")))</f>
        <v/>
      </c>
      <c r="AJ156" s="47" t="str">
        <f aca="false">IF($A156="","",IF(AND(INDEX(工程マスタ!$I$5:$I$154,$A156)="○",$E156&gt;=AJ$3,$E156&lt;=AJ$3+6),"▼",IF(AND($E156&gt;=AJ$3,$E156&lt;=AJ$3+6),$A156,"")))</f>
        <v/>
      </c>
      <c r="AK156" s="47" t="str">
        <f aca="false">IF($A156="","",IF(AND(INDEX(工程マスタ!$I$5:$I$154,$A156)="○",$E156&gt;=AK$3,$E156&lt;=AK$3+6),"▼",IF(AND($E156&gt;=AK$3,$E156&lt;=AK$3+6),$A156,"")))</f>
        <v/>
      </c>
      <c r="AL156" s="47" t="str">
        <f aca="false">IF($A156="","",IF(AND(INDEX(工程マスタ!$I$5:$I$154,$A156)="○",$E156&gt;=AL$3,$E156&lt;=AL$3+6),"▼",IF(AND($E156&gt;=AL$3,$E156&lt;=AL$3+6),$A156,"")))</f>
        <v/>
      </c>
      <c r="AM156" s="47" t="str">
        <f aca="false">IF($A156="","",IF(AND(INDEX(工程マスタ!$I$5:$I$154,$A156)="○",$E156&gt;=AM$3,$E156&lt;=AM$3+6),"▼",IF(AND($E156&gt;=AM$3,$E156&lt;=AM$3+6),$A156,"")))</f>
        <v/>
      </c>
      <c r="AN156" s="47" t="str">
        <f aca="false">IF($A156="","",IF(AND(INDEX(工程マスタ!$I$5:$I$154,$A156)="○",$E156&gt;=AN$3,$E156&lt;=AN$3+6),"▼",IF(AND($E156&gt;=AN$3,$E156&lt;=AN$3+6),$A156,"")))</f>
        <v/>
      </c>
      <c r="AO156" s="47" t="str">
        <f aca="false">IF($A156="","",IF(AND(INDEX(工程マスタ!$I$5:$I$154,$A156)="○",$E156&gt;=AO$3,$E156&lt;=AO$3+6),"▼",IF(AND($E156&gt;=AO$3,$E156&lt;=AO$3+6),$A156,"")))</f>
        <v/>
      </c>
      <c r="AP156" s="47" t="str">
        <f aca="false">IF($A156="","",IF(AND(INDEX(工程マスタ!$I$5:$I$154,$A156)="○",$E156&gt;=AP$3,$E156&lt;=AP$3+6),"▼",IF(AND($E156&gt;=AP$3,$E156&lt;=AP$3+6),$A156,"")))</f>
        <v/>
      </c>
      <c r="AQ156" s="47" t="str">
        <f aca="false">IF($A156="","",IF(AND(INDEX(工程マスタ!$I$5:$I$154,$A156)="○",$E156&gt;=AQ$3,$E156&lt;=AQ$3+6),"▼",IF(AND($E156&gt;=AQ$3,$E156&lt;=AQ$3+6),$A156,"")))</f>
        <v/>
      </c>
      <c r="AR156" s="47" t="str">
        <f aca="false">IF($A156="","",IF(AND(INDEX(工程マスタ!$I$5:$I$154,$A156)="○",$E156&gt;=AR$3,$E156&lt;=AR$3+6),"▼",IF(AND($E156&gt;=AR$3,$E156&lt;=AR$3+6),$A156,"")))</f>
        <v/>
      </c>
      <c r="AS156" s="47" t="str">
        <f aca="false">IF($A156="","",IF(AND(INDEX(工程マスタ!$I$5:$I$154,$A156)="○",$E156&gt;=AS$3,$E156&lt;=AS$3+6),"▼",IF(AND($E156&gt;=AS$3,$E156&lt;=AS$3+6),$A156,"")))</f>
        <v/>
      </c>
      <c r="AT156" s="47" t="str">
        <f aca="false">IF($A156="","",IF(AND(INDEX(工程マスタ!$I$5:$I$154,$A156)="○",$E156&gt;=AT$3,$E156&lt;=AT$3+6),"▼",IF(AND($E156&gt;=AT$3,$E156&lt;=AT$3+6),$A156,"")))</f>
        <v/>
      </c>
      <c r="AU156" s="47" t="str">
        <f aca="false">IF($A156="","",IF(AND(INDEX(工程マスタ!$I$5:$I$154,$A156)="○",$E156&gt;=AU$3,$E156&lt;=AU$3+6),"▼",IF(AND($E156&gt;=AU$3,$E156&lt;=AU$3+6),$A156,"")))</f>
        <v/>
      </c>
      <c r="AV156" s="47" t="str">
        <f aca="false">IF($A156="","",IF(AND(INDEX(工程マスタ!$I$5:$I$154,$A156)="○",$E156&gt;=AV$3,$E156&lt;=AV$3+6),"▼",IF(AND($E156&gt;=AV$3,$E156&lt;=AV$3+6),$A156,"")))</f>
        <v/>
      </c>
      <c r="AW156" s="47" t="str">
        <f aca="false">IF($A156="","",IF(AND(INDEX(工程マスタ!$I$5:$I$154,$A156)="○",$E156&gt;=AW$3,$E156&lt;=AW$3+6),"▼",IF(AND($E156&gt;=AW$3,$E156&lt;=AW$3+6),$A156,"")))</f>
        <v/>
      </c>
      <c r="AX156" s="47" t="str">
        <f aca="false">IF($A156="","",IF(AND(INDEX(工程マスタ!$I$5:$I$154,$A156)="○",$E156&gt;=AX$3,$E156&lt;=AX$3+6),"▼",IF(AND($E156&gt;=AX$3,$E156&lt;=AX$3+6),$A156,"")))</f>
        <v/>
      </c>
      <c r="AY156" s="47" t="str">
        <f aca="false">IF($A156="","",IF(AND(INDEX(工程マスタ!$I$5:$I$154,$A156)="○",$E156&gt;=AY$3,$E156&lt;=AY$3+6),"▼",IF(AND($E156&gt;=AY$3,$E156&lt;=AY$3+6),$A156,"")))</f>
        <v/>
      </c>
      <c r="AZ156" s="47" t="str">
        <f aca="false">IF($A156="","",IF(AND(INDEX(工程マスタ!$I$5:$I$154,$A156)="○",$E156&gt;=AZ$3,$E156&lt;=AZ$3+6),"▼",IF(AND($E156&gt;=AZ$3,$E156&lt;=AZ$3+6),$A156,"")))</f>
        <v/>
      </c>
      <c r="BA156" s="47" t="str">
        <f aca="false">IF($A156="","",IF(AND(INDEX(工程マスタ!$I$5:$I$154,$A156)="○",$E156&gt;=BA$3,$E156&lt;=BA$3+6),"▼",IF(AND($E156&gt;=BA$3,$E156&lt;=BA$3+6),$A156,"")))</f>
        <v/>
      </c>
      <c r="BB156" s="47" t="str">
        <f aca="false">IF($A156="","",IF(AND(INDEX(工程マスタ!$I$5:$I$154,$A156)="○",$E156&gt;=BB$3,$E156&lt;=BB$3+6),"▼",IF(AND($E156&gt;=BB$3,$E156&lt;=BB$3+6),$A156,"")))</f>
        <v/>
      </c>
      <c r="BC156" s="47" t="str">
        <f aca="false">IF($A156="","",IF(AND(INDEX(工程マスタ!$I$5:$I$154,$A156)="○",$E156&gt;=BC$3,$E156&lt;=BC$3+6),"▼",IF(AND($E156&gt;=BC$3,$E156&lt;=BC$3+6),$A156,"")))</f>
        <v/>
      </c>
      <c r="BD156" s="47" t="str">
        <f aca="false">IF($A156="","",IF(AND(INDEX(工程マスタ!$I$5:$I$154,$A156)="○",$E156&gt;=BD$3,$E156&lt;=BD$3+6),"▼",IF(AND($E156&gt;=BD$3,$E156&lt;=BD$3+6),$A156,"")))</f>
        <v/>
      </c>
      <c r="BE156" s="47" t="str">
        <f aca="false">IF($A156="","",IF(AND(INDEX(工程マスタ!$I$5:$I$154,$A156)="○",$E156&gt;=BE$3,$E156&lt;=BE$3+6),"▼",IF(AND($E156&gt;=BE$3,$E156&lt;=BE$3+6),$A156,"")))</f>
        <v/>
      </c>
      <c r="BF156" s="47" t="str">
        <f aca="false">IF($A156="","",IF(AND(INDEX(工程マスタ!$I$5:$I$154,$A156)="○",$E156&gt;=BF$3,$E156&lt;=BF$3+6),"▼",IF(AND($E156&gt;=BF$3,$E156&lt;=BF$3+6),$A156,"")))</f>
        <v/>
      </c>
      <c r="BG156" s="47" t="str">
        <f aca="false">IF($A156="","",IF(AND(INDEX(工程マスタ!$I$5:$I$154,$A156)="○",$E156&gt;=BG$3,$E156&lt;=BG$3+6),"▼",IF(AND($E156&gt;=BG$3,$E156&lt;=BG$3+6),$A156,"")))</f>
        <v/>
      </c>
      <c r="BH156" s="47" t="str">
        <f aca="false">IF($A156="","",IF(AND(INDEX(工程マスタ!$I$5:$I$154,$A156)="○",$E156&gt;=BH$3,$E156&lt;=BH$3+6),"▼",IF(AND($E156&gt;=BH$3,$E156&lt;=BH$3+6),$A156,"")))</f>
        <v/>
      </c>
      <c r="BI156" s="47" t="str">
        <f aca="false">IF($A156="","",IF(AND(INDEX(工程マスタ!$I$5:$I$154,$A156)="○",$E156&gt;=BI$3,$E156&lt;=BI$3+6),"▼",IF(AND($E156&gt;=BI$3,$E156&lt;=BI$3+6),$A156,"")))</f>
        <v/>
      </c>
      <c r="BJ156" s="47" t="str">
        <f aca="false">IF($A156="","",IF(AND(INDEX(工程マスタ!$I$5:$I$154,$A156)="○",$E156&gt;=BJ$3,$E156&lt;=BJ$3+6),"▼",IF(AND($E156&gt;=BJ$3,$E156&lt;=BJ$3+6),$A156,"")))</f>
        <v/>
      </c>
    </row>
  </sheetData>
  <mergeCells count="5">
    <mergeCell ref="O2:R2"/>
    <mergeCell ref="S2:V2"/>
    <mergeCell ref="W2:Z2"/>
    <mergeCell ref="AA2:AC2"/>
    <mergeCell ref="AD2:AH2"/>
  </mergeCells>
  <conditionalFormatting sqref="A7:J156">
    <cfRule type="expression" priority="2" aboveAverage="0" equalAverage="0" bottom="0" percent="0" rank="0" text="" dxfId="8">
      <formula>AND($A7&lt;&gt;"",$J7="●")</formula>
    </cfRule>
  </conditionalFormatting>
  <conditionalFormatting sqref="K7:BJ156">
    <cfRule type="expression" priority="3" aboveAverage="0" equalAverage="0" bottom="0" percent="0" rank="0" text="" dxfId="10">
      <formula>AND($A7&lt;&gt;"",INDEX(工程マスタ!$I$5:$I$154,$A7)="○",$E7&gt;=K$3,$E7&lt;=K$3+6)</formula>
    </cfRule>
    <cfRule type="expression" priority="4" aboveAverage="0" equalAverage="0" bottom="0" percent="0" rank="0" text="" dxfId="11">
      <formula>AND($A7&lt;&gt;"",$J7="●",$E7&lt;=K$3+6,$F7&gt;=K$3)</formula>
    </cfRule>
    <cfRule type="expression" priority="5" aboveAverage="0" equalAverage="0" bottom="0" percent="0" rank="0" text="" dxfId="2">
      <formula>AND($A7&lt;&gt;"",$J7&lt;&gt;"●",$E7&lt;=K$3+6,$F7&gt;=K$3)</formula>
    </cfRule>
    <cfRule type="expression" priority="6" aboveAverage="0" equalAverage="0" bottom="0" percent="0" rank="0" text="" dxfId="12">
      <formula>AND($A7&lt;&gt;"",$H7&gt;$F7,$F7+1&lt;=K$3+6,$H7&gt;=K$3)</formula>
    </cfRule>
  </conditionalFormatting>
  <conditionalFormatting sqref="K4:BJ156">
    <cfRule type="expression" priority="7" aboveAverage="0" equalAverage="0" bottom="0" percent="0" rank="0" text="" dxfId="3">
      <formula>AND(K$3&lt;=TODAY(),TODAY()&lt;=K$3+6)</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2026-07-20T12:22:57Z</dcterms:created>
  <dc:creator>openpyxl</dc:creator>
  <dc:description/>
  <dc:language>en-US</dc:language>
  <cp:lastModifiedBy/>
  <dcterms:modified xsi:type="dcterms:W3CDTF">2026-07-20T12:23:01Z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